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170" activeTab="2"/>
  </bookViews>
  <sheets>
    <sheet name="Sheet1" sheetId="1" r:id="rId1"/>
    <sheet name="Sheet2" sheetId="2" r:id="rId2"/>
    <sheet name="New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Sheet1!$A$1:$K$549</definedName>
    <definedName name="_xlnm._FilterDatabase" localSheetId="1" hidden="1">Sheet2!$I$3:$J$19</definedName>
    <definedName name="_xlnm._FilterDatabase" localSheetId="2" hidden="1">New!$A$1:$J$566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<sst xmlns="http://schemas.openxmlformats.org/spreadsheetml/2006/main" count="1424" uniqueCount="684">
  <si>
    <t>Employee Code</t>
  </si>
  <si>
    <t>Employee Name</t>
  </si>
  <si>
    <t>Manager Name</t>
  </si>
  <si>
    <t>Title</t>
  </si>
  <si>
    <t>Manager Code</t>
  </si>
  <si>
    <t>Password</t>
  </si>
  <si>
    <t>Mobile</t>
  </si>
  <si>
    <t>Hiring Date</t>
  </si>
  <si>
    <t>Department</t>
  </si>
  <si>
    <t>E-Mail</t>
  </si>
  <si>
    <t>Address as 702 bricks</t>
  </si>
  <si>
    <t>Ahmed ibrahim Eissa</t>
  </si>
  <si>
    <t>Mohamed ellahoney</t>
  </si>
  <si>
    <t>Hr</t>
  </si>
  <si>
    <t>HR Specialist</t>
  </si>
  <si>
    <t>ahmed.ibrahim@averroes-eg.com</t>
  </si>
  <si>
    <t>The fifth Settelment</t>
  </si>
  <si>
    <t>Abd Elhameed Elshiekh</t>
  </si>
  <si>
    <t>00000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</si>
  <si>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</si>
  <si>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</si>
  <si>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</si>
  <si>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</si>
  <si>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</si>
  <si>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</si>
  <si>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QAZxsw123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</si>
  <si>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</si>
  <si>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</si>
  <si>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</si>
  <si>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</si>
  <si>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</si>
  <si>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</si>
  <si>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</si>
  <si>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</si>
  <si>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</si>
  <si>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</si>
  <si>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</si>
  <si>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</si>
  <si>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</si>
  <si>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</si>
  <si>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</si>
  <si>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</si>
  <si>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</si>
  <si>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</si>
  <si>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</si>
  <si>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</si>
  <si>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</si>
  <si>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</si>
  <si>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</si>
  <si>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</si>
  <si>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</si>
  <si>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</si>
  <si>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</si>
  <si>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Ahmed Mohamed Salah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</si>
  <si>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</si>
  <si>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</si>
  <si>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</si>
  <si>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</si>
  <si>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</si>
  <si>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</si>
  <si>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</si>
  <si>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Eman Gamal Zayada</t>
  </si>
  <si>
    <t>Ibrahim Mohamed  ElShorbagy</t>
  </si>
  <si>
    <t>Mohammed Ahmed ElBanna</t>
  </si>
  <si>
    <t>Nada Mohamed Goda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</si>
  <si>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</si>
  <si>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</si>
  <si>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</si>
  <si>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</si>
  <si>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</si>
  <si>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</si>
  <si>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</si>
  <si>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Moureen Atef Mouris</t>
  </si>
  <si>
    <t>Peter Ibrahim Faheem</t>
  </si>
  <si>
    <t>Mai Ashraf Mohamed</t>
  </si>
  <si>
    <t>Ahmed Atef Mohamed</t>
  </si>
  <si>
    <t>Esraa Mahmoud Elamir</t>
  </si>
  <si>
    <t>Mahmoud Atef Aref Mohamed</t>
  </si>
  <si>
    <t>Marina Emad Kamel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</si>
  <si>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</si>
  <si>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</si>
  <si>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</si>
  <si>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</si>
  <si>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</si>
  <si>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</si>
  <si>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</si>
  <si>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</si>
  <si>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</si>
  <si>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</si>
  <si>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</si>
  <si>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</si>
  <si>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</si>
  <si>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</si>
  <si>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</si>
  <si>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</si>
  <si>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</si>
  <si>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</si>
  <si>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</si>
  <si>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</si>
  <si>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Mohamed Tarek Mohamed</t>
  </si>
  <si>
    <t>Remonda Ashraf Zaky</t>
  </si>
  <si>
    <t>Vevian Mamdouh Issac</t>
  </si>
  <si>
    <t>Tayseer ElSayed AbdElbary</t>
  </si>
  <si>
    <t>Ali Mohamed Darwesh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</si>
  <si>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</si>
  <si>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</si>
  <si>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</si>
  <si>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</si>
  <si>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</si>
  <si>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</si>
  <si>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Attia Morsy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</si>
  <si>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</si>
  <si>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</si>
  <si>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</si>
  <si>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</si>
  <si>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</si>
  <si>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</si>
  <si>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</si>
  <si>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</si>
  <si>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</si>
  <si>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</si>
  <si>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</si>
  <si>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</si>
  <si>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</si>
  <si>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Ibrahem Fayek Ismail</t>
  </si>
  <si>
    <t>Shimaa Maher Ghamry Ahmed</t>
  </si>
  <si>
    <t>Manar Abdelrahman Mohammed</t>
  </si>
  <si>
    <t>Sara Saad Sayed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</si>
  <si>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</si>
  <si>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</si>
  <si>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</si>
  <si>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</si>
  <si>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</si>
  <si>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</si>
  <si>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</si>
  <si>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</si>
  <si>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</si>
  <si>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</si>
  <si>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</si>
  <si>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</si>
  <si>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</si>
  <si>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</si>
  <si>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</si>
  <si>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</si>
  <si>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</si>
  <si>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</si>
  <si>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</si>
  <si>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</si>
  <si>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</si>
  <si>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</si>
  <si>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</si>
  <si>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</si>
  <si>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</si>
  <si>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</si>
  <si>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</si>
  <si>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</si>
  <si>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</si>
  <si>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</si>
  <si>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</si>
  <si>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El Zahraa Mahmoud Ibrahim Mohamed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</si>
  <si>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</si>
  <si>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</si>
  <si>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</si>
  <si>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</si>
  <si>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</si>
  <si>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</si>
  <si>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Germin Eid Sedki Kamel</t>
  </si>
  <si>
    <t>Josfeen Emad Atef Morqous</t>
  </si>
  <si>
    <t>Kerolos Ashraf Fayek</t>
  </si>
  <si>
    <t>Semon Magdy Nageib</t>
  </si>
  <si>
    <t>Abanoub Bashawat Morice Gied</t>
  </si>
  <si>
    <t>Kerolos Nasser El-Kattan Adl</t>
  </si>
  <si>
    <t>Mahmoud Abdelnaseer Ahmed</t>
  </si>
  <si>
    <t>Mahmoud Mohamed Abbas</t>
  </si>
  <si>
    <t>Merna Atef Zaky Romany</t>
  </si>
  <si>
    <t>Michael Ibrahim Samy Kedis</t>
  </si>
  <si>
    <t>Saleh Ahmed Saleh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</si>
  <si>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</si>
  <si>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</si>
  <si>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</si>
  <si>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</si>
  <si>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</si>
  <si>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</si>
  <si>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</si>
  <si>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Mariam Waleed Salem</t>
  </si>
  <si>
    <t>Mohamed Hossam Hussein</t>
  </si>
  <si>
    <t>Toka Mahmoud Mohamed</t>
  </si>
  <si>
    <t>Walaa Samy Mohamed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</si>
  <si>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</si>
  <si>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</si>
  <si>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</si>
  <si>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</si>
  <si>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</si>
  <si>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</si>
  <si>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</si>
  <si>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</si>
  <si>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Mariam Hatem Mohamed</t>
  </si>
  <si>
    <t>Mohamed Ayman Metwally</t>
  </si>
  <si>
    <t>Soaad Mohamed Mahmoud</t>
  </si>
  <si>
    <t>Asmaa Mahmoud Amin</t>
  </si>
  <si>
    <t>Kerollos AbdElMalak Rashed</t>
  </si>
  <si>
    <t>Mohamed Gamal Saqr</t>
  </si>
  <si>
    <t>Momtaz Emad Kamel</t>
  </si>
  <si>
    <t>Mostafa Ahmed Elshahat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</si>
  <si>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</si>
  <si>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</si>
  <si>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</si>
  <si>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</si>
  <si>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</si>
  <si>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</si>
  <si>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</si>
  <si>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</si>
  <si>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</si>
  <si>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</si>
  <si>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Marwa Maher Ahmed</t>
  </si>
  <si>
    <t>Norhan Naser ElSayed</t>
  </si>
  <si>
    <t>Omar Saad Bedier</t>
  </si>
  <si>
    <t>Rezk AbdElRahman Ahmed</t>
  </si>
  <si>
    <t>Sara Abdo AbuElkhier</t>
  </si>
  <si>
    <t>Sohaila Khaled Gamal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</si>
  <si>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</si>
  <si>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</si>
  <si>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</si>
  <si>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</si>
  <si>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</si>
  <si>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</si>
  <si>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</si>
  <si>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</si>
  <si>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</si>
  <si>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Mostafa Hady ElHamshary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</si>
  <si>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</si>
  <si>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</si>
  <si>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</si>
  <si>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</si>
  <si>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</si>
  <si>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</si>
  <si>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</si>
  <si>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</si>
  <si>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</si>
  <si>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</si>
  <si>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</si>
  <si>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</si>
  <si>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</si>
  <si>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</si>
  <si>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</si>
  <si>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</si>
  <si>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</si>
  <si>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Naira Yousry Farouk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</si>
  <si>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</si>
  <si>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</si>
  <si>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</si>
  <si>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</si>
  <si>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</si>
  <si>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</si>
  <si>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</si>
  <si>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</si>
  <si>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</si>
  <si>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</si>
  <si>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</si>
  <si>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</si>
  <si>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</si>
  <si>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</si>
  <si>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</si>
  <si>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</si>
  <si>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</si>
  <si>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</si>
  <si>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</si>
  <si>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</si>
  <si>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</si>
  <si>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</si>
  <si>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</si>
  <si>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</si>
  <si>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</si>
  <si>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Shimaa Ragab Kamal</t>
  </si>
  <si>
    <t>Mohamed Ibrahim Hassan</t>
  </si>
  <si>
    <t>Shimaa Mohamed Aboelsoad</t>
  </si>
  <si>
    <t>Habib Nady Habib</t>
  </si>
  <si>
    <t>Ahmed Gaber Abdelhamid</t>
  </si>
  <si>
    <t>Aya AbdElLateef Ghazaly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</si>
  <si>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</si>
  <si>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</si>
  <si>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</si>
  <si>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</si>
  <si>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</si>
  <si>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</si>
  <si>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</si>
  <si>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</si>
  <si>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</si>
  <si>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</si>
  <si>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</si>
  <si>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</si>
  <si>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</si>
  <si>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</si>
  <si>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</si>
  <si>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</si>
  <si>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</si>
  <si>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</si>
  <si>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</si>
  <si>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</si>
  <si>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</si>
  <si>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</si>
  <si>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</si>
  <si>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</si>
  <si>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Michael Metry Wanees</t>
  </si>
  <si>
    <t>Youstina Nady habib</t>
  </si>
  <si>
    <t>Karam Belal Mohamed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</si>
  <si>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</si>
  <si>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</si>
  <si>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</si>
  <si>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</si>
  <si>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</si>
  <si>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</si>
  <si>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</si>
  <si>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</si>
  <si>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</si>
  <si>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</si>
  <si>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</si>
  <si>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</si>
  <si>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</si>
  <si>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</si>
  <si>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</si>
  <si>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</si>
  <si>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</si>
  <si>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</si>
  <si>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</si>
  <si>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</si>
  <si>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Marwa Taha Ahmed</t>
  </si>
  <si>
    <t>Menna Fakhry Metwally</t>
  </si>
  <si>
    <t>Mohamed Adel Hassan</t>
  </si>
  <si>
    <t>Yara Tarek Gaber</t>
  </si>
  <si>
    <t>Yousef Mohamed ElSerwi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</si>
  <si>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</si>
  <si>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</si>
  <si>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</si>
  <si>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</si>
  <si>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</si>
  <si>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</si>
  <si>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</si>
  <si>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</si>
  <si>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</si>
  <si>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</si>
  <si>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</si>
  <si>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</si>
  <si>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</si>
  <si>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</si>
  <si>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</si>
  <si>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</si>
  <si>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</si>
  <si>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</si>
  <si>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Mohannad Mohamed Salah</t>
  </si>
  <si>
    <t>Nasra Mohamed Maher</t>
  </si>
  <si>
    <t>Moustafa Mohamed Diab</t>
  </si>
  <si>
    <t>Alaa Sameh Mohamed</t>
  </si>
  <si>
    <t>Asmaa Ahmed Farrag</t>
  </si>
  <si>
    <t>Moustafa AbdElhalim Mohamed Osman</t>
  </si>
  <si>
    <t>Salma Karem Mahmoud Khalifa</t>
  </si>
  <si>
    <t>Nourhan Mohamed Ali</t>
  </si>
  <si>
    <t>Ahmed khaled AboNwar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</si>
  <si>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</si>
  <si>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</si>
  <si>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</si>
  <si>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</si>
  <si>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</si>
  <si>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Kerolos Shehata Hakeem</t>
  </si>
  <si>
    <t>Lena Kasem Fadel</t>
  </si>
  <si>
    <t>Nourhan Ahmed Abdelhamed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</si>
  <si>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</si>
  <si>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</si>
  <si>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</si>
  <si>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</si>
  <si>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</si>
  <si>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</si>
  <si>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</si>
  <si>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</si>
  <si>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</si>
  <si>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</si>
  <si>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</si>
  <si>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</si>
  <si>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</si>
  <si>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</si>
  <si>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</si>
  <si>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</si>
  <si>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</si>
  <si>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</si>
  <si>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</si>
  <si>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</si>
  <si>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</si>
  <si>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</si>
  <si>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</si>
  <si>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</si>
  <si>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</si>
  <si>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</si>
  <si>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</si>
  <si>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</si>
  <si>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</si>
  <si>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Marwa AbdElAty Tammam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</si>
  <si>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</si>
  <si>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</si>
  <si>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</si>
  <si>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</si>
  <si>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</si>
  <si>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</si>
  <si>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</si>
  <si>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</si>
  <si>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</si>
  <si>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</si>
  <si>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</si>
  <si>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</si>
  <si>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</si>
  <si>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</si>
  <si>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Shehab Ashraf Abdelkader</t>
  </si>
  <si>
    <t>Merna Abdelrahman Elshazly</t>
  </si>
  <si>
    <t>Mohamed Shawky Misbah</t>
  </si>
  <si>
    <t>Rana Salah AbdElGhafar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</si>
  <si>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</si>
  <si>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</si>
  <si>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</si>
  <si>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</si>
  <si>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</si>
  <si>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</si>
  <si>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</si>
  <si>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</si>
  <si>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</si>
  <si>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</si>
  <si>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</si>
  <si>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</si>
  <si>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</si>
  <si>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</si>
  <si>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</si>
  <si>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</si>
  <si>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</si>
  <si>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</si>
  <si>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Esraa Ahmed Sayed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</si>
  <si>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</si>
  <si>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</si>
  <si>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</si>
  <si>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</si>
  <si>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</si>
  <si>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</si>
  <si>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Aya Yasser Mohamed</t>
  </si>
  <si>
    <t>Bosy Omar Ibrahim</t>
  </si>
  <si>
    <t>Aya Ahmed Helmy</t>
  </si>
  <si>
    <t>Zinab AbdElKader AbdElHameed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</si>
  <si>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</si>
  <si>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</si>
  <si>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</si>
  <si>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</si>
  <si>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</si>
  <si>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</si>
  <si>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Sara Ibrahim Mohamed</t>
  </si>
  <si>
    <t>Fatma Ragaee Mahmoud</t>
  </si>
  <si>
    <t>Bassil Nour ElDin Noaman Gewely</t>
  </si>
  <si>
    <t>Manal ElMetwally ElHoseiny</t>
  </si>
  <si>
    <t>Nayera Tarek Mokhtar</t>
  </si>
  <si>
    <t>Walaa Taher Ahmed</t>
  </si>
  <si>
    <t>Renad Nabil Shehata</t>
  </si>
  <si>
    <t>Mariam Mohamed Shams</t>
  </si>
  <si>
    <t>Menna AbdelRahman Mohamed</t>
  </si>
  <si>
    <t>Rahma AbdElbadee Kamel</t>
  </si>
  <si>
    <t>Abdallah ElSayed nasr</t>
  </si>
  <si>
    <t>Asmaa Ali Ali ElSayed</t>
  </si>
  <si>
    <t>Fady Karam Azmy Shenouda</t>
  </si>
  <si>
    <t>Mariam Sherief Mahmoud Elsaid</t>
  </si>
  <si>
    <t>Triza Eid Samy</t>
  </si>
  <si>
    <t>Omnia Sobhy Elgamal</t>
  </si>
  <si>
    <t>Aya Ibrahim Ahmed</t>
  </si>
  <si>
    <t>Mohamed Rabea Ali Ali</t>
  </si>
  <si>
    <t>Ahmed Yasser Khedr ElZahar</t>
  </si>
  <si>
    <t>Mahmoud Saeed Elbakly</t>
  </si>
  <si>
    <t>Mohamed Hassan Mostafa Mohamed</t>
  </si>
  <si>
    <t>Salma Mohamed ElWekil</t>
  </si>
  <si>
    <t>Shady Abdelnaby Mohamed Abdelnaby</t>
  </si>
  <si>
    <t>Abanoub Samy Mounir</t>
  </si>
  <si>
    <t>Abdelrahman Yasser Ibrahim</t>
  </si>
  <si>
    <t>Ahmed Essam Taha</t>
  </si>
  <si>
    <t>Eslam Gamal ElSayed</t>
  </si>
  <si>
    <t>Ghada Mohammed Nemr Soliman</t>
  </si>
  <si>
    <t>Nada Ali Ahmed</t>
  </si>
  <si>
    <t>Mohamed Ezzat Hassan</t>
  </si>
  <si>
    <t>Merna Samer Adel Beshay</t>
  </si>
  <si>
    <t>Warda Arafa Berik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</si>
  <si>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</si>
  <si>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</si>
  <si>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</si>
  <si>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</si>
  <si>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</si>
  <si>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</si>
  <si>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</si>
  <si>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</si>
  <si>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</si>
  <si>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</si>
  <si>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</si>
  <si>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</si>
  <si>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</si>
  <si>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</si>
  <si>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</si>
  <si>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</si>
  <si>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</si>
  <si>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</si>
  <si>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</si>
  <si>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</si>
  <si>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</si>
  <si>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</si>
  <si>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</si>
  <si>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</si>
  <si>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</si>
  <si>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</si>
  <si>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</si>
  <si>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</si>
  <si>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</si>
  <si>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Essam Ahmed Ali  Behery</t>
  </si>
  <si>
    <t>Magdy Mahfouz Gendi</t>
  </si>
  <si>
    <t>Bilal Nabil Ghoneim</t>
  </si>
  <si>
    <t>Mohamed Abdelmageid Abdallah Abokota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</si>
  <si>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</si>
  <si>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</si>
  <si>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</si>
  <si>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</si>
  <si>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</si>
  <si>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</si>
  <si>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</si>
  <si>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mekhaiel moheb nageeab</t>
  </si>
  <si>
    <t>Mohamed Abbas Helmy</t>
  </si>
  <si>
    <t>Mohmmed Abdelnaby Khaled Abdellatief</t>
  </si>
  <si>
    <t>Walaa Marie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</si>
  <si>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</si>
  <si>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</si>
  <si>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</si>
  <si>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</si>
  <si>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</si>
  <si>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</si>
  <si>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</si>
  <si>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</si>
  <si>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</si>
  <si>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</si>
  <si>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</si>
  <si>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</si>
  <si>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</si>
  <si>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</si>
  <si>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</si>
  <si>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</si>
  <si>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</si>
  <si>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</si>
  <si>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</si>
  <si>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Nermeen Amin Khalil</t>
  </si>
  <si>
    <t>Mohamed Enaya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</si>
  <si>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</si>
  <si>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</si>
  <si>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</si>
  <si>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</si>
  <si>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</si>
  <si>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</si>
  <si>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</si>
  <si>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</si>
  <si>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</si>
  <si>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Mohamed Eid Mohamed</t>
  </si>
  <si>
    <t>Samar Samy Ibrahim</t>
  </si>
  <si>
    <t>Mohamed Abd El Ghany Omar</t>
  </si>
  <si>
    <t>Fatma Mohamed mohamed</t>
  </si>
  <si>
    <t>Yehya Mohamed Yehya</t>
  </si>
  <si>
    <t>Mohamed Ahmed AbdElAziz Elhamrawy</t>
  </si>
  <si>
    <t>Alex office</t>
  </si>
  <si>
    <t>Reda Ahmed Fotouh</t>
  </si>
  <si>
    <t>Mohammed Al-Sayed Al-Rifai</t>
  </si>
  <si>
    <t>Tanta office</t>
  </si>
  <si>
    <t>Hamed Saady Nour</t>
  </si>
  <si>
    <t>Mahmoud Mohamed Mahmoud El bord</t>
  </si>
  <si>
    <t>Store Specialist</t>
  </si>
  <si>
    <t>Mahmoud Mohamed Mahfouz</t>
  </si>
  <si>
    <t>BUM</t>
  </si>
  <si>
    <t>Pages Permisions</t>
  </si>
  <si>
    <t>LM</t>
  </si>
  <si>
    <t>SFE Specialist</t>
  </si>
  <si>
    <t>My Profile ,Salary , leaves , Structure</t>
  </si>
  <si>
    <t>AM</t>
  </si>
  <si>
    <t>Training Specialist</t>
  </si>
  <si>
    <t>DM</t>
  </si>
  <si>
    <t>Senior Talent Acquisition</t>
  </si>
  <si>
    <t>MR</t>
  </si>
  <si>
    <t>Market Access Manager</t>
  </si>
  <si>
    <t>Associate Compliance</t>
  </si>
  <si>
    <t>My Profile ,Salary , leaves ,Team Leaves , Structure ,  التقارير المرسلة من صفحه  Report compliance</t>
  </si>
  <si>
    <t>Key Account Specialist </t>
  </si>
  <si>
    <t>Field Compliance Specialist</t>
  </si>
  <si>
    <t>Sales Rep</t>
  </si>
  <si>
    <t>Operation Supervisor</t>
  </si>
  <si>
    <t>Sales SV</t>
  </si>
  <si>
    <t>Product Manager</t>
  </si>
  <si>
    <t>Performance Excellence Manager</t>
  </si>
  <si>
    <t>Commercial Manager</t>
  </si>
  <si>
    <t>My Profile ,Salary , leaves ,Team Leaves , Structure</t>
  </si>
  <si>
    <t>HR &amp; Training Manager</t>
  </si>
  <si>
    <t>Distribution Specialist</t>
  </si>
  <si>
    <t>SFE Manager</t>
  </si>
  <si>
    <t>Direct Sales Manager</t>
  </si>
  <si>
    <t>Direct Sales</t>
  </si>
  <si>
    <t>Operation Specialist</t>
  </si>
  <si>
    <t>Operation and Analytics Specialist</t>
  </si>
  <si>
    <t>Office Boy</t>
  </si>
  <si>
    <t>Key Account Manager</t>
  </si>
  <si>
    <t>Operation Admin</t>
  </si>
  <si>
    <t>0000</t>
  </si>
  <si>
    <t>Abdelhakim Ahmed Abdelhamed Mousa</t>
  </si>
  <si>
    <t>Hadeer Ashraf Ibrahim Abdelaziz</t>
  </si>
  <si>
    <t>Omar Abdelghany Elmansoury</t>
  </si>
  <si>
    <t>Hossameldein Alaa Mohamed Deif</t>
  </si>
  <si>
    <t>Engy Dahy Shafeek</t>
  </si>
  <si>
    <t>Manar Mohamed Safaaeldin</t>
  </si>
  <si>
    <t>Ahmed Khaled Goda</t>
  </si>
  <si>
    <t>Shehab Ashraf Aboelnour</t>
  </si>
  <si>
    <t>Hadeer Mosaad Abdelmonem</t>
  </si>
  <si>
    <t>Mariam Tarek Hassan</t>
  </si>
  <si>
    <t>David Shehata Ayoub</t>
  </si>
  <si>
    <t>Mona Mahmoud Mohamed Marwan</t>
  </si>
  <si>
    <t>Hadeer Khalid Ibrahim Abdelbaseer</t>
  </si>
  <si>
    <t>Adrosis Shenouda Fouad Nakhla</t>
  </si>
  <si>
    <t>Ali Kamal Mohamed</t>
  </si>
  <si>
    <t>Marwa Osama Mohammed</t>
  </si>
  <si>
    <t>Mohammed Yasser Masood Mohammed</t>
  </si>
  <si>
    <t>Mina Mamdouh Rady Youssef</t>
  </si>
  <si>
    <t>Esraa Ashraf Abdelhamid Said</t>
  </si>
  <si>
    <t>Rana Fathy Mahmoud Abdelatif</t>
  </si>
  <si>
    <t>Marwan Saed Kamel Ahmed</t>
  </si>
  <si>
    <t>Mohamed Ibrahim Taha</t>
  </si>
  <si>
    <t>Omima Khaled Mostafa Saleh</t>
  </si>
  <si>
    <t>Ahmed Mohamed Nasr</t>
  </si>
  <si>
    <t>Hassan Hisham Hassan</t>
  </si>
  <si>
    <t>Aml Adel Mohamed</t>
  </si>
  <si>
    <t>Asmaa Morgan Elsayed Mahmoud</t>
  </si>
  <si>
    <t>Merna Ehab Mohamed</t>
  </si>
  <si>
    <t>Rofida Khaled Aboelfotoh</t>
  </si>
  <si>
    <t>Adham Waleed Elmalahy</t>
  </si>
  <si>
    <t>Gamila Hamdi Ismail</t>
  </si>
  <si>
    <t>Bilal Eldaoudi Elsayed</t>
  </si>
  <si>
    <t>Mohamed Tarek Saad</t>
  </si>
  <si>
    <t>Esraa Abdelrehem Mohamed</t>
  </si>
  <si>
    <t>Marina Reda Wadie</t>
  </si>
  <si>
    <t>Juliana Atef Adly</t>
  </si>
  <si>
    <t>Amal Mohamed Askar</t>
  </si>
  <si>
    <t>Mina Abdelmassih Fraiz</t>
  </si>
  <si>
    <t>Mohamed Ahmed Mohamed Ahmed Zidan</t>
  </si>
  <si>
    <t>Antonius Maged Tharwat Quiser</t>
  </si>
  <si>
    <t>Martina Nashaat Khairy Aziz</t>
  </si>
  <si>
    <t>Youssef Maged Haroun</t>
  </si>
  <si>
    <t>Mariam Samy Makram</t>
  </si>
  <si>
    <t>Dina Ahmed Bar</t>
  </si>
  <si>
    <t>Omar Ahmed Abdelazeim Mahmoud</t>
  </si>
  <si>
    <t>Saad Mohamed Abdelaziz Abdallah</t>
  </si>
  <si>
    <t>Abdullah Reda Ragab Eleraqi</t>
  </si>
  <si>
    <t>Abanoub Eid Fouad</t>
  </si>
  <si>
    <t>Elsayed Tawfik Elsayed Khater</t>
  </si>
  <si>
    <t>Fekrya Hamdy Anwar</t>
  </si>
  <si>
    <t>Donia Sherif Ahmed</t>
  </si>
  <si>
    <t>Nour Khaled Esmail</t>
  </si>
  <si>
    <t>Mohamed Hamouda Abdelal</t>
  </si>
  <si>
    <t>Salah Safwat Mohamed Sayed</t>
  </si>
  <si>
    <t>Mostafa Gamal Mahmoud</t>
  </si>
  <si>
    <t>Amgad Fayez Khalil</t>
  </si>
  <si>
    <t>Saifallah Ayman Omar</t>
  </si>
  <si>
    <t>Abdelrahman Kamal Saleh</t>
  </si>
  <si>
    <t>Maria Hany Gamil Roshdy</t>
  </si>
  <si>
    <t>Abdelrahman Yousry Ahmed Nassar</t>
  </si>
  <si>
    <t>Nirmeen Mohamed Hassan Mohamed</t>
  </si>
  <si>
    <t>Mohamed Roshdy Elsaied Aly Ahmed</t>
  </si>
  <si>
    <t>Ahmed Baioumy Ali Baioumy</t>
  </si>
  <si>
    <t>Omar Raafat Neaem</t>
  </si>
  <si>
    <t>Mark Samy Ibrahem Tanyos</t>
  </si>
  <si>
    <t>Samar Hamed Mohamed</t>
  </si>
  <si>
    <t>Mohamed Ragab Abdelrahman Awad</t>
  </si>
  <si>
    <t>Hamed Maher Ibrahim</t>
  </si>
  <si>
    <t>Kholoud Ali Mossad</t>
  </si>
  <si>
    <t>Aya Hassanien Ahmed</t>
  </si>
  <si>
    <t>Mohamed Khaled Salah Eldeen</t>
  </si>
  <si>
    <t>Mohamed Maged Abdelmoneim Saied</t>
  </si>
  <si>
    <t>Mohamed Kamel Mostafa</t>
  </si>
  <si>
    <t>Mostafa Gamal Mousa Nasr</t>
  </si>
  <si>
    <t>Alaa Adel Elsayed</t>
  </si>
  <si>
    <t>Khaled Hamdy AbdeLhalim Ibrahim</t>
  </si>
  <si>
    <t>000</t>
  </si>
  <si>
    <t>Ali Fathy Belal</t>
  </si>
  <si>
    <t>Islam Emadeldin Mohamed</t>
  </si>
  <si>
    <t>Ahmed ellahoney</t>
  </si>
  <si>
    <t>Tanta Store</t>
  </si>
  <si>
    <t>Alex Office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</si>
</sst>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[$-409]d\-mmm\-yy"/>
    <numFmt numFmtId="180" formatCode="0000000000"/>
  </numFmts>
  <fonts count="36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rgb="FFFFFFFF"/>
      <name val="Calibri"/>
      <charset val="134"/>
    </font>
    <font>
      <b/>
      <sz val="9"/>
      <color theme="0"/>
      <name val="Calibri"/>
      <charset val="134"/>
    </font>
    <font>
      <sz val="11"/>
      <color rgb="FF000000"/>
      <name val="Calibri"/>
      <charset val="134"/>
    </font>
    <font>
      <sz val="11"/>
      <color rgb="FF548135"/>
      <name val="Calibri"/>
      <charset val="134"/>
    </font>
    <font>
      <sz val="11"/>
      <color rgb="FF0070C0"/>
      <name val="Calibri"/>
      <charset val="134"/>
    </font>
    <font>
      <sz val="11"/>
      <color rgb="FF000000"/>
      <name val="Calibri"/>
      <charset val="134"/>
    </font>
    <font>
      <sz val="11"/>
      <color rgb="FF800000"/>
      <name val="Calibri"/>
      <charset val="134"/>
      <scheme val="minor"/>
    </font>
    <font>
      <sz val="11"/>
      <color rgb="FF0033CC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Bodoni"/>
      <charset val="134"/>
    </font>
    <font>
      <sz val="10"/>
      <color rgb="FF0033CC"/>
      <name val="Bodoni"/>
      <charset val="134"/>
    </font>
    <font>
      <sz val="11"/>
      <color rgb="FF800000"/>
      <name val="Calibri"/>
      <charset val="134"/>
    </font>
    <font>
      <sz val="11"/>
      <color rgb="FF000000"/>
      <name val="Calibri"/>
      <charset val="134"/>
      <scheme val="minor"/>
    </font>
    <font>
      <sz val="9"/>
      <color rgb="FF000000"/>
      <name val="Calibari"/>
      <charset val="134"/>
    </font>
    <font>
      <sz val="11"/>
      <color rgb="FF0070C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8" borderId="15" applyNumberFormat="0" applyAlignment="0" applyProtection="0">
      <alignment vertical="center"/>
    </xf>
    <xf numFmtId="0" fontId="27" fillId="8" borderId="14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" fontId="7" fillId="3" borderId="7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79" fontId="15" fillId="0" borderId="7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" fontId="7" fillId="0" borderId="6" xfId="0" applyNumberFormat="1" applyFont="1" applyFill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180" fontId="7" fillId="0" borderId="7" xfId="0" applyNumberFormat="1" applyFont="1" applyFill="1" applyBorder="1" applyAlignment="1">
      <alignment horizontal="center" vertical="center"/>
    </xf>
    <xf numFmtId="178" fontId="7" fillId="0" borderId="7" xfId="0" applyNumberFormat="1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11" fillId="0" borderId="6" xfId="0" applyNumberFormat="1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5" fontId="7" fillId="5" borderId="7" xfId="0" applyNumberFormat="1" applyFont="1" applyFill="1" applyBorder="1" applyAlignment="1">
      <alignment horizontal="center" vertical="center"/>
    </xf>
    <xf numFmtId="1" fontId="7" fillId="0" borderId="10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AVS%20Structur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P\Desktop\Book29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\Medical%20Inssurance\Wave%20Apr\AVS%20Structure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/>
      <sheetData sheetId="1"/>
      <sheetData sheetId="2">
        <row r="1">
          <cell r="A1" t="str">
            <v>CRM Code ( If Found )</v>
          </cell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A2" t="str">
            <v>NA</v>
          </cell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A3">
            <v>666</v>
          </cell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A4">
            <v>665</v>
          </cell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A5">
            <v>248</v>
          </cell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A6">
            <v>877</v>
          </cell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A7">
            <v>181</v>
          </cell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A8">
            <v>659</v>
          </cell>
          <cell r="B8" t="str">
            <v>Mohamed Abdelhameid</v>
          </cell>
          <cell r="C8" t="str">
            <v>Mohamed ellahoney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A9">
            <v>663</v>
          </cell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A10">
            <v>1124</v>
          </cell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A11">
            <v>1541</v>
          </cell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A12">
            <v>1751</v>
          </cell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A13">
            <v>934</v>
          </cell>
          <cell r="B13" t="str">
            <v>Aghathon Loukas Mokhles</v>
          </cell>
          <cell r="C13" t="str">
            <v>Mohamed ellahoney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A14">
            <v>657</v>
          </cell>
          <cell r="B14" t="str">
            <v>Ahmed ibrahim Eissa</v>
          </cell>
          <cell r="C14" t="str">
            <v>Mohamed ellahoney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A15">
            <v>224</v>
          </cell>
          <cell r="B15" t="str">
            <v>Habiba Tarek</v>
          </cell>
          <cell r="C15" t="str">
            <v>Mohamed ellahoney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A16">
            <v>1795</v>
          </cell>
          <cell r="B16" t="str">
            <v>Rawan Magdy Ibrahim</v>
          </cell>
          <cell r="C16" t="str">
            <v>Mohamed ellahoney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A17">
            <v>1783</v>
          </cell>
          <cell r="B17" t="str">
            <v>Shrouk Sayed Mohamed</v>
          </cell>
          <cell r="C17" t="str">
            <v>Mohamed ellahoney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A18">
            <v>1801</v>
          </cell>
          <cell r="B18" t="str">
            <v>Nada Abdelhakeem Mohamed</v>
          </cell>
          <cell r="C18" t="str">
            <v>Mohamed ellahoney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A19">
            <v>146</v>
          </cell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A20">
            <v>741</v>
          </cell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A21">
            <v>721</v>
          </cell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A22">
            <v>932</v>
          </cell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A23">
            <v>1266</v>
          </cell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A24">
            <v>1778</v>
          </cell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A25">
            <v>1846</v>
          </cell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A26">
            <v>1035</v>
          </cell>
          <cell r="B26" t="str">
            <v>Nermeen Amin Khalil</v>
          </cell>
          <cell r="C26" t="str">
            <v>Walaa Marie</v>
          </cell>
          <cell r="D26" t="str">
            <v>Compliance</v>
          </cell>
          <cell r="E26" t="str">
            <v>Nermeen.Amin.Khalil@averroes-eg.com</v>
          </cell>
          <cell r="F26">
            <v>1278844840</v>
          </cell>
          <cell r="G26" t="str">
            <v>Operation Supervisor</v>
          </cell>
          <cell r="H26" t="str">
            <v>Active</v>
          </cell>
          <cell r="I26">
            <v>44913</v>
          </cell>
        </row>
        <row r="26">
          <cell r="K26">
            <v>1035</v>
          </cell>
        </row>
        <row r="27">
          <cell r="A27">
            <v>1811</v>
          </cell>
          <cell r="B27" t="str">
            <v>Abeer Mansour Abdelmouty</v>
          </cell>
          <cell r="C27" t="str">
            <v>Walaa Marie</v>
          </cell>
          <cell r="D27" t="str">
            <v>Compliance</v>
          </cell>
          <cell r="E27" t="str">
            <v>Abeer.Mansour.Abdelmouty@averroes-eg.com</v>
          </cell>
          <cell r="F27">
            <v>1150681352</v>
          </cell>
          <cell r="G27" t="str">
            <v>Operation Admin</v>
          </cell>
          <cell r="H27" t="str">
            <v>Active</v>
          </cell>
          <cell r="I27">
            <v>45999</v>
          </cell>
        </row>
        <row r="27">
          <cell r="K27">
            <v>1811</v>
          </cell>
        </row>
        <row r="28">
          <cell r="A28">
            <v>563</v>
          </cell>
          <cell r="B28" t="str">
            <v>Mohamed Enaya</v>
          </cell>
          <cell r="C28" t="str">
            <v>Ahmed ellahoney</v>
          </cell>
          <cell r="D28" t="str">
            <v>Marketing</v>
          </cell>
          <cell r="E28" t="str">
            <v>mohamed.enaya@averroes-eg.com</v>
          </cell>
          <cell r="F28">
            <v>1004846375</v>
          </cell>
          <cell r="G28" t="str">
            <v>Product Manager</v>
          </cell>
          <cell r="H28" t="str">
            <v>Active</v>
          </cell>
        </row>
        <row r="28">
          <cell r="K28">
            <v>563</v>
          </cell>
        </row>
        <row r="29">
          <cell r="A29">
            <v>72</v>
          </cell>
          <cell r="B29" t="str">
            <v>Mostafa El Banna</v>
          </cell>
          <cell r="C29" t="str">
            <v>Ahmed ellahoney</v>
          </cell>
          <cell r="D29" t="str">
            <v>Marketing</v>
          </cell>
          <cell r="E29" t="str">
            <v>mostafa.elbanna@averroes-eg.com</v>
          </cell>
          <cell r="F29">
            <v>1096958681</v>
          </cell>
          <cell r="G29" t="str">
            <v>Product Manager</v>
          </cell>
          <cell r="H29" t="str">
            <v>Active</v>
          </cell>
        </row>
        <row r="29">
          <cell r="K29">
            <v>72</v>
          </cell>
        </row>
        <row r="30">
          <cell r="A30">
            <v>945</v>
          </cell>
          <cell r="B30" t="str">
            <v>Khaled Ahmed AbdElGelil ElGendy</v>
          </cell>
          <cell r="C30" t="str">
            <v>Ahmed ellahoney</v>
          </cell>
          <cell r="D30" t="str">
            <v>Marketing</v>
          </cell>
          <cell r="E30" t="str">
            <v>Khaled.ElGendy@averroes-eg.com</v>
          </cell>
          <cell r="F30">
            <v>1020985077</v>
          </cell>
          <cell r="G30" t="str">
            <v>Product Manager</v>
          </cell>
          <cell r="H30" t="str">
            <v>Active</v>
          </cell>
          <cell r="I30">
            <v>44598</v>
          </cell>
        </row>
        <row r="30">
          <cell r="K30">
            <v>945</v>
          </cell>
        </row>
        <row r="31">
          <cell r="A31">
            <v>968</v>
          </cell>
          <cell r="B31" t="str">
            <v>Abdallah Mohamed Mohamed Roshdy</v>
          </cell>
          <cell r="C31" t="str">
            <v>Ahmed ellahoney</v>
          </cell>
          <cell r="D31" t="str">
            <v>Marketing</v>
          </cell>
          <cell r="E31" t="str">
            <v>Abdallah.Roshdy@averroes-eg.com</v>
          </cell>
          <cell r="F31">
            <v>1114000922</v>
          </cell>
          <cell r="G31" t="str">
            <v>Product Manager</v>
          </cell>
          <cell r="H31" t="str">
            <v>Active</v>
          </cell>
          <cell r="I31">
            <v>44699</v>
          </cell>
        </row>
        <row r="31">
          <cell r="K31">
            <v>968</v>
          </cell>
        </row>
        <row r="32">
          <cell r="A32">
            <v>1001</v>
          </cell>
          <cell r="B32" t="str">
            <v>Mohamed Sabry Ahmed</v>
          </cell>
          <cell r="C32" t="str">
            <v>Ahmed ellahoney</v>
          </cell>
          <cell r="D32" t="str">
            <v>Marketing</v>
          </cell>
          <cell r="E32" t="str">
            <v>Mohamed.Sabry.Ahmed@averroes-eg.com</v>
          </cell>
          <cell r="F32">
            <v>1021360024</v>
          </cell>
          <cell r="G32" t="str">
            <v>Product Manager</v>
          </cell>
          <cell r="H32" t="str">
            <v>Active</v>
          </cell>
          <cell r="I32">
            <v>44819</v>
          </cell>
        </row>
        <row r="32">
          <cell r="K32">
            <v>1001</v>
          </cell>
        </row>
        <row r="33">
          <cell r="A33">
            <v>884</v>
          </cell>
          <cell r="B33" t="str">
            <v>Islam Mohamed Elsayed</v>
          </cell>
          <cell r="C33" t="str">
            <v>Mohamed ellahoney</v>
          </cell>
          <cell r="D33" t="str">
            <v>Distribution</v>
          </cell>
          <cell r="E33" t="str">
            <v>Islam.Mohamed.Elsayed@averroes-eg.com</v>
          </cell>
          <cell r="F33">
            <v>1063301935</v>
          </cell>
          <cell r="G33" t="str">
            <v>Commercial Manager</v>
          </cell>
          <cell r="H33" t="str">
            <v>Active</v>
          </cell>
          <cell r="I33">
            <v>44197</v>
          </cell>
        </row>
        <row r="33">
          <cell r="K33">
            <v>884</v>
          </cell>
        </row>
        <row r="34">
          <cell r="A34">
            <v>728</v>
          </cell>
          <cell r="B34" t="str">
            <v>Reem Sameh Fouad</v>
          </cell>
          <cell r="C34" t="str">
            <v>Islam Mohamed Elsayed</v>
          </cell>
          <cell r="D34" t="str">
            <v>Distribution</v>
          </cell>
          <cell r="E34" t="str">
            <v>Reem.Sameh.Fouad@averroes-eg.com</v>
          </cell>
          <cell r="F34">
            <v>1124409966</v>
          </cell>
          <cell r="G34" t="str">
            <v>Distribution Specialist</v>
          </cell>
          <cell r="H34" t="str">
            <v>Active</v>
          </cell>
        </row>
        <row r="34">
          <cell r="K34">
            <v>728</v>
          </cell>
        </row>
        <row r="35">
          <cell r="A35">
            <v>1507</v>
          </cell>
          <cell r="B35" t="str">
            <v>Saied Selim Mohamed</v>
          </cell>
          <cell r="C35" t="str">
            <v>Islam Mohamed Elsayed</v>
          </cell>
          <cell r="D35" t="str">
            <v>Distribution</v>
          </cell>
          <cell r="E35" t="str">
            <v>Saied.Selim.Mohamed@averroes-eg.com</v>
          </cell>
          <cell r="F35">
            <v>1055932040</v>
          </cell>
          <cell r="G35" t="str">
            <v>Distribution Specialist</v>
          </cell>
          <cell r="H35" t="str">
            <v>Active</v>
          </cell>
          <cell r="I35">
            <v>45550</v>
          </cell>
        </row>
        <row r="35">
          <cell r="K35">
            <v>1507</v>
          </cell>
        </row>
        <row r="36">
          <cell r="A36">
            <v>1798</v>
          </cell>
          <cell r="B36" t="str">
            <v>Ahmed ElSayed Ragab</v>
          </cell>
          <cell r="C36" t="str">
            <v>Islam Mohamed Elsayed</v>
          </cell>
          <cell r="D36" t="str">
            <v>Distribution</v>
          </cell>
        </row>
        <row r="36">
          <cell r="G36" t="str">
            <v>Distribution Specialist</v>
          </cell>
          <cell r="H36" t="str">
            <v>Active</v>
          </cell>
          <cell r="I36">
            <v>45914</v>
          </cell>
        </row>
        <row r="36">
          <cell r="K36">
            <v>1798</v>
          </cell>
        </row>
        <row r="37">
          <cell r="A37">
            <v>1796</v>
          </cell>
          <cell r="B37" t="str">
            <v>Mostafa Ibrahim Mohamed</v>
          </cell>
          <cell r="C37" t="str">
            <v>Saied Selim Mohamed</v>
          </cell>
          <cell r="D37" t="str">
            <v>Distribution</v>
          </cell>
        </row>
        <row r="37">
          <cell r="F37">
            <v>1271336001</v>
          </cell>
          <cell r="G37" t="str">
            <v>Store Specialist</v>
          </cell>
          <cell r="H37" t="str">
            <v>Active</v>
          </cell>
          <cell r="I37">
            <v>45689</v>
          </cell>
        </row>
        <row r="37">
          <cell r="K37">
            <v>1796</v>
          </cell>
        </row>
        <row r="38">
          <cell r="A38">
            <v>1793</v>
          </cell>
          <cell r="B38" t="str">
            <v>Mohamed Eid Mohamed</v>
          </cell>
          <cell r="C38" t="str">
            <v>Saied Selim Mohamed</v>
          </cell>
          <cell r="D38" t="str">
            <v>Distribution</v>
          </cell>
        </row>
        <row r="38">
          <cell r="F38">
            <v>1114430870</v>
          </cell>
          <cell r="G38" t="str">
            <v>Direct Sales</v>
          </cell>
          <cell r="H38" t="str">
            <v>Active</v>
          </cell>
          <cell r="I38">
            <v>45559</v>
          </cell>
        </row>
        <row r="38">
          <cell r="K38">
            <v>1793</v>
          </cell>
        </row>
        <row r="39">
          <cell r="A39">
            <v>802</v>
          </cell>
          <cell r="B39" t="str">
            <v>Samar Samy Ibrahim</v>
          </cell>
          <cell r="C39" t="str">
            <v>Abd Elhameed Elshiekh</v>
          </cell>
          <cell r="D39" t="str">
            <v>Unit Admin</v>
          </cell>
          <cell r="E39" t="str">
            <v>Samar.Samy.Ibrahim@averroes-eg.com</v>
          </cell>
          <cell r="F39">
            <v>1113580088</v>
          </cell>
          <cell r="G39" t="str">
            <v>Operation Specialist</v>
          </cell>
          <cell r="H39" t="str">
            <v>Active</v>
          </cell>
          <cell r="I39">
            <v>44381</v>
          </cell>
        </row>
        <row r="39">
          <cell r="K39">
            <v>802</v>
          </cell>
        </row>
        <row r="40">
          <cell r="A40">
            <v>1265</v>
          </cell>
          <cell r="B40" t="str">
            <v>Mohamed Abd El Ghany Omar</v>
          </cell>
          <cell r="C40" t="str">
            <v>Abo El Abbas Samir</v>
          </cell>
          <cell r="D40" t="str">
            <v>Unit Admin</v>
          </cell>
          <cell r="E40" t="str">
            <v>Mohamed.AbdElGhany.Omar@averroes-eg.com</v>
          </cell>
          <cell r="F40">
            <v>1554694554</v>
          </cell>
          <cell r="G40" t="str">
            <v>Operation and Analytics Specialist</v>
          </cell>
          <cell r="H40" t="str">
            <v>Active</v>
          </cell>
          <cell r="I40">
            <v>45179</v>
          </cell>
        </row>
        <row r="40">
          <cell r="K40">
            <v>1265</v>
          </cell>
        </row>
        <row r="41">
          <cell r="A41">
            <v>8</v>
          </cell>
          <cell r="B41" t="str">
            <v>Fatma Mohamed mohamed</v>
          </cell>
          <cell r="C41" t="str">
            <v>Ibrahim Ammar</v>
          </cell>
          <cell r="D41" t="str">
            <v>Unit Admin</v>
          </cell>
          <cell r="E41" t="str">
            <v>Fatima.Mohamed@averroes-eg.com</v>
          </cell>
          <cell r="F41">
            <v>1066082702</v>
          </cell>
          <cell r="G41" t="str">
            <v>Operation Specialist</v>
          </cell>
          <cell r="H41" t="str">
            <v>Active</v>
          </cell>
          <cell r="I41">
            <v>39237</v>
          </cell>
        </row>
        <row r="41">
          <cell r="K41">
            <v>8</v>
          </cell>
        </row>
        <row r="42">
          <cell r="A42">
            <v>744</v>
          </cell>
          <cell r="B42" t="str">
            <v>Yehya Mohamed Yehya</v>
          </cell>
          <cell r="C42" t="str">
            <v>Ahmed ibrahim Eissa</v>
          </cell>
          <cell r="D42" t="str">
            <v>Office Boy</v>
          </cell>
        </row>
        <row r="42">
          <cell r="G42" t="str">
            <v>Office Boy</v>
          </cell>
          <cell r="H42" t="str">
            <v>Active</v>
          </cell>
        </row>
        <row r="42">
          <cell r="K42">
            <v>744</v>
          </cell>
        </row>
        <row r="43">
          <cell r="A43">
            <v>745</v>
          </cell>
          <cell r="B43" t="str">
            <v>Mohamed Ahmed AbdElAziz Elhamrawy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745</v>
          </cell>
        </row>
        <row r="44">
          <cell r="A44">
            <v>669</v>
          </cell>
          <cell r="B44" t="str">
            <v>Reda Ahmed Fotouh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669</v>
          </cell>
        </row>
        <row r="45">
          <cell r="A45">
            <v>671</v>
          </cell>
          <cell r="B45" t="str">
            <v>Mohammed Al-Sayed Al-Rifai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671</v>
          </cell>
        </row>
        <row r="46">
          <cell r="A46">
            <v>1797</v>
          </cell>
          <cell r="B46" t="str">
            <v>Hamed Saady Nour</v>
          </cell>
          <cell r="C46" t="str">
            <v>Ahmed ibrahim Eissa</v>
          </cell>
          <cell r="D46" t="str">
            <v>Office Boy</v>
          </cell>
        </row>
        <row r="46">
          <cell r="F46">
            <v>1123997276</v>
          </cell>
          <cell r="G46" t="str">
            <v>Office Boy</v>
          </cell>
          <cell r="H46" t="str">
            <v>Active</v>
          </cell>
          <cell r="I46">
            <v>45782</v>
          </cell>
        </row>
        <row r="46">
          <cell r="K46">
            <v>1797</v>
          </cell>
        </row>
        <row r="47">
          <cell r="A47">
            <v>668</v>
          </cell>
          <cell r="B47" t="str">
            <v>Mahmoud Mohamed Mahmoud El bord</v>
          </cell>
          <cell r="C47" t="str">
            <v>Saied Selim Mohamed</v>
          </cell>
          <cell r="D47" t="str">
            <v>Store</v>
          </cell>
        </row>
        <row r="47">
          <cell r="H47" t="str">
            <v>Active</v>
          </cell>
        </row>
        <row r="47">
          <cell r="K47">
            <v>668</v>
          </cell>
        </row>
        <row r="48">
          <cell r="A48">
            <v>672</v>
          </cell>
          <cell r="B48" t="str">
            <v>Heidi Magdy Ibrahim</v>
          </cell>
        </row>
        <row r="48">
          <cell r="H48" t="str">
            <v>Active</v>
          </cell>
        </row>
        <row r="48">
          <cell r="K48">
            <v>672</v>
          </cell>
        </row>
        <row r="49">
          <cell r="A49">
            <v>693</v>
          </cell>
          <cell r="B49" t="str">
            <v>Mohamed Ismael Zayed</v>
          </cell>
          <cell r="C49" t="str">
            <v>Hanien Barakat</v>
          </cell>
          <cell r="D49" t="str">
            <v>SFE</v>
          </cell>
          <cell r="E49" t="str">
            <v>Mohamed.Zayed@averroes-eg.com</v>
          </cell>
          <cell r="F49">
            <v>1029169399</v>
          </cell>
          <cell r="G49" t="str">
            <v>SFE Specialist</v>
          </cell>
          <cell r="H49" t="str">
            <v>Inactive</v>
          </cell>
        </row>
        <row r="49">
          <cell r="J49">
            <v>45535</v>
          </cell>
          <cell r="K49">
            <v>693</v>
          </cell>
        </row>
        <row r="50">
          <cell r="A50">
            <v>658</v>
          </cell>
          <cell r="B50" t="str">
            <v>Mahmoud abbas</v>
          </cell>
        </row>
        <row r="50">
          <cell r="D50" t="str">
            <v>Sales</v>
          </cell>
          <cell r="E50" t="str">
            <v>mahmoud.abbas@averroes-eg.com</v>
          </cell>
          <cell r="F50">
            <v>1030892555</v>
          </cell>
          <cell r="G50" t="str">
            <v>Sales Admin</v>
          </cell>
          <cell r="H50" t="str">
            <v>Inactive</v>
          </cell>
        </row>
        <row r="50">
          <cell r="K50">
            <v>658</v>
          </cell>
        </row>
        <row r="51">
          <cell r="A51">
            <v>656</v>
          </cell>
          <cell r="B51" t="str">
            <v>Ahmed El Rayan</v>
          </cell>
        </row>
        <row r="51">
          <cell r="D51" t="str">
            <v>Sales</v>
          </cell>
          <cell r="E51" t="str">
            <v>Ahmed.ElRayan@averroes-eg.com</v>
          </cell>
          <cell r="F51">
            <v>1127507007</v>
          </cell>
          <cell r="G51" t="str">
            <v>Sales Admin</v>
          </cell>
          <cell r="H51" t="str">
            <v>Inactive</v>
          </cell>
        </row>
        <row r="51">
          <cell r="K51">
            <v>656</v>
          </cell>
        </row>
        <row r="52">
          <cell r="A52">
            <v>729</v>
          </cell>
          <cell r="B52" t="str">
            <v>Omar Ibrahim Elmekkawy</v>
          </cell>
        </row>
        <row r="52">
          <cell r="D52" t="str">
            <v>Sales</v>
          </cell>
          <cell r="E52" t="str">
            <v>Omar.Ibrahim.Elmekkawy@averroes-eg.com</v>
          </cell>
        </row>
        <row r="52">
          <cell r="G52" t="str">
            <v>Sales Admin</v>
          </cell>
          <cell r="H52" t="str">
            <v>Inactive</v>
          </cell>
        </row>
        <row r="52">
          <cell r="J52">
            <v>45145</v>
          </cell>
          <cell r="K52">
            <v>729</v>
          </cell>
        </row>
        <row r="53">
          <cell r="A53">
            <v>1285</v>
          </cell>
          <cell r="B53" t="str">
            <v>AbdelLatif Said Omara</v>
          </cell>
          <cell r="C53" t="str">
            <v>Mohamed Hassan Abdallah</v>
          </cell>
          <cell r="D53" t="str">
            <v>Trade Department</v>
          </cell>
          <cell r="E53" t="str">
            <v>AbdelLatif.Said.Omara@averroes-eg.com</v>
          </cell>
          <cell r="F53">
            <v>1154007679</v>
          </cell>
          <cell r="G53" t="str">
            <v>Key Account Manager</v>
          </cell>
          <cell r="H53" t="str">
            <v>inactive</v>
          </cell>
          <cell r="I53">
            <v>45207</v>
          </cell>
          <cell r="J53">
            <v>45231</v>
          </cell>
          <cell r="K53">
            <v>1285</v>
          </cell>
        </row>
        <row r="54">
          <cell r="A54">
            <v>667</v>
          </cell>
          <cell r="B54" t="str">
            <v>Saeed Hamed Al-Sayed Ahmed</v>
          </cell>
        </row>
        <row r="54">
          <cell r="D54" t="str">
            <v>Office Boy</v>
          </cell>
        </row>
        <row r="54">
          <cell r="H54" t="str">
            <v>Inactive</v>
          </cell>
        </row>
        <row r="54">
          <cell r="K54">
            <v>667</v>
          </cell>
        </row>
        <row r="55">
          <cell r="A55">
            <v>1426</v>
          </cell>
          <cell r="B55" t="str">
            <v>Seif Ahmed AbdElAzem</v>
          </cell>
          <cell r="C55" t="str">
            <v>Walaa Marie</v>
          </cell>
          <cell r="D55" t="str">
            <v>Compliance</v>
          </cell>
          <cell r="E55" t="str">
            <v>Seif.Ahmed.AbdElAzem@averroes-eg.com</v>
          </cell>
          <cell r="F55">
            <v>1066440281</v>
          </cell>
          <cell r="G55" t="str">
            <v>System Admin</v>
          </cell>
          <cell r="H55" t="str">
            <v>Inactive</v>
          </cell>
          <cell r="I55">
            <v>45517</v>
          </cell>
          <cell r="J55">
            <v>45626</v>
          </cell>
          <cell r="K55">
            <v>1426</v>
          </cell>
        </row>
        <row r="56">
          <cell r="A56">
            <v>746</v>
          </cell>
          <cell r="B56" t="str">
            <v>Mohamed Moubarak Khalifa</v>
          </cell>
          <cell r="C56" t="str">
            <v>Ahmed ibrahim Eissa</v>
          </cell>
          <cell r="D56" t="str">
            <v>Office Boy</v>
          </cell>
        </row>
        <row r="56">
          <cell r="H56" t="str">
            <v>Inactive</v>
          </cell>
        </row>
        <row r="56">
          <cell r="K56">
            <v>746</v>
          </cell>
        </row>
        <row r="57">
          <cell r="A57">
            <v>5003</v>
          </cell>
          <cell r="B57" t="str">
            <v>Kareem Ayman Mohamed</v>
          </cell>
          <cell r="C57" t="str">
            <v>Hanien Barakat</v>
          </cell>
          <cell r="D57" t="str">
            <v>SFE</v>
          </cell>
          <cell r="E57" t="str">
            <v>Kareem.Ayman@averroes-eg.com</v>
          </cell>
          <cell r="F57">
            <v>1273311689</v>
          </cell>
          <cell r="G57" t="str">
            <v>SFE Admin</v>
          </cell>
          <cell r="H57" t="str">
            <v>Inactive</v>
          </cell>
          <cell r="I57">
            <v>45313</v>
          </cell>
          <cell r="J57">
            <v>45716</v>
          </cell>
          <cell r="K57">
            <v>5003</v>
          </cell>
        </row>
        <row r="58">
          <cell r="A58">
            <v>288</v>
          </cell>
          <cell r="B58" t="str">
            <v>Joseph Wageh</v>
          </cell>
          <cell r="C58" t="str">
            <v>Mohamed ellahoney</v>
          </cell>
          <cell r="D58" t="str">
            <v>HR</v>
          </cell>
          <cell r="E58" t="str">
            <v>joseph.wageh@averroes-eg.com</v>
          </cell>
          <cell r="F58">
            <v>1277559964</v>
          </cell>
          <cell r="G58" t="str">
            <v>HR Manager</v>
          </cell>
          <cell r="H58" t="str">
            <v>Inactive</v>
          </cell>
        </row>
        <row r="58">
          <cell r="J58">
            <v>45808</v>
          </cell>
          <cell r="K58">
            <v>288</v>
          </cell>
        </row>
        <row r="59">
          <cell r="A59">
            <v>287</v>
          </cell>
          <cell r="B59" t="str">
            <v>Hanien Barakat</v>
          </cell>
          <cell r="C59" t="str">
            <v>Mohamed ellahoney</v>
          </cell>
          <cell r="D59" t="str">
            <v>Training &amp; SFE</v>
          </cell>
          <cell r="E59" t="str">
            <v>hanien.barakat@averroes-eg.com</v>
          </cell>
          <cell r="F59">
            <v>1018348599</v>
          </cell>
          <cell r="G59" t="str">
            <v>Training &amp; SFE Manager</v>
          </cell>
          <cell r="H59" t="str">
            <v>Inactive</v>
          </cell>
        </row>
        <row r="59">
          <cell r="J59">
            <v>45747</v>
          </cell>
          <cell r="K59">
            <v>287</v>
          </cell>
        </row>
        <row r="60">
          <cell r="A60">
            <v>432</v>
          </cell>
          <cell r="B60" t="str">
            <v>Moataz Refaat mahmoud</v>
          </cell>
          <cell r="C60" t="str">
            <v>Hanien Barakat</v>
          </cell>
          <cell r="D60" t="str">
            <v>Training</v>
          </cell>
          <cell r="E60" t="str">
            <v>moataz.refaat@averroes-eg.com</v>
          </cell>
          <cell r="F60">
            <v>1011285218</v>
          </cell>
          <cell r="G60" t="str">
            <v>Training Specialist</v>
          </cell>
          <cell r="H60" t="str">
            <v>Inactive</v>
          </cell>
          <cell r="I60">
            <v>43556</v>
          </cell>
          <cell r="J60">
            <v>45747</v>
          </cell>
          <cell r="K60">
            <v>432</v>
          </cell>
        </row>
        <row r="61">
          <cell r="A61">
            <v>1437</v>
          </cell>
          <cell r="B61" t="str">
            <v>Hazem Samy Anwar</v>
          </cell>
          <cell r="C61" t="str">
            <v>Joseph Wageh</v>
          </cell>
          <cell r="D61" t="str">
            <v>HR</v>
          </cell>
          <cell r="E61" t="str">
            <v>Hazem.AboZahra@averroes-eg.com</v>
          </cell>
          <cell r="F61">
            <v>1005700959</v>
          </cell>
          <cell r="G61" t="str">
            <v>Talent Acquisition Specialist</v>
          </cell>
          <cell r="H61" t="str">
            <v>Inactive</v>
          </cell>
          <cell r="I61">
            <v>45537</v>
          </cell>
          <cell r="J61">
            <v>45899</v>
          </cell>
          <cell r="K61">
            <v>1437</v>
          </cell>
        </row>
        <row r="62">
          <cell r="A62">
            <v>722</v>
          </cell>
          <cell r="B62" t="str">
            <v>Mahmoud AbdElreheem Shady</v>
          </cell>
          <cell r="C62" t="str">
            <v>Walaa Marie</v>
          </cell>
          <cell r="D62" t="str">
            <v>Compliance</v>
          </cell>
          <cell r="E62" t="str">
            <v>Mahmoud.Shadi@averroes-eg.com</v>
          </cell>
          <cell r="F62">
            <v>1092505002</v>
          </cell>
          <cell r="G62" t="str">
            <v>Field Compliance Specialist</v>
          </cell>
          <cell r="H62" t="str">
            <v>Inactive</v>
          </cell>
          <cell r="I62">
            <v>44817</v>
          </cell>
          <cell r="J62">
            <v>45900</v>
          </cell>
          <cell r="K62">
            <v>722</v>
          </cell>
        </row>
        <row r="63">
          <cell r="A63">
            <v>1039</v>
          </cell>
          <cell r="B63" t="str">
            <v>Ahmed Maher ElSharkawy</v>
          </cell>
          <cell r="C63" t="str">
            <v>Walaa Marie</v>
          </cell>
          <cell r="D63" t="str">
            <v>Compliance</v>
          </cell>
          <cell r="E63" t="str">
            <v>Ahmed.Maher.ElSharkawy@averroes-eg.com</v>
          </cell>
          <cell r="F63">
            <v>1142243432</v>
          </cell>
          <cell r="G63" t="str">
            <v>Field Compliance Specialist</v>
          </cell>
          <cell r="H63" t="str">
            <v>Inactive</v>
          </cell>
          <cell r="I63">
            <v>44927</v>
          </cell>
          <cell r="J63">
            <v>45869</v>
          </cell>
          <cell r="K63">
            <v>1039</v>
          </cell>
        </row>
        <row r="64">
          <cell r="A64">
            <v>1716</v>
          </cell>
          <cell r="B64" t="str">
            <v>Sawsan Atif AboAlfotouh</v>
          </cell>
          <cell r="C64" t="str">
            <v>Islam Mohamed Elsayed</v>
          </cell>
          <cell r="D64" t="str">
            <v>Distribution</v>
          </cell>
        </row>
        <row r="64">
          <cell r="F64">
            <v>1117696499</v>
          </cell>
          <cell r="G64" t="str">
            <v>Sales Rep</v>
          </cell>
          <cell r="H64" t="str">
            <v>Inactive</v>
          </cell>
          <cell r="I64">
            <v>45832</v>
          </cell>
          <cell r="J64">
            <v>45872</v>
          </cell>
          <cell r="K64">
            <v>1716</v>
          </cell>
        </row>
        <row r="65">
          <cell r="A65">
            <v>1614</v>
          </cell>
          <cell r="B65" t="str">
            <v>Dareen Hussein Ahmed</v>
          </cell>
          <cell r="C65" t="str">
            <v>Walaa Marie</v>
          </cell>
          <cell r="D65" t="str">
            <v>Compliance</v>
          </cell>
          <cell r="E65" t="str">
            <v>Dareen.Hussein.Ahmed@averroes-eg.com</v>
          </cell>
          <cell r="F65">
            <v>1027821333</v>
          </cell>
          <cell r="G65" t="str">
            <v>Admin</v>
          </cell>
          <cell r="H65" t="str">
            <v>Inactive</v>
          </cell>
          <cell r="I65">
            <v>45760</v>
          </cell>
          <cell r="J65">
            <v>45991</v>
          </cell>
          <cell r="K65">
            <v>1614</v>
          </cell>
        </row>
        <row r="66">
          <cell r="A66">
            <v>1272</v>
          </cell>
          <cell r="B66" t="str">
            <v>Mahmoud Mohamed Mahfouz</v>
          </cell>
          <cell r="C66" t="str">
            <v>Mohamed Hassan Abdallah</v>
          </cell>
          <cell r="D66" t="str">
            <v>Trade Department</v>
          </cell>
          <cell r="E66" t="str">
            <v>Mahmoud.Mohamed.Mahfouz@averroes-eg.com</v>
          </cell>
          <cell r="F66">
            <v>1111826099</v>
          </cell>
          <cell r="G66" t="str">
            <v>Key Account Manager</v>
          </cell>
          <cell r="H66" t="str">
            <v>Inactive</v>
          </cell>
          <cell r="I66">
            <v>45187</v>
          </cell>
        </row>
        <row r="66">
          <cell r="K66">
            <v>1272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CRM ID</v>
          </cell>
          <cell r="B1" t="str">
            <v>Employee Name</v>
          </cell>
          <cell r="C1" t="str">
            <v>District Manager</v>
          </cell>
          <cell r="D1" t="str">
            <v>Area Manager</v>
          </cell>
          <cell r="E1" t="str">
            <v>BUM</v>
          </cell>
          <cell r="F1" t="str">
            <v>Line</v>
          </cell>
          <cell r="G1" t="str">
            <v>S-Max User</v>
          </cell>
          <cell r="H1" t="str">
            <v>Title</v>
          </cell>
          <cell r="I1" t="str">
            <v>Region Name</v>
          </cell>
          <cell r="J1" t="str">
            <v>Mobile</v>
          </cell>
          <cell r="K1" t="str">
            <v>Hiring Date</v>
          </cell>
          <cell r="L1" t="str">
            <v>Mail</v>
          </cell>
          <cell r="M1" t="str">
            <v>CRM ID</v>
          </cell>
          <cell r="N1" t="str">
            <v>Address as 702 bricks</v>
          </cell>
        </row>
        <row r="2">
          <cell r="A2">
            <v>59</v>
          </cell>
          <cell r="B2" t="str">
            <v>Abd Elhameed Elshiekh</v>
          </cell>
          <cell r="C2" t="str">
            <v/>
          </cell>
          <cell r="D2" t="str">
            <v/>
          </cell>
        </row>
        <row r="2">
          <cell r="F2" t="str">
            <v>Unit 1</v>
          </cell>
        </row>
        <row r="2">
          <cell r="H2" t="str">
            <v>BUM</v>
          </cell>
          <cell r="I2" t="str">
            <v>Country</v>
          </cell>
        </row>
        <row r="2">
          <cell r="L2" t="str">
            <v>abdelhameed.elshiekh@averroes-eg.com</v>
          </cell>
          <cell r="M2">
            <v>59</v>
          </cell>
          <cell r="N2" t="str">
            <v>BU_1</v>
          </cell>
        </row>
        <row r="3">
          <cell r="A3">
            <v>60</v>
          </cell>
          <cell r="B3" t="str">
            <v>Ibrahim Ammar</v>
          </cell>
          <cell r="C3" t="str">
            <v/>
          </cell>
          <cell r="D3" t="str">
            <v/>
          </cell>
        </row>
        <row r="3">
          <cell r="F3" t="str">
            <v>Unit 2</v>
          </cell>
        </row>
        <row r="3">
          <cell r="H3" t="str">
            <v>BUM</v>
          </cell>
          <cell r="I3" t="str">
            <v>Country</v>
          </cell>
        </row>
        <row r="3">
          <cell r="L3" t="str">
            <v>ibrahim.ammar@averroes-eg.com</v>
          </cell>
          <cell r="M3">
            <v>60</v>
          </cell>
          <cell r="N3" t="str">
            <v>BU_2</v>
          </cell>
        </row>
        <row r="4">
          <cell r="A4">
            <v>61</v>
          </cell>
          <cell r="B4" t="str">
            <v>Abo El Abbas Samir</v>
          </cell>
          <cell r="C4" t="str">
            <v/>
          </cell>
          <cell r="D4" t="str">
            <v/>
          </cell>
        </row>
        <row r="4">
          <cell r="F4" t="str">
            <v>Unit 3</v>
          </cell>
        </row>
        <row r="4">
          <cell r="H4" t="str">
            <v>BUM</v>
          </cell>
          <cell r="I4" t="str">
            <v>Country</v>
          </cell>
        </row>
        <row r="4">
          <cell r="L4" t="str">
            <v>aboelabbas.samir@averroes-eg.com</v>
          </cell>
          <cell r="M4">
            <v>61</v>
          </cell>
          <cell r="N4" t="str">
            <v>BU_3</v>
          </cell>
        </row>
        <row r="5">
          <cell r="A5">
            <v>160</v>
          </cell>
          <cell r="B5" t="str">
            <v>Abdallah Gamal Elsayed</v>
          </cell>
        </row>
        <row r="5">
          <cell r="F5" t="str">
            <v>Unit 4</v>
          </cell>
        </row>
        <row r="5">
          <cell r="H5" t="str">
            <v>LM</v>
          </cell>
          <cell r="I5" t="str">
            <v>Country</v>
          </cell>
          <cell r="J5">
            <v>1028045242</v>
          </cell>
          <cell r="K5">
            <v>39376</v>
          </cell>
          <cell r="L5" t="str">
            <v>abdallah.gamal@averroes-eg.com</v>
          </cell>
          <cell r="M5">
            <v>160</v>
          </cell>
          <cell r="N5" t="str">
            <v>Menof</v>
          </cell>
        </row>
        <row r="6">
          <cell r="A6">
            <v>799</v>
          </cell>
          <cell r="B6" t="str">
            <v>Ahmed Hamdy Ahmed</v>
          </cell>
        </row>
        <row r="6">
          <cell r="E6" t="str">
            <v>Abd Elhameed Elshiekh</v>
          </cell>
          <cell r="F6" t="str">
            <v>Averozolid Line</v>
          </cell>
          <cell r="G6" t="str">
            <v>ZM_2</v>
          </cell>
          <cell r="H6" t="str">
            <v>AM</v>
          </cell>
          <cell r="I6" t="str">
            <v>Alex</v>
          </cell>
          <cell r="J6">
            <v>1097195559</v>
          </cell>
          <cell r="K6">
            <v>44378</v>
          </cell>
          <cell r="L6" t="str">
            <v>Ahmed.Hamdy.Ahmed@averroes-eg.com</v>
          </cell>
          <cell r="M6">
            <v>799</v>
          </cell>
          <cell r="N6" t="str">
            <v>Sidi Beshr Kebly</v>
          </cell>
        </row>
        <row r="7">
          <cell r="A7">
            <v>1063</v>
          </cell>
          <cell r="B7" t="str">
            <v>Asmaa Ahmed Mohamed</v>
          </cell>
        </row>
        <row r="7">
          <cell r="D7" t="str">
            <v>Ahmed Hamdy Ahmed</v>
          </cell>
          <cell r="E7" t="str">
            <v>Abd Elhameed Elshiekh</v>
          </cell>
          <cell r="F7" t="str">
            <v>Averozolid Line</v>
          </cell>
          <cell r="G7" t="str">
            <v>DM_103</v>
          </cell>
          <cell r="H7" t="str">
            <v>DM</v>
          </cell>
          <cell r="I7" t="str">
            <v>Alex</v>
          </cell>
          <cell r="J7">
            <v>1013426462</v>
          </cell>
          <cell r="K7">
            <v>44927</v>
          </cell>
          <cell r="L7" t="str">
            <v>Asmaa.Ahmed.Mohamed@averroes-eg.com</v>
          </cell>
          <cell r="M7">
            <v>1063</v>
          </cell>
          <cell r="N7" t="str">
            <v>El Agamy</v>
          </cell>
        </row>
        <row r="8">
          <cell r="A8">
            <v>1723</v>
          </cell>
          <cell r="B8" t="str">
            <v>Ammar Mahmoud Shehata</v>
          </cell>
          <cell r="C8" t="str">
            <v>Asmaa Ahmed Mohamed</v>
          </cell>
          <cell r="D8" t="str">
            <v>Ahmed Hamdy Ahmed</v>
          </cell>
          <cell r="E8" t="str">
            <v>Abd Elhameed Elshiekh</v>
          </cell>
          <cell r="F8" t="str">
            <v>Averozolid Line</v>
          </cell>
          <cell r="G8" t="str">
            <v>Rep1095</v>
          </cell>
          <cell r="H8" t="str">
            <v>MR</v>
          </cell>
          <cell r="I8" t="str">
            <v>Alex</v>
          </cell>
          <cell r="J8">
            <v>1024665225</v>
          </cell>
          <cell r="K8">
            <v>45871</v>
          </cell>
        </row>
        <row r="8">
          <cell r="M8">
            <v>1723</v>
          </cell>
          <cell r="N8" t="str">
            <v>Abo Homos</v>
          </cell>
        </row>
        <row r="9">
          <cell r="A9">
            <v>1064</v>
          </cell>
          <cell r="B9" t="str">
            <v>Donia Gamal Ahmed</v>
          </cell>
          <cell r="C9" t="str">
            <v>Asmaa Ahmed Mohamed</v>
          </cell>
          <cell r="D9" t="str">
            <v>Ahmed Hamdy Ahmed</v>
          </cell>
          <cell r="E9" t="str">
            <v>Abd Elhameed Elshiekh</v>
          </cell>
          <cell r="F9" t="str">
            <v>Averozolid Line</v>
          </cell>
          <cell r="G9" t="str">
            <v>Rep614</v>
          </cell>
          <cell r="H9" t="str">
            <v>MR</v>
          </cell>
          <cell r="I9" t="str">
            <v>Alex</v>
          </cell>
          <cell r="J9">
            <v>1065290292</v>
          </cell>
          <cell r="K9">
            <v>44927</v>
          </cell>
        </row>
        <row r="9">
          <cell r="M9">
            <v>1064</v>
          </cell>
          <cell r="N9" t="str">
            <v>El Asafra Kebly</v>
          </cell>
        </row>
        <row r="10">
          <cell r="A10">
            <v>1814</v>
          </cell>
          <cell r="B10" t="str">
            <v>Hossam Elden Weal Ramadan</v>
          </cell>
          <cell r="C10" t="str">
            <v>Asmaa Ahmed Mohamed</v>
          </cell>
          <cell r="D10" t="str">
            <v>Ahmed Hamdy Ahmed</v>
          </cell>
          <cell r="E10" t="str">
            <v>Abd Elhameed Elshiekh</v>
          </cell>
          <cell r="F10" t="str">
            <v>Averozolid Line</v>
          </cell>
          <cell r="G10" t="str">
            <v>Rep_00130</v>
          </cell>
          <cell r="H10" t="str">
            <v>MR</v>
          </cell>
          <cell r="I10" t="str">
            <v>Alex</v>
          </cell>
          <cell r="J10">
            <v>1021405443</v>
          </cell>
          <cell r="K10">
            <v>45998</v>
          </cell>
        </row>
        <row r="10">
          <cell r="M10">
            <v>1814</v>
          </cell>
          <cell r="N10" t="str">
            <v>Abou El Matameer</v>
          </cell>
        </row>
        <row r="11">
          <cell r="A11">
            <v>1570</v>
          </cell>
          <cell r="B11" t="str">
            <v>Mayada ElSayed Ahmed</v>
          </cell>
          <cell r="C11" t="str">
            <v>Asmaa Ahmed Mohamed</v>
          </cell>
          <cell r="D11" t="str">
            <v>Ahmed Hamdy Ahmed</v>
          </cell>
          <cell r="E11" t="str">
            <v>Abd Elhameed Elshiekh</v>
          </cell>
          <cell r="F11" t="str">
            <v>Averozolid Line</v>
          </cell>
          <cell r="G11" t="str">
            <v>AVR_92</v>
          </cell>
          <cell r="H11" t="str">
            <v>MR</v>
          </cell>
          <cell r="I11" t="str">
            <v>Alex</v>
          </cell>
          <cell r="J11">
            <v>1204775122</v>
          </cell>
          <cell r="K11">
            <v>45718</v>
          </cell>
        </row>
        <row r="11">
          <cell r="M11">
            <v>1570</v>
          </cell>
          <cell r="N11" t="str">
            <v>Sidi Beshr</v>
          </cell>
        </row>
        <row r="12">
          <cell r="A12">
            <v>1692</v>
          </cell>
          <cell r="B12" t="str">
            <v>Nadin Adel Oun</v>
          </cell>
          <cell r="C12" t="str">
            <v>Asmaa Ahmed Mohamed</v>
          </cell>
          <cell r="D12" t="str">
            <v>Ahmed Hamdy Ahmed</v>
          </cell>
          <cell r="E12" t="str">
            <v>Abd Elhameed Elshiekh</v>
          </cell>
          <cell r="F12" t="str">
            <v>Averozolid Line</v>
          </cell>
          <cell r="G12" t="str">
            <v>DM1021</v>
          </cell>
          <cell r="H12" t="str">
            <v>MR</v>
          </cell>
          <cell r="I12" t="str">
            <v>Alex</v>
          </cell>
          <cell r="J12">
            <v>1200640829</v>
          </cell>
          <cell r="K12">
            <v>45822</v>
          </cell>
        </row>
        <row r="12">
          <cell r="M12">
            <v>1692</v>
          </cell>
          <cell r="N12" t="str">
            <v>El Mahmoudia</v>
          </cell>
        </row>
        <row r="13">
          <cell r="A13">
            <v>484</v>
          </cell>
          <cell r="B13" t="str">
            <v>Toka Ahmed Hassan</v>
          </cell>
          <cell r="C13" t="str">
            <v>Asmaa Ahmed Mohamed</v>
          </cell>
          <cell r="D13" t="str">
            <v>Ahmed Hamdy Ahmed</v>
          </cell>
          <cell r="E13" t="str">
            <v>Abd Elhameed Elshiekh</v>
          </cell>
          <cell r="F13" t="str">
            <v>Averozolid Line</v>
          </cell>
          <cell r="G13" t="str">
            <v>Rep52</v>
          </cell>
          <cell r="H13" t="str">
            <v>MR</v>
          </cell>
          <cell r="I13" t="str">
            <v>Alex</v>
          </cell>
          <cell r="J13">
            <v>1143315381</v>
          </cell>
          <cell r="K13">
            <v>43757</v>
          </cell>
        </row>
        <row r="13">
          <cell r="M13">
            <v>484</v>
          </cell>
          <cell r="N13" t="str">
            <v>Gleem - Stanly</v>
          </cell>
        </row>
        <row r="14">
          <cell r="A14">
            <v>782</v>
          </cell>
          <cell r="B14" t="str">
            <v>Mai Ahmed Behiry</v>
          </cell>
        </row>
        <row r="14">
          <cell r="D14" t="str">
            <v>Ahmed Hamdy Ahmed</v>
          </cell>
          <cell r="E14" t="str">
            <v>Abd Elhameed Elshiekh</v>
          </cell>
          <cell r="F14" t="str">
            <v>Averozolid Line</v>
          </cell>
          <cell r="G14" t="str">
            <v>Rep62</v>
          </cell>
          <cell r="H14" t="str">
            <v>DM</v>
          </cell>
          <cell r="I14" t="str">
            <v>Alex</v>
          </cell>
          <cell r="J14">
            <v>1065292874</v>
          </cell>
          <cell r="K14">
            <v>44348</v>
          </cell>
        </row>
        <row r="14">
          <cell r="M14">
            <v>782</v>
          </cell>
          <cell r="N14" t="str">
            <v>Damanhour</v>
          </cell>
        </row>
        <row r="15">
          <cell r="A15">
            <v>1134</v>
          </cell>
          <cell r="B15" t="str">
            <v>Ibrahim Shawky Ibrahim Ghazal</v>
          </cell>
          <cell r="C15" t="str">
            <v>Mai Ahmed Behiry</v>
          </cell>
          <cell r="D15" t="str">
            <v>Ahmed Hamdy Ahmed</v>
          </cell>
          <cell r="E15" t="str">
            <v>Abd Elhameed Elshiekh</v>
          </cell>
          <cell r="F15" t="str">
            <v>Averozolid Line</v>
          </cell>
          <cell r="G15" t="str">
            <v>Rep708</v>
          </cell>
          <cell r="H15" t="str">
            <v>MR</v>
          </cell>
          <cell r="I15" t="str">
            <v>Alex</v>
          </cell>
          <cell r="J15">
            <v>1019187658</v>
          </cell>
          <cell r="K15">
            <v>44958</v>
          </cell>
        </row>
        <row r="15">
          <cell r="M15">
            <v>1134</v>
          </cell>
          <cell r="N15" t="str">
            <v>Desouk</v>
          </cell>
        </row>
        <row r="16">
          <cell r="A16">
            <v>1226</v>
          </cell>
          <cell r="B16" t="str">
            <v>Mohamed Hisham Mohamed</v>
          </cell>
          <cell r="C16" t="str">
            <v>Mai Ahmed Behiry</v>
          </cell>
          <cell r="D16" t="str">
            <v>Ahmed Hamdy Ahmed</v>
          </cell>
          <cell r="E16" t="str">
            <v>Abd Elhameed Elshiekh</v>
          </cell>
          <cell r="F16" t="str">
            <v>Averozolid Line</v>
          </cell>
          <cell r="G16" t="str">
            <v>Rep807</v>
          </cell>
          <cell r="H16" t="str">
            <v>MR</v>
          </cell>
          <cell r="I16" t="str">
            <v>Alex</v>
          </cell>
          <cell r="J16">
            <v>1027218951</v>
          </cell>
          <cell r="K16">
            <v>45094</v>
          </cell>
        </row>
        <row r="16">
          <cell r="M16">
            <v>1226</v>
          </cell>
          <cell r="N16" t="str">
            <v>Etay El Baroud</v>
          </cell>
        </row>
        <row r="17">
          <cell r="A17">
            <v>637</v>
          </cell>
          <cell r="B17" t="str">
            <v>Nora Taha Ahmed</v>
          </cell>
          <cell r="C17" t="str">
            <v>Mai Ahmed Behiry</v>
          </cell>
          <cell r="D17" t="str">
            <v>Ahmed Hamdy Ahmed</v>
          </cell>
          <cell r="E17" t="str">
            <v>Abd Elhameed Elshiekh</v>
          </cell>
          <cell r="F17" t="str">
            <v>Averozolid Line</v>
          </cell>
          <cell r="G17" t="str">
            <v>Rep297</v>
          </cell>
          <cell r="H17" t="str">
            <v>MR</v>
          </cell>
          <cell r="I17" t="str">
            <v>Alex</v>
          </cell>
          <cell r="J17">
            <v>1012117062</v>
          </cell>
          <cell r="K17">
            <v>43892</v>
          </cell>
        </row>
        <row r="17">
          <cell r="M17">
            <v>637</v>
          </cell>
          <cell r="N17" t="str">
            <v>Kafr El Shiekh</v>
          </cell>
        </row>
        <row r="18">
          <cell r="A18">
            <v>551</v>
          </cell>
          <cell r="B18" t="str">
            <v>Rahma Mohsen Taha</v>
          </cell>
          <cell r="C18" t="str">
            <v>Mai Ahmed Behiry</v>
          </cell>
          <cell r="D18" t="str">
            <v>Ahmed Hamdy Ahmed</v>
          </cell>
          <cell r="E18" t="str">
            <v>Abd Elhameed Elshiekh</v>
          </cell>
          <cell r="F18" t="str">
            <v>Averozolid Line</v>
          </cell>
          <cell r="G18" t="str">
            <v>Rep44</v>
          </cell>
          <cell r="H18" t="str">
            <v>MR</v>
          </cell>
          <cell r="I18" t="str">
            <v>Alex</v>
          </cell>
          <cell r="J18">
            <v>1064834835</v>
          </cell>
          <cell r="K18">
            <v>43852</v>
          </cell>
        </row>
        <row r="18">
          <cell r="M18">
            <v>551</v>
          </cell>
          <cell r="N18" t="str">
            <v>Kafr El Shiekh</v>
          </cell>
        </row>
        <row r="19">
          <cell r="A19">
            <v>974</v>
          </cell>
          <cell r="B19" t="str">
            <v>Marina Adel Samy</v>
          </cell>
        </row>
        <row r="19">
          <cell r="D19" t="str">
            <v>Ahmed Hamdy Ahmed</v>
          </cell>
          <cell r="E19" t="str">
            <v>Abd Elhameed Elshiekh</v>
          </cell>
          <cell r="F19" t="str">
            <v>Averozolid Line</v>
          </cell>
          <cell r="G19" t="str">
            <v>DM_168</v>
          </cell>
          <cell r="H19" t="str">
            <v>DM</v>
          </cell>
          <cell r="I19" t="str">
            <v>Alex</v>
          </cell>
          <cell r="J19">
            <v>1277121908</v>
          </cell>
          <cell r="K19">
            <v>44758</v>
          </cell>
        </row>
        <row r="19">
          <cell r="M19">
            <v>974</v>
          </cell>
          <cell r="N19" t="str">
            <v>Moharam Bek</v>
          </cell>
        </row>
        <row r="20">
          <cell r="A20">
            <v>1451</v>
          </cell>
          <cell r="B20" t="str">
            <v>Gamila Shinoda Shawky</v>
          </cell>
          <cell r="C20" t="str">
            <v>Marina Adel Samy</v>
          </cell>
          <cell r="D20" t="str">
            <v>Ahmed Hamdy Ahmed</v>
          </cell>
          <cell r="E20" t="str">
            <v>Abd Elhameed Elshiekh</v>
          </cell>
          <cell r="F20" t="str">
            <v>Averozolid Line</v>
          </cell>
          <cell r="G20" t="str">
            <v>Rep100043</v>
          </cell>
          <cell r="H20" t="str">
            <v>MR</v>
          </cell>
          <cell r="I20" t="str">
            <v>Alex</v>
          </cell>
          <cell r="J20">
            <v>1211159906</v>
          </cell>
          <cell r="K20">
            <v>45577</v>
          </cell>
        </row>
        <row r="20">
          <cell r="M20">
            <v>1451</v>
          </cell>
          <cell r="N20" t="str">
            <v>El Qabary</v>
          </cell>
        </row>
        <row r="21">
          <cell r="A21">
            <v>1582</v>
          </cell>
          <cell r="B21" t="str">
            <v>Habiba Mohamed Ahmed</v>
          </cell>
          <cell r="C21" t="str">
            <v>Marina Adel Samy</v>
          </cell>
          <cell r="D21" t="str">
            <v>Ahmed Hamdy Ahmed</v>
          </cell>
          <cell r="E21" t="str">
            <v>Abd Elhameed Elshiekh</v>
          </cell>
          <cell r="F21" t="str">
            <v>Averozolid Line</v>
          </cell>
          <cell r="G21" t="str">
            <v>AVR_147</v>
          </cell>
          <cell r="H21" t="str">
            <v>MR</v>
          </cell>
          <cell r="I21" t="str">
            <v>Alex</v>
          </cell>
          <cell r="J21">
            <v>1009692686</v>
          </cell>
          <cell r="K21">
            <v>45725</v>
          </cell>
        </row>
        <row r="21">
          <cell r="M21">
            <v>1582</v>
          </cell>
          <cell r="N21" t="str">
            <v>El Ebrahimia</v>
          </cell>
        </row>
        <row r="22">
          <cell r="A22">
            <v>1834</v>
          </cell>
          <cell r="B22" t="str">
            <v>Mariam Mohamed Ammar</v>
          </cell>
          <cell r="C22" t="str">
            <v>Marina Adel Samy</v>
          </cell>
          <cell r="D22" t="str">
            <v>Ahmed Hamdy Ahmed</v>
          </cell>
          <cell r="E22" t="str">
            <v>Abd Elhameed Elshiekh</v>
          </cell>
          <cell r="F22" t="str">
            <v>Averozolid Line</v>
          </cell>
          <cell r="G22" t="str">
            <v>Rep1033</v>
          </cell>
          <cell r="H22" t="str">
            <v>MR</v>
          </cell>
          <cell r="I22" t="str">
            <v>Alex</v>
          </cell>
          <cell r="J22">
            <v>1212271646</v>
          </cell>
          <cell r="K22">
            <v>46011</v>
          </cell>
        </row>
        <row r="22">
          <cell r="M22">
            <v>1834</v>
          </cell>
          <cell r="N22" t="str">
            <v>Victoria</v>
          </cell>
        </row>
        <row r="23">
          <cell r="A23">
            <v>1267</v>
          </cell>
          <cell r="B23" t="str">
            <v>Mohamed ElSayed Mohamed Mohamed</v>
          </cell>
          <cell r="C23" t="str">
            <v>Marina Adel Samy</v>
          </cell>
          <cell r="D23" t="str">
            <v>Ahmed Hamdy Ahmed</v>
          </cell>
          <cell r="E23" t="str">
            <v>Abd Elhameed Elshiekh</v>
          </cell>
          <cell r="F23" t="str">
            <v>Averozolid Line</v>
          </cell>
          <cell r="G23" t="str">
            <v>Rep008</v>
          </cell>
          <cell r="H23" t="str">
            <v>MR</v>
          </cell>
          <cell r="I23" t="str">
            <v>Alex</v>
          </cell>
          <cell r="J23">
            <v>1122177715</v>
          </cell>
          <cell r="K23">
            <v>45185</v>
          </cell>
        </row>
        <row r="23">
          <cell r="M23">
            <v>1267</v>
          </cell>
          <cell r="N23" t="str">
            <v>El Dekhiala</v>
          </cell>
        </row>
        <row r="24">
          <cell r="A24">
            <v>1699</v>
          </cell>
          <cell r="B24" t="str">
            <v>Omar Hassan Elmohamady</v>
          </cell>
          <cell r="C24" t="str">
            <v>Marina Adel Samy</v>
          </cell>
          <cell r="D24" t="str">
            <v>Ahmed Hamdy Ahmed</v>
          </cell>
          <cell r="E24" t="str">
            <v>Abd Elhameed Elshiekh</v>
          </cell>
          <cell r="F24" t="str">
            <v>Averozolid Line</v>
          </cell>
          <cell r="G24" t="str">
            <v>Rep100154</v>
          </cell>
          <cell r="H24" t="str">
            <v>MR</v>
          </cell>
          <cell r="I24" t="str">
            <v>Alex</v>
          </cell>
          <cell r="J24">
            <v>1222218132</v>
          </cell>
          <cell r="K24">
            <v>45839</v>
          </cell>
        </row>
        <row r="24">
          <cell r="M24">
            <v>1699</v>
          </cell>
          <cell r="N24" t="str">
            <v>Abo Yousef</v>
          </cell>
        </row>
        <row r="25">
          <cell r="A25">
            <v>618</v>
          </cell>
          <cell r="B25" t="str">
            <v>Ahmed Shawky Adawy</v>
          </cell>
        </row>
        <row r="25">
          <cell r="E25" t="str">
            <v>Abd Elhameed Elshiekh</v>
          </cell>
          <cell r="F25" t="str">
            <v>Averozolid Line</v>
          </cell>
          <cell r="G25" t="str">
            <v>DM_4</v>
          </cell>
          <cell r="H25" t="str">
            <v>AM</v>
          </cell>
          <cell r="I25" t="str">
            <v>Delta</v>
          </cell>
          <cell r="J25">
            <v>1000720221</v>
          </cell>
          <cell r="K25">
            <v>43876</v>
          </cell>
          <cell r="L25" t="str">
            <v>ahmed.shawky@averroes-eg.com</v>
          </cell>
          <cell r="M25">
            <v>618</v>
          </cell>
          <cell r="N25" t="str">
            <v>10th Of Ramadan</v>
          </cell>
        </row>
        <row r="26">
          <cell r="A26">
            <v>1375</v>
          </cell>
          <cell r="B26" t="str">
            <v>Mayada Ahmed Rashad</v>
          </cell>
        </row>
        <row r="26">
          <cell r="D26" t="str">
            <v>Ahmed Shawky Adawy</v>
          </cell>
          <cell r="E26" t="str">
            <v>Abd Elhameed Elshiekh</v>
          </cell>
          <cell r="F26" t="str">
            <v>Averozolid Line</v>
          </cell>
          <cell r="G26" t="str">
            <v>Rep0024</v>
          </cell>
          <cell r="H26" t="str">
            <v>DM</v>
          </cell>
          <cell r="I26" t="str">
            <v>Delta</v>
          </cell>
          <cell r="J26">
            <v>1067226786</v>
          </cell>
          <cell r="K26">
            <v>45444</v>
          </cell>
          <cell r="L26" t="str">
            <v>Mayada.Rashad@averroes-eg.com</v>
          </cell>
          <cell r="M26">
            <v>1375</v>
          </cell>
          <cell r="N26" t="str">
            <v>Talkha</v>
          </cell>
        </row>
        <row r="27">
          <cell r="A27">
            <v>1781</v>
          </cell>
          <cell r="B27" t="str">
            <v>Ahmed Mohamed Morsy</v>
          </cell>
          <cell r="C27" t="str">
            <v>Mayada Ahmed Rashad</v>
          </cell>
          <cell r="D27" t="str">
            <v>Ahmed Shawky Adawy</v>
          </cell>
          <cell r="E27" t="str">
            <v>Abd Elhameed Elshiekh</v>
          </cell>
          <cell r="F27" t="str">
            <v>Averozolid Line</v>
          </cell>
          <cell r="G27" t="str">
            <v>Rep_00077</v>
          </cell>
          <cell r="H27" t="str">
            <v>MR</v>
          </cell>
          <cell r="I27" t="str">
            <v>Delta</v>
          </cell>
          <cell r="J27">
            <v>1098474522</v>
          </cell>
          <cell r="K27">
            <v>45963</v>
          </cell>
        </row>
        <row r="27">
          <cell r="M27">
            <v>1781</v>
          </cell>
          <cell r="N27" t="str">
            <v>El Mansoura</v>
          </cell>
        </row>
        <row r="28">
          <cell r="A28">
            <v>227</v>
          </cell>
          <cell r="B28" t="str">
            <v>Amira GamalEldin Hassan</v>
          </cell>
          <cell r="C28" t="str">
            <v>Mayada Ahmed Rashad</v>
          </cell>
          <cell r="D28" t="str">
            <v>Ahmed Shawky Adawy</v>
          </cell>
          <cell r="E28" t="str">
            <v>Abd Elhameed Elshiekh</v>
          </cell>
          <cell r="F28" t="str">
            <v>Averozolid Line</v>
          </cell>
          <cell r="G28" t="str">
            <v>Rep39</v>
          </cell>
          <cell r="H28" t="str">
            <v>MR</v>
          </cell>
          <cell r="I28" t="str">
            <v>Delta</v>
          </cell>
          <cell r="J28" t="str">
            <v> 01005677611</v>
          </cell>
          <cell r="K28">
            <v>43163</v>
          </cell>
        </row>
        <row r="28">
          <cell r="M28">
            <v>227</v>
          </cell>
          <cell r="N28" t="str">
            <v>Meet Ghamr</v>
          </cell>
        </row>
        <row r="29">
          <cell r="A29">
            <v>1386</v>
          </cell>
          <cell r="B29" t="str">
            <v>Aya Elsayed Mahmoud Hafez</v>
          </cell>
          <cell r="C29" t="str">
            <v>Mayada Ahmed Rashad</v>
          </cell>
          <cell r="D29" t="str">
            <v>Ahmed Shawky Adawy</v>
          </cell>
          <cell r="E29" t="str">
            <v>Abd Elhameed Elshiekh</v>
          </cell>
          <cell r="F29" t="str">
            <v>Averozolid Line</v>
          </cell>
          <cell r="G29" t="str">
            <v>Rep047</v>
          </cell>
          <cell r="H29" t="str">
            <v>MR</v>
          </cell>
          <cell r="I29" t="str">
            <v>Delta</v>
          </cell>
          <cell r="J29">
            <v>1013304176</v>
          </cell>
          <cell r="K29">
            <v>45444</v>
          </cell>
        </row>
        <row r="29">
          <cell r="M29">
            <v>1386</v>
          </cell>
          <cell r="N29" t="str">
            <v>Dekernes</v>
          </cell>
        </row>
        <row r="30">
          <cell r="A30">
            <v>1769</v>
          </cell>
          <cell r="B30" t="str">
            <v>Esraa Ramadan Anis</v>
          </cell>
          <cell r="C30" t="str">
            <v>Mayada Ahmed Rashad</v>
          </cell>
          <cell r="D30" t="str">
            <v>Ahmed Shawky Adawy</v>
          </cell>
          <cell r="E30" t="str">
            <v>Abd Elhameed Elshiekh</v>
          </cell>
          <cell r="F30" t="str">
            <v>Averozolid Line</v>
          </cell>
          <cell r="G30" t="str">
            <v>Rep1114</v>
          </cell>
          <cell r="H30" t="str">
            <v>MR</v>
          </cell>
          <cell r="I30" t="str">
            <v>Delta</v>
          </cell>
          <cell r="J30">
            <v>1063682374</v>
          </cell>
          <cell r="K30">
            <v>45945</v>
          </cell>
        </row>
        <row r="30">
          <cell r="M30">
            <v>1769</v>
          </cell>
          <cell r="N30" t="str">
            <v>El Mansoura</v>
          </cell>
        </row>
        <row r="31">
          <cell r="A31">
            <v>1592</v>
          </cell>
          <cell r="B31" t="str">
            <v>Maha Wafiq ElSayed</v>
          </cell>
          <cell r="C31" t="str">
            <v>Mayada Ahmed Rashad</v>
          </cell>
          <cell r="D31" t="str">
            <v>Ahmed Shawky Adawy</v>
          </cell>
          <cell r="E31" t="str">
            <v>Abd Elhameed Elshiekh</v>
          </cell>
          <cell r="F31" t="str">
            <v>Averozolid Line</v>
          </cell>
          <cell r="G31" t="str">
            <v>AVR_143</v>
          </cell>
          <cell r="H31" t="str">
            <v>MR</v>
          </cell>
          <cell r="I31" t="str">
            <v>Delta</v>
          </cell>
          <cell r="J31">
            <v>1033505211</v>
          </cell>
          <cell r="K31">
            <v>45731</v>
          </cell>
        </row>
        <row r="31">
          <cell r="M31">
            <v>1592</v>
          </cell>
          <cell r="N31" t="str">
            <v>Menyet El Nasr</v>
          </cell>
        </row>
        <row r="32">
          <cell r="A32">
            <v>549</v>
          </cell>
          <cell r="B32" t="str">
            <v>Mahmoud Mohamed Elgbas</v>
          </cell>
          <cell r="C32" t="str">
            <v>Mayada Ahmed Rashad</v>
          </cell>
          <cell r="D32" t="str">
            <v>Ahmed Shawky Adawy</v>
          </cell>
          <cell r="E32" t="str">
            <v>Abd Elhameed Elshiekh</v>
          </cell>
          <cell r="F32" t="str">
            <v>Averozolid Line</v>
          </cell>
          <cell r="G32" t="str">
            <v>Rep175</v>
          </cell>
          <cell r="H32" t="str">
            <v>MR</v>
          </cell>
          <cell r="I32" t="str">
            <v>Delta</v>
          </cell>
          <cell r="J32">
            <v>1146692254</v>
          </cell>
          <cell r="K32">
            <v>43850</v>
          </cell>
        </row>
        <row r="32">
          <cell r="M32">
            <v>549</v>
          </cell>
          <cell r="N32" t="str">
            <v>Port Saed</v>
          </cell>
        </row>
        <row r="33">
          <cell r="A33">
            <v>1736</v>
          </cell>
          <cell r="B33" t="str">
            <v>Mohamed Yahia Abuelenin</v>
          </cell>
          <cell r="C33" t="str">
            <v>Mayada Ahmed Rashad</v>
          </cell>
          <cell r="D33" t="str">
            <v>Ahmed Shawky Adawy</v>
          </cell>
          <cell r="E33" t="str">
            <v>Abd Elhameed Elshiekh</v>
          </cell>
          <cell r="F33" t="str">
            <v>Averozolid Line</v>
          </cell>
          <cell r="G33" t="str">
            <v>Rep1000011</v>
          </cell>
          <cell r="H33" t="str">
            <v>MR</v>
          </cell>
          <cell r="I33" t="str">
            <v>Delta</v>
          </cell>
          <cell r="J33">
            <v>1227974997</v>
          </cell>
          <cell r="K33">
            <v>45901</v>
          </cell>
        </row>
        <row r="33">
          <cell r="M33">
            <v>1736</v>
          </cell>
          <cell r="N33" t="str">
            <v>Domiat</v>
          </cell>
        </row>
        <row r="34">
          <cell r="A34">
            <v>1440</v>
          </cell>
          <cell r="B34" t="str">
            <v>Sara Samir Ali</v>
          </cell>
          <cell r="C34" t="str">
            <v>Mayada Ahmed Rashad</v>
          </cell>
          <cell r="D34" t="str">
            <v>Ahmed Shawky Adawy</v>
          </cell>
          <cell r="E34" t="str">
            <v>Abd Elhameed Elshiekh</v>
          </cell>
          <cell r="F34" t="str">
            <v>Averozolid Line</v>
          </cell>
          <cell r="G34" t="str">
            <v>Rep10019</v>
          </cell>
          <cell r="H34" t="str">
            <v>MR</v>
          </cell>
          <cell r="I34" t="str">
            <v>Delta</v>
          </cell>
          <cell r="J34">
            <v>1009869495</v>
          </cell>
          <cell r="K34">
            <v>45536</v>
          </cell>
        </row>
        <row r="34">
          <cell r="M34">
            <v>1440</v>
          </cell>
          <cell r="N34" t="str">
            <v>Domiat</v>
          </cell>
        </row>
        <row r="35">
          <cell r="A35">
            <v>699</v>
          </cell>
          <cell r="B35" t="str">
            <v>Mohamed Hassan Amin</v>
          </cell>
        </row>
        <row r="35">
          <cell r="D35" t="str">
            <v>Ahmed Shawky Adawy</v>
          </cell>
          <cell r="E35" t="str">
            <v>Abd Elhameed Elshiekh</v>
          </cell>
          <cell r="F35" t="str">
            <v>Averozolid Line</v>
          </cell>
          <cell r="G35" t="str">
            <v>Rep50</v>
          </cell>
          <cell r="H35" t="str">
            <v>DM</v>
          </cell>
          <cell r="I35" t="str">
            <v>Delta</v>
          </cell>
          <cell r="J35">
            <v>1026560922</v>
          </cell>
          <cell r="K35">
            <v>44172</v>
          </cell>
          <cell r="L35" t="str">
            <v>Mohamed.Hassan.Amin@averroes-eg.com</v>
          </cell>
          <cell r="M35">
            <v>699</v>
          </cell>
          <cell r="N35" t="str">
            <v>Fakoos</v>
          </cell>
        </row>
        <row r="36">
          <cell r="A36">
            <v>1555</v>
          </cell>
          <cell r="B36" t="str">
            <v>Ahmed Mohamed Salah</v>
          </cell>
          <cell r="C36" t="str">
            <v>Mohamed Hassan Amin</v>
          </cell>
          <cell r="D36" t="str">
            <v>Ahmed Shawky Adawy</v>
          </cell>
          <cell r="E36" t="str">
            <v>Abd Elhameed Elshiekh</v>
          </cell>
          <cell r="F36" t="str">
            <v>Averozolid Line</v>
          </cell>
          <cell r="G36" t="str">
            <v>AVR_73</v>
          </cell>
          <cell r="H36" t="str">
            <v>MR</v>
          </cell>
          <cell r="I36" t="str">
            <v>Delta</v>
          </cell>
          <cell r="J36">
            <v>1202453837</v>
          </cell>
          <cell r="K36">
            <v>45710</v>
          </cell>
        </row>
        <row r="36">
          <cell r="M36">
            <v>1555</v>
          </cell>
          <cell r="N36" t="str">
            <v>hehia</v>
          </cell>
        </row>
        <row r="37">
          <cell r="A37">
            <v>843</v>
          </cell>
          <cell r="B37" t="str">
            <v>Amira Ashraf Mohamed</v>
          </cell>
          <cell r="C37" t="str">
            <v>Mohamed Hassan Amin</v>
          </cell>
          <cell r="D37" t="str">
            <v>Ahmed Shawky Adawy</v>
          </cell>
          <cell r="E37" t="str">
            <v>Abd Elhameed Elshiekh</v>
          </cell>
          <cell r="F37" t="str">
            <v>Averozolid Line</v>
          </cell>
          <cell r="G37" t="str">
            <v>Rep25</v>
          </cell>
          <cell r="H37" t="str">
            <v>MR</v>
          </cell>
          <cell r="I37" t="str">
            <v>Delta</v>
          </cell>
          <cell r="J37">
            <v>1066047570</v>
          </cell>
          <cell r="K37">
            <v>44481</v>
          </cell>
        </row>
        <row r="37">
          <cell r="M37">
            <v>843</v>
          </cell>
          <cell r="N37" t="str">
            <v>Shebien El Kanater</v>
          </cell>
        </row>
        <row r="38">
          <cell r="A38">
            <v>1573</v>
          </cell>
          <cell r="B38" t="str">
            <v>Asmaa AbdElHamed Ibrahim</v>
          </cell>
          <cell r="C38" t="str">
            <v>Mohamed Hassan Amin</v>
          </cell>
          <cell r="D38" t="str">
            <v>Ahmed Shawky Adawy</v>
          </cell>
          <cell r="E38" t="str">
            <v>Abd Elhameed Elshiekh</v>
          </cell>
          <cell r="F38" t="str">
            <v>Averozolid Line</v>
          </cell>
          <cell r="G38" t="str">
            <v>AVR_95</v>
          </cell>
          <cell r="H38" t="str">
            <v>MR</v>
          </cell>
          <cell r="I38" t="str">
            <v>Delta</v>
          </cell>
          <cell r="J38">
            <v>1121718921</v>
          </cell>
          <cell r="K38">
            <v>45717</v>
          </cell>
        </row>
        <row r="38">
          <cell r="M38">
            <v>1573</v>
          </cell>
          <cell r="N38" t="str">
            <v>Fakoos</v>
          </cell>
        </row>
        <row r="39">
          <cell r="A39">
            <v>450</v>
          </cell>
          <cell r="B39" t="str">
            <v>Marwa Osman AbdelAlieem</v>
          </cell>
          <cell r="C39" t="str">
            <v>Mohamed Hassan Amin</v>
          </cell>
          <cell r="D39" t="str">
            <v>Ahmed Shawky Adawy</v>
          </cell>
          <cell r="E39" t="str">
            <v>Abd Elhameed Elshiekh</v>
          </cell>
          <cell r="F39" t="str">
            <v>Averozolid Line</v>
          </cell>
          <cell r="G39" t="str">
            <v>Rep46</v>
          </cell>
          <cell r="H39" t="str">
            <v>MR</v>
          </cell>
          <cell r="I39" t="str">
            <v>Delta</v>
          </cell>
          <cell r="J39">
            <v>1148024572</v>
          </cell>
          <cell r="K39">
            <v>43586</v>
          </cell>
        </row>
        <row r="39">
          <cell r="M39">
            <v>450</v>
          </cell>
          <cell r="N39" t="str">
            <v>El Zakazik City</v>
          </cell>
        </row>
        <row r="40">
          <cell r="A40">
            <v>1547</v>
          </cell>
          <cell r="B40" t="str">
            <v>Mohamed Ashraf Mosad</v>
          </cell>
          <cell r="C40" t="str">
            <v>Mohamed Hassan Amin</v>
          </cell>
          <cell r="D40" t="str">
            <v>Ahmed Shawky Adawy</v>
          </cell>
          <cell r="E40" t="str">
            <v>Abd Elhameed Elshiekh</v>
          </cell>
          <cell r="F40" t="str">
            <v>Averozolid Line</v>
          </cell>
          <cell r="G40" t="str">
            <v>AVR_66</v>
          </cell>
          <cell r="H40" t="str">
            <v>MR</v>
          </cell>
          <cell r="I40" t="str">
            <v>Delta</v>
          </cell>
          <cell r="J40">
            <v>1278236617</v>
          </cell>
          <cell r="K40">
            <v>45703</v>
          </cell>
        </row>
        <row r="40">
          <cell r="M40">
            <v>1547</v>
          </cell>
          <cell r="N40" t="str">
            <v>El Zakazik City</v>
          </cell>
        </row>
        <row r="41">
          <cell r="A41">
            <v>425</v>
          </cell>
          <cell r="B41" t="str">
            <v>Sahar Elsayed Mohie</v>
          </cell>
          <cell r="C41" t="str">
            <v>Mohamed Hassan Amin</v>
          </cell>
          <cell r="D41" t="str">
            <v>Ahmed Shawky Adawy</v>
          </cell>
          <cell r="E41" t="str">
            <v>Abd Elhameed Elshiekh</v>
          </cell>
          <cell r="F41" t="str">
            <v>Averozolid Line</v>
          </cell>
          <cell r="G41" t="str">
            <v>Rep49</v>
          </cell>
          <cell r="H41" t="str">
            <v>MR</v>
          </cell>
          <cell r="I41" t="str">
            <v>Delta</v>
          </cell>
          <cell r="J41">
            <v>1129242511</v>
          </cell>
          <cell r="K41">
            <v>43525</v>
          </cell>
        </row>
        <row r="41">
          <cell r="M41">
            <v>425</v>
          </cell>
          <cell r="N41" t="str">
            <v>10th Of Ramadan</v>
          </cell>
        </row>
        <row r="42">
          <cell r="A42">
            <v>500</v>
          </cell>
          <cell r="B42" t="str">
            <v>Sara Magdy Ahmed</v>
          </cell>
        </row>
        <row r="42">
          <cell r="D42" t="str">
            <v>Ahmed Shawky Adawy</v>
          </cell>
          <cell r="E42" t="str">
            <v>Abd Elhameed Elshiekh</v>
          </cell>
          <cell r="F42" t="str">
            <v>Averozolid Line</v>
          </cell>
          <cell r="G42" t="str">
            <v>DM_139</v>
          </cell>
          <cell r="H42" t="str">
            <v>DM</v>
          </cell>
          <cell r="I42" t="str">
            <v>Delta</v>
          </cell>
          <cell r="J42">
            <v>1229858148</v>
          </cell>
          <cell r="K42">
            <v>43800</v>
          </cell>
          <cell r="L42" t="str">
            <v>sara.magdy@averroes-eg.com</v>
          </cell>
          <cell r="M42">
            <v>500</v>
          </cell>
          <cell r="N42" t="str">
            <v>Tanta City</v>
          </cell>
        </row>
        <row r="43">
          <cell r="A43">
            <v>1352</v>
          </cell>
          <cell r="B43" t="str">
            <v>Ahmed Mohamed Saad</v>
          </cell>
          <cell r="C43" t="str">
            <v>Sara Magdy Ahmed</v>
          </cell>
          <cell r="D43" t="str">
            <v>Ahmed Shawky Adawy</v>
          </cell>
          <cell r="E43" t="str">
            <v>Abd Elhameed Elshiekh</v>
          </cell>
          <cell r="F43" t="str">
            <v>Averozolid Line</v>
          </cell>
          <cell r="G43" t="str">
            <v>Rep969</v>
          </cell>
          <cell r="H43" t="str">
            <v>MR</v>
          </cell>
          <cell r="I43" t="str">
            <v>Delta</v>
          </cell>
          <cell r="J43">
            <v>1227672905</v>
          </cell>
          <cell r="K43">
            <v>45413</v>
          </cell>
        </row>
        <row r="43">
          <cell r="M43">
            <v>1352</v>
          </cell>
          <cell r="N43" t="str">
            <v>Samanoud</v>
          </cell>
        </row>
        <row r="44">
          <cell r="A44">
            <v>1059</v>
          </cell>
          <cell r="B44" t="str">
            <v>Eman Gamal Zayada</v>
          </cell>
          <cell r="C44" t="str">
            <v>Sara Magdy Ahmed</v>
          </cell>
          <cell r="D44" t="str">
            <v>Ahmed Shawky Adawy</v>
          </cell>
          <cell r="E44" t="str">
            <v>Abd Elhameed Elshiekh</v>
          </cell>
          <cell r="F44" t="str">
            <v>Averozolid Line</v>
          </cell>
          <cell r="G44" t="str">
            <v>Rep620</v>
          </cell>
          <cell r="H44" t="str">
            <v>MR</v>
          </cell>
          <cell r="I44" t="str">
            <v>Delta</v>
          </cell>
          <cell r="J44">
            <v>1212492339</v>
          </cell>
          <cell r="K44">
            <v>44933</v>
          </cell>
        </row>
        <row r="44">
          <cell r="M44">
            <v>1059</v>
          </cell>
          <cell r="N44" t="str">
            <v>El Sanata</v>
          </cell>
        </row>
        <row r="45">
          <cell r="A45">
            <v>1337</v>
          </cell>
          <cell r="B45" t="str">
            <v>Ibrahim Mohamed  ElShorbagy</v>
          </cell>
          <cell r="C45" t="str">
            <v>Sara Magdy Ahmed</v>
          </cell>
          <cell r="D45" t="str">
            <v>Ahmed Shawky Adawy</v>
          </cell>
          <cell r="E45" t="str">
            <v>Abd Elhameed Elshiekh</v>
          </cell>
          <cell r="F45" t="str">
            <v>Averozolid Line</v>
          </cell>
          <cell r="G45" t="str">
            <v>Rep913</v>
          </cell>
          <cell r="H45" t="str">
            <v>MR</v>
          </cell>
          <cell r="I45" t="str">
            <v>Delta</v>
          </cell>
          <cell r="J45">
            <v>1289344523</v>
          </cell>
          <cell r="K45">
            <v>45325</v>
          </cell>
        </row>
        <row r="45">
          <cell r="M45">
            <v>1337</v>
          </cell>
          <cell r="N45" t="str">
            <v>Kafr El zayat</v>
          </cell>
        </row>
        <row r="46">
          <cell r="A46">
            <v>141</v>
          </cell>
          <cell r="B46" t="str">
            <v>Mohammed Ahmed ElBanna</v>
          </cell>
          <cell r="C46" t="str">
            <v>Sara Magdy Ahmed</v>
          </cell>
          <cell r="D46" t="str">
            <v>Ahmed Shawky Adawy</v>
          </cell>
          <cell r="E46" t="str">
            <v>Abd Elhameed Elshiekh</v>
          </cell>
          <cell r="F46" t="str">
            <v>Averozolid Line</v>
          </cell>
          <cell r="G46" t="str">
            <v>Rep26</v>
          </cell>
          <cell r="H46" t="str">
            <v>MR</v>
          </cell>
          <cell r="I46" t="str">
            <v>Delta</v>
          </cell>
          <cell r="J46" t="str">
            <v> 01005007061</v>
          </cell>
          <cell r="K46">
            <v>42066</v>
          </cell>
        </row>
        <row r="46">
          <cell r="M46">
            <v>141</v>
          </cell>
          <cell r="N46" t="str">
            <v>Shebien El Kom</v>
          </cell>
        </row>
        <row r="47">
          <cell r="A47">
            <v>1808</v>
          </cell>
          <cell r="B47" t="str">
            <v>Nada Mohamed Goda</v>
          </cell>
          <cell r="C47" t="str">
            <v>Sara Magdy Ahmed</v>
          </cell>
          <cell r="D47" t="str">
            <v>Ahmed Shawky Adawy</v>
          </cell>
          <cell r="E47" t="str">
            <v>Abd Elhameed Elshiekh</v>
          </cell>
          <cell r="F47" t="str">
            <v>Averozolid Line</v>
          </cell>
          <cell r="G47" t="str">
            <v>Rep_00124</v>
          </cell>
          <cell r="H47" t="str">
            <v>MR</v>
          </cell>
          <cell r="I47" t="str">
            <v>Delta</v>
          </cell>
          <cell r="J47">
            <v>1094006834</v>
          </cell>
          <cell r="K47">
            <v>45996</v>
          </cell>
        </row>
        <row r="47">
          <cell r="M47">
            <v>1808</v>
          </cell>
          <cell r="N47" t="str">
            <v>Ashmoon</v>
          </cell>
        </row>
        <row r="48">
          <cell r="A48">
            <v>1733</v>
          </cell>
          <cell r="B48" t="str">
            <v>Salma Abdelrahman Ali Abdelrahman</v>
          </cell>
          <cell r="C48" t="str">
            <v>Sara Magdy Ahmed</v>
          </cell>
          <cell r="D48" t="str">
            <v>Ahmed Shawky Adawy</v>
          </cell>
          <cell r="E48" t="str">
            <v>Abd Elhameed Elshiekh</v>
          </cell>
          <cell r="F48" t="str">
            <v>Averozolid Line</v>
          </cell>
          <cell r="G48" t="str">
            <v>Rep100005</v>
          </cell>
          <cell r="H48" t="str">
            <v>MR</v>
          </cell>
          <cell r="I48" t="str">
            <v>Delta</v>
          </cell>
          <cell r="J48">
            <v>1055335797</v>
          </cell>
          <cell r="K48">
            <v>45892</v>
          </cell>
        </row>
        <row r="48">
          <cell r="M48">
            <v>1733</v>
          </cell>
          <cell r="N48" t="str">
            <v>Beket ElSabaa</v>
          </cell>
        </row>
        <row r="49">
          <cell r="A49">
            <v>1310</v>
          </cell>
          <cell r="B49" t="str">
            <v>Yara Fawzy Mohamed Elattar</v>
          </cell>
          <cell r="C49" t="str">
            <v>Sara Magdy Ahmed</v>
          </cell>
          <cell r="D49" t="str">
            <v>Ahmed Shawky Adawy</v>
          </cell>
          <cell r="E49" t="str">
            <v>Abd Elhameed Elshiekh</v>
          </cell>
          <cell r="F49" t="str">
            <v>Averozolid Line</v>
          </cell>
          <cell r="G49" t="str">
            <v>Rep874</v>
          </cell>
          <cell r="H49" t="str">
            <v>MR</v>
          </cell>
          <cell r="I49" t="str">
            <v>Delta</v>
          </cell>
          <cell r="J49">
            <v>1097503414</v>
          </cell>
          <cell r="K49">
            <v>45265</v>
          </cell>
        </row>
        <row r="49">
          <cell r="M49">
            <v>1310</v>
          </cell>
          <cell r="N49" t="str">
            <v>El Mahala El Kobra</v>
          </cell>
        </row>
        <row r="50">
          <cell r="A50">
            <v>577</v>
          </cell>
          <cell r="B50" t="str">
            <v>Ali Ahmed Ali</v>
          </cell>
        </row>
        <row r="50">
          <cell r="E50" t="str">
            <v>Abd Elhameed Elshiekh</v>
          </cell>
          <cell r="F50" t="str">
            <v>Averozolid Line</v>
          </cell>
          <cell r="G50" t="str">
            <v>ZM_3</v>
          </cell>
          <cell r="H50" t="str">
            <v>AM</v>
          </cell>
          <cell r="I50" t="str">
            <v>Upper Egypt</v>
          </cell>
          <cell r="J50">
            <v>1003142319</v>
          </cell>
          <cell r="K50">
            <v>43862</v>
          </cell>
          <cell r="L50" t="str">
            <v>ali.ahmed@averroes-eg.com</v>
          </cell>
          <cell r="M50">
            <v>577</v>
          </cell>
          <cell r="N50" t="str">
            <v>Assuit City</v>
          </cell>
        </row>
        <row r="51">
          <cell r="A51">
            <v>607</v>
          </cell>
          <cell r="B51" t="str">
            <v>Abdelazeem Sameer Abdelazeem</v>
          </cell>
        </row>
        <row r="51">
          <cell r="D51" t="str">
            <v>Ali Ahmed Ali</v>
          </cell>
          <cell r="E51" t="str">
            <v>Abd Elhameed Elshiekh</v>
          </cell>
          <cell r="F51" t="str">
            <v>Averozolid Line</v>
          </cell>
          <cell r="G51" t="str">
            <v>Rep259</v>
          </cell>
          <cell r="H51" t="str">
            <v>DM</v>
          </cell>
          <cell r="I51" t="str">
            <v>Upper Egypt</v>
          </cell>
          <cell r="J51" t="str">
            <v> 1050111668</v>
          </cell>
          <cell r="K51">
            <v>43865</v>
          </cell>
          <cell r="L51" t="str">
            <v>abdelazeem.sameer@averroes-eg.com</v>
          </cell>
          <cell r="M51">
            <v>607</v>
          </cell>
          <cell r="N51" t="str">
            <v>Malawy</v>
          </cell>
        </row>
        <row r="52">
          <cell r="A52">
            <v>1721</v>
          </cell>
          <cell r="B52" t="str">
            <v>Abdelrahman Esmail Hassan</v>
          </cell>
          <cell r="C52" t="str">
            <v>Abdelazeem Sameer Abdelazeem</v>
          </cell>
          <cell r="D52" t="str">
            <v>Ali Ahmed Ali</v>
          </cell>
          <cell r="E52" t="str">
            <v>Abd Elhameed Elshiekh</v>
          </cell>
          <cell r="F52" t="str">
            <v>Averozolid Line</v>
          </cell>
          <cell r="G52" t="str">
            <v>Rep1093</v>
          </cell>
          <cell r="H52" t="str">
            <v>MR</v>
          </cell>
          <cell r="I52" t="str">
            <v>Upper Egypt</v>
          </cell>
          <cell r="J52">
            <v>1142641071</v>
          </cell>
          <cell r="K52">
            <v>45871</v>
          </cell>
        </row>
        <row r="52">
          <cell r="M52">
            <v>1721</v>
          </cell>
          <cell r="N52" t="str">
            <v>Malawy</v>
          </cell>
        </row>
        <row r="53">
          <cell r="A53">
            <v>1131</v>
          </cell>
          <cell r="B53" t="str">
            <v>Ebram Magdy Malak</v>
          </cell>
          <cell r="C53" t="str">
            <v>Abdelazeem Sameer Abdelazeem</v>
          </cell>
          <cell r="D53" t="str">
            <v>Ali Ahmed Ali</v>
          </cell>
          <cell r="E53" t="str">
            <v>Abd Elhameed Elshiekh</v>
          </cell>
          <cell r="F53" t="str">
            <v>Averozolid Line</v>
          </cell>
          <cell r="G53" t="str">
            <v>Rep704</v>
          </cell>
          <cell r="H53" t="str">
            <v>MR</v>
          </cell>
          <cell r="I53" t="str">
            <v>Upper Egypt</v>
          </cell>
          <cell r="J53">
            <v>1005606839</v>
          </cell>
          <cell r="K53">
            <v>44961</v>
          </cell>
        </row>
        <row r="53">
          <cell r="M53">
            <v>1131</v>
          </cell>
          <cell r="N53" t="str">
            <v>Bani Mazar</v>
          </cell>
        </row>
        <row r="54">
          <cell r="A54">
            <v>1263</v>
          </cell>
          <cell r="B54" t="str">
            <v>Ethar Mohamed Taha Ghareeb</v>
          </cell>
          <cell r="C54" t="str">
            <v>Abdelazeem Sameer Abdelazeem</v>
          </cell>
          <cell r="D54" t="str">
            <v>Ali Ahmed Ali</v>
          </cell>
          <cell r="E54" t="str">
            <v>Abd Elhameed Elshiekh</v>
          </cell>
          <cell r="F54" t="str">
            <v>Averozolid Line</v>
          </cell>
          <cell r="G54" t="str">
            <v>Rep035</v>
          </cell>
          <cell r="H54" t="str">
            <v>MR</v>
          </cell>
          <cell r="I54" t="str">
            <v>Upper Egypt</v>
          </cell>
          <cell r="J54">
            <v>1122177715</v>
          </cell>
          <cell r="K54">
            <v>45178</v>
          </cell>
        </row>
        <row r="54">
          <cell r="M54">
            <v>1263</v>
          </cell>
          <cell r="N54" t="str">
            <v>El Menia City</v>
          </cell>
        </row>
        <row r="55">
          <cell r="A55">
            <v>845</v>
          </cell>
          <cell r="B55" t="str">
            <v>Mina Edwar Gad</v>
          </cell>
          <cell r="C55" t="str">
            <v>Abdelazeem Sameer Abdelazeem</v>
          </cell>
          <cell r="D55" t="str">
            <v>Ali Ahmed Ali</v>
          </cell>
          <cell r="E55" t="str">
            <v>Abd Elhameed Elshiekh</v>
          </cell>
          <cell r="F55" t="str">
            <v>Averozolid Line</v>
          </cell>
          <cell r="G55" t="str">
            <v>Rep77</v>
          </cell>
          <cell r="H55" t="str">
            <v>MR</v>
          </cell>
          <cell r="I55" t="str">
            <v>Upper Egypt</v>
          </cell>
          <cell r="J55">
            <v>1272784701</v>
          </cell>
          <cell r="K55">
            <v>44485</v>
          </cell>
        </row>
        <row r="55">
          <cell r="M55">
            <v>845</v>
          </cell>
          <cell r="N55" t="str">
            <v>El Qousia</v>
          </cell>
        </row>
        <row r="56">
          <cell r="A56">
            <v>1432</v>
          </cell>
          <cell r="B56" t="str">
            <v>Moureen Atef Mouris</v>
          </cell>
          <cell r="C56" t="str">
            <v>Abdelazeem Sameer Abdelazeem</v>
          </cell>
          <cell r="D56" t="str">
            <v>Ali Ahmed Ali</v>
          </cell>
          <cell r="E56" t="str">
            <v>Abd Elhameed Elshiekh</v>
          </cell>
          <cell r="F56" t="str">
            <v>Averozolid Line</v>
          </cell>
          <cell r="G56" t="str">
            <v>Rep0061</v>
          </cell>
          <cell r="H56" t="str">
            <v>MR</v>
          </cell>
          <cell r="I56" t="str">
            <v>Upper Egypt</v>
          </cell>
          <cell r="J56">
            <v>1271977642</v>
          </cell>
          <cell r="K56">
            <v>45521</v>
          </cell>
        </row>
        <row r="56">
          <cell r="M56">
            <v>1432</v>
          </cell>
          <cell r="N56" t="str">
            <v>Assuit City</v>
          </cell>
        </row>
        <row r="57">
          <cell r="A57">
            <v>1598</v>
          </cell>
          <cell r="B57" t="str">
            <v>Peter Ibrahim Faheem</v>
          </cell>
          <cell r="C57" t="str">
            <v>Abdelazeem Sameer Abdelazeem</v>
          </cell>
          <cell r="D57" t="str">
            <v>Ali Ahmed Ali</v>
          </cell>
          <cell r="E57" t="str">
            <v>Abd Elhameed Elshiekh</v>
          </cell>
          <cell r="F57" t="str">
            <v>Averozolid Line</v>
          </cell>
          <cell r="G57" t="str">
            <v>Rep1011</v>
          </cell>
          <cell r="H57" t="str">
            <v>MR</v>
          </cell>
          <cell r="I57" t="str">
            <v>Upper Egypt</v>
          </cell>
          <cell r="J57">
            <v>1040598944</v>
          </cell>
          <cell r="K57">
            <v>45752</v>
          </cell>
        </row>
        <row r="57">
          <cell r="M57">
            <v>1598</v>
          </cell>
          <cell r="N57" t="str">
            <v>Assuit City</v>
          </cell>
        </row>
        <row r="58">
          <cell r="A58">
            <v>855</v>
          </cell>
          <cell r="B58" t="str">
            <v>Mai Ashraf Mohamed</v>
          </cell>
        </row>
        <row r="58">
          <cell r="D58" t="str">
            <v>Ali Ahmed Ali</v>
          </cell>
          <cell r="E58" t="str">
            <v>Abd Elhameed Elshiekh</v>
          </cell>
          <cell r="F58" t="str">
            <v>Averozolid Line</v>
          </cell>
          <cell r="G58" t="str">
            <v>Rep80</v>
          </cell>
          <cell r="H58" t="str">
            <v>DM</v>
          </cell>
          <cell r="I58" t="str">
            <v>Upper Egypt</v>
          </cell>
          <cell r="J58">
            <v>0</v>
          </cell>
          <cell r="K58">
            <v>44501</v>
          </cell>
        </row>
        <row r="58">
          <cell r="M58">
            <v>855</v>
          </cell>
          <cell r="N58" t="str">
            <v>Tahta</v>
          </cell>
        </row>
        <row r="59">
          <cell r="A59">
            <v>1756</v>
          </cell>
          <cell r="B59" t="str">
            <v>Ahmed Atef Mohamed</v>
          </cell>
          <cell r="C59" t="str">
            <v>Mai Ashraf Mohamed</v>
          </cell>
          <cell r="D59" t="str">
            <v>Ali Ahmed Ali</v>
          </cell>
          <cell r="E59" t="str">
            <v>Abd Elhameed Elshiekh</v>
          </cell>
          <cell r="F59" t="str">
            <v>Averozolid Line</v>
          </cell>
          <cell r="G59" t="str">
            <v>rep000014</v>
          </cell>
          <cell r="H59" t="str">
            <v>MR</v>
          </cell>
          <cell r="I59" t="str">
            <v>Upper Egypt</v>
          </cell>
          <cell r="J59">
            <v>1003757367</v>
          </cell>
          <cell r="K59">
            <v>45931</v>
          </cell>
        </row>
        <row r="59">
          <cell r="M59">
            <v>1756</v>
          </cell>
          <cell r="N59" t="str">
            <v>Nagaa Hamady</v>
          </cell>
        </row>
        <row r="60">
          <cell r="A60">
            <v>1758</v>
          </cell>
          <cell r="B60" t="str">
            <v>Esraa Mahmoud Elamir</v>
          </cell>
          <cell r="C60" t="str">
            <v>Mai Ashraf Mohamed</v>
          </cell>
          <cell r="D60" t="str">
            <v>Ali Ahmed Ali</v>
          </cell>
          <cell r="E60" t="str">
            <v>Abd Elhameed Elshiekh</v>
          </cell>
          <cell r="F60" t="str">
            <v>Averozolid Line</v>
          </cell>
          <cell r="G60" t="str">
            <v>rep000016</v>
          </cell>
          <cell r="H60" t="str">
            <v>MR</v>
          </cell>
          <cell r="I60" t="str">
            <v>Upper Egypt</v>
          </cell>
          <cell r="J60">
            <v>1129324734</v>
          </cell>
          <cell r="K60">
            <v>45931</v>
          </cell>
        </row>
        <row r="60">
          <cell r="M60">
            <v>1758</v>
          </cell>
          <cell r="N60" t="str">
            <v>Quena city</v>
          </cell>
        </row>
        <row r="61">
          <cell r="A61">
            <v>1332</v>
          </cell>
          <cell r="B61" t="str">
            <v>Mahmoud Atef Aref Mohamed</v>
          </cell>
          <cell r="C61" t="str">
            <v>Mai Ashraf Mohamed</v>
          </cell>
          <cell r="D61" t="str">
            <v>Ali Ahmed Ali</v>
          </cell>
          <cell r="E61" t="str">
            <v>Abd Elhameed Elshiekh</v>
          </cell>
          <cell r="F61" t="str">
            <v>Averozolid Line</v>
          </cell>
          <cell r="G61" t="str">
            <v>Rep0002</v>
          </cell>
          <cell r="H61" t="str">
            <v>MR</v>
          </cell>
          <cell r="I61" t="str">
            <v>Upper Egypt</v>
          </cell>
          <cell r="J61">
            <v>1151900641</v>
          </cell>
          <cell r="K61">
            <v>45318</v>
          </cell>
        </row>
        <row r="61">
          <cell r="M61">
            <v>1332</v>
          </cell>
          <cell r="N61" t="str">
            <v>Tahta</v>
          </cell>
        </row>
        <row r="62">
          <cell r="A62">
            <v>748</v>
          </cell>
          <cell r="B62" t="str">
            <v>Marina Emad Kamel</v>
          </cell>
          <cell r="C62" t="str">
            <v>Mai Ashraf Mohamed</v>
          </cell>
          <cell r="D62" t="str">
            <v>Ali Ahmed Ali</v>
          </cell>
          <cell r="E62" t="str">
            <v>Abd Elhameed Elshiekh</v>
          </cell>
          <cell r="F62" t="str">
            <v>Averozolid Line</v>
          </cell>
          <cell r="G62" t="str">
            <v>Rep83</v>
          </cell>
          <cell r="H62" t="str">
            <v>MR</v>
          </cell>
          <cell r="I62" t="str">
            <v>Upper Egypt</v>
          </cell>
          <cell r="J62">
            <v>1270178089</v>
          </cell>
          <cell r="K62">
            <v>44256</v>
          </cell>
        </row>
        <row r="62">
          <cell r="M62">
            <v>748</v>
          </cell>
          <cell r="N62" t="str">
            <v>Gerga</v>
          </cell>
        </row>
        <row r="63">
          <cell r="A63">
            <v>997</v>
          </cell>
          <cell r="B63" t="str">
            <v>Menna Tantawy ElSaadi</v>
          </cell>
          <cell r="C63" t="str">
            <v>Mai Ashraf Mohamed</v>
          </cell>
          <cell r="D63" t="str">
            <v>Ali Ahmed Ali</v>
          </cell>
          <cell r="E63" t="str">
            <v>Abd Elhameed Elshiekh</v>
          </cell>
          <cell r="F63" t="str">
            <v>Averozolid Line</v>
          </cell>
          <cell r="G63" t="str">
            <v>Rep431</v>
          </cell>
          <cell r="H63" t="str">
            <v>MR</v>
          </cell>
          <cell r="I63" t="str">
            <v>Upper Egypt</v>
          </cell>
          <cell r="J63">
            <v>1119211215</v>
          </cell>
          <cell r="K63">
            <v>44814</v>
          </cell>
        </row>
        <row r="63">
          <cell r="M63">
            <v>997</v>
          </cell>
          <cell r="N63" t="str">
            <v>Armant</v>
          </cell>
        </row>
        <row r="64">
          <cell r="A64">
            <v>1747</v>
          </cell>
          <cell r="B64" t="str">
            <v>Sohila Mohamed Ahmed</v>
          </cell>
          <cell r="C64" t="str">
            <v>Mai Ashraf Mohamed</v>
          </cell>
          <cell r="D64" t="str">
            <v>Ali Ahmed Ali</v>
          </cell>
          <cell r="E64" t="str">
            <v>Abd Elhameed Elshiekh</v>
          </cell>
          <cell r="F64" t="str">
            <v>Averozolid Line</v>
          </cell>
          <cell r="G64" t="str">
            <v>Rep00082</v>
          </cell>
          <cell r="H64" t="str">
            <v>MR</v>
          </cell>
          <cell r="I64" t="str">
            <v>Upper Egypt</v>
          </cell>
          <cell r="J64">
            <v>1120262699</v>
          </cell>
          <cell r="K64">
            <v>45914</v>
          </cell>
        </row>
        <row r="64">
          <cell r="M64">
            <v>1747</v>
          </cell>
          <cell r="N64" t="str">
            <v>Aswan City</v>
          </cell>
        </row>
        <row r="65">
          <cell r="A65">
            <v>1869</v>
          </cell>
          <cell r="B65" t="str">
            <v>Ahmed Omer Ali Mostafa</v>
          </cell>
        </row>
        <row r="65">
          <cell r="E65" t="str">
            <v>Abd Elhameed Elshiekh</v>
          </cell>
          <cell r="F65" t="str">
            <v>Averozolid Line</v>
          </cell>
          <cell r="G65" t="str">
            <v>ZM_59</v>
          </cell>
          <cell r="H65" t="str">
            <v>AM</v>
          </cell>
          <cell r="I65" t="str">
            <v>Cairo</v>
          </cell>
          <cell r="J65">
            <v>1001355148</v>
          </cell>
          <cell r="K65">
            <v>46054</v>
          </cell>
        </row>
        <row r="65">
          <cell r="M65">
            <v>1869</v>
          </cell>
        </row>
        <row r="66">
          <cell r="A66">
            <v>1619</v>
          </cell>
          <cell r="B66" t="str">
            <v>Ahmed Fawzy Abdelwahab</v>
          </cell>
        </row>
        <row r="66">
          <cell r="D66" t="str">
            <v>Ahmed Omer Ali Mostafa</v>
          </cell>
          <cell r="E66" t="str">
            <v>Abd Elhameed Elshiekh</v>
          </cell>
          <cell r="F66" t="str">
            <v>Averozolid Line</v>
          </cell>
          <cell r="G66" t="str">
            <v>DM1019</v>
          </cell>
          <cell r="H66" t="str">
            <v>DM</v>
          </cell>
          <cell r="I66" t="str">
            <v>Cairo</v>
          </cell>
          <cell r="J66">
            <v>1111329335</v>
          </cell>
          <cell r="K66">
            <v>45767</v>
          </cell>
          <cell r="L66" t="str">
            <v>Ahmed.Fawzy.Abdelwahab@averroes-eg.com</v>
          </cell>
          <cell r="M66">
            <v>1619</v>
          </cell>
          <cell r="N66" t="str">
            <v>Embaba</v>
          </cell>
        </row>
        <row r="67">
          <cell r="A67">
            <v>1554</v>
          </cell>
          <cell r="B67" t="str">
            <v>Ahmed Alaa Badr</v>
          </cell>
          <cell r="C67" t="str">
            <v>Ahmed Fawzy Abdelwahab</v>
          </cell>
          <cell r="D67" t="str">
            <v>Ahmed Omer Ali Mostafa</v>
          </cell>
          <cell r="E67" t="str">
            <v>Abd Elhameed Elshiekh</v>
          </cell>
          <cell r="F67" t="str">
            <v>Averozolid Line</v>
          </cell>
          <cell r="G67" t="str">
            <v>AVR_58</v>
          </cell>
          <cell r="H67" t="str">
            <v>MR</v>
          </cell>
          <cell r="I67" t="str">
            <v>Cairo</v>
          </cell>
          <cell r="J67">
            <v>1020578275</v>
          </cell>
          <cell r="K67">
            <v>45708</v>
          </cell>
        </row>
        <row r="67">
          <cell r="M67">
            <v>1554</v>
          </cell>
          <cell r="N67" t="str">
            <v>Mokattam</v>
          </cell>
        </row>
        <row r="68">
          <cell r="A68">
            <v>1713</v>
          </cell>
          <cell r="B68" t="str">
            <v>Ali Abdelghany Abdelmoghny</v>
          </cell>
          <cell r="C68" t="str">
            <v>Ahmed Fawzy Abdelwahab</v>
          </cell>
          <cell r="D68" t="str">
            <v>Ahmed Omer Ali Mostafa</v>
          </cell>
          <cell r="E68" t="str">
            <v>Abd Elhameed Elshiekh</v>
          </cell>
          <cell r="F68" t="str">
            <v>Averozolid Line</v>
          </cell>
          <cell r="G68" t="str">
            <v>Rep_00065</v>
          </cell>
          <cell r="H68" t="str">
            <v>MR</v>
          </cell>
          <cell r="I68" t="str">
            <v>Cairo</v>
          </cell>
          <cell r="J68">
            <v>1009620471</v>
          </cell>
          <cell r="K68">
            <v>45850</v>
          </cell>
        </row>
        <row r="68">
          <cell r="M68">
            <v>1713</v>
          </cell>
          <cell r="N68" t="str">
            <v>DAR ELSALAM - CAIRO</v>
          </cell>
        </row>
        <row r="69">
          <cell r="A69">
            <v>1608</v>
          </cell>
          <cell r="B69" t="str">
            <v>Mahmoud Samir Abdeen</v>
          </cell>
          <cell r="C69" t="str">
            <v>Ahmed Fawzy Abdelwahab</v>
          </cell>
          <cell r="D69" t="str">
            <v>Ahmed Omer Ali Mostafa</v>
          </cell>
          <cell r="E69" t="str">
            <v>Abd Elhameed Elshiekh</v>
          </cell>
          <cell r="F69" t="str">
            <v>Averozolid Line</v>
          </cell>
          <cell r="G69" t="str">
            <v>Rep1019</v>
          </cell>
          <cell r="H69" t="str">
            <v>MR</v>
          </cell>
          <cell r="I69" t="str">
            <v>Cairo</v>
          </cell>
          <cell r="J69">
            <v>1148849956</v>
          </cell>
          <cell r="K69">
            <v>45752</v>
          </cell>
        </row>
        <row r="69">
          <cell r="M69">
            <v>1608</v>
          </cell>
          <cell r="N69" t="str">
            <v>Embaba</v>
          </cell>
        </row>
        <row r="70">
          <cell r="A70">
            <v>1103</v>
          </cell>
          <cell r="B70" t="str">
            <v>Mariam Attiah Fawzy</v>
          </cell>
          <cell r="C70" t="str">
            <v>Ahmed Fawzy Abdelwahab</v>
          </cell>
          <cell r="D70" t="str">
            <v>Ahmed Omer Ali Mostafa</v>
          </cell>
          <cell r="E70" t="str">
            <v>Abd Elhameed Elshiekh</v>
          </cell>
          <cell r="F70" t="str">
            <v>Averozolid Line</v>
          </cell>
          <cell r="G70" t="str">
            <v>Rep629</v>
          </cell>
          <cell r="H70" t="str">
            <v>MR</v>
          </cell>
          <cell r="I70" t="str">
            <v>Cairo</v>
          </cell>
          <cell r="J70" t="str">
            <v> 1284584316</v>
          </cell>
          <cell r="K70">
            <v>44927</v>
          </cell>
        </row>
        <row r="70">
          <cell r="M70">
            <v>1103</v>
          </cell>
          <cell r="N70" t="str">
            <v>El Maasara</v>
          </cell>
        </row>
        <row r="71">
          <cell r="A71">
            <v>1523</v>
          </cell>
          <cell r="B71" t="str">
            <v>Rahma Mohamed Ali</v>
          </cell>
          <cell r="C71" t="str">
            <v>Ahmed Fawzy Abdelwahab</v>
          </cell>
          <cell r="D71" t="str">
            <v>Ahmed Omer Ali Mostafa</v>
          </cell>
          <cell r="E71" t="str">
            <v>Abd Elhameed Elshiekh</v>
          </cell>
          <cell r="F71" t="str">
            <v>Averozolid Line</v>
          </cell>
          <cell r="G71" t="str">
            <v>AVR_24</v>
          </cell>
          <cell r="H71" t="str">
            <v>MR</v>
          </cell>
          <cell r="I71" t="str">
            <v>Cairo</v>
          </cell>
          <cell r="J71">
            <v>1098089404</v>
          </cell>
          <cell r="K71">
            <v>45691</v>
          </cell>
        </row>
        <row r="71">
          <cell r="M71">
            <v>1523</v>
          </cell>
          <cell r="N71" t="str">
            <v>Suiz</v>
          </cell>
        </row>
        <row r="72">
          <cell r="A72">
            <v>1400</v>
          </cell>
          <cell r="B72" t="str">
            <v>Tarek Gamal Abdo</v>
          </cell>
          <cell r="C72" t="str">
            <v>Ahmed Fawzy Abdelwahab</v>
          </cell>
          <cell r="D72" t="str">
            <v>Ahmed Omer Ali Mostafa</v>
          </cell>
          <cell r="E72" t="str">
            <v>Abd Elhameed Elshiekh</v>
          </cell>
          <cell r="F72" t="str">
            <v>Averozolid Line</v>
          </cell>
          <cell r="G72" t="str">
            <v>Rep10010</v>
          </cell>
          <cell r="H72" t="str">
            <v>MR</v>
          </cell>
          <cell r="I72" t="str">
            <v>Cairo</v>
          </cell>
          <cell r="J72">
            <v>1221659472</v>
          </cell>
          <cell r="K72">
            <v>45465</v>
          </cell>
        </row>
        <row r="72">
          <cell r="M72">
            <v>1400</v>
          </cell>
          <cell r="N72" t="str">
            <v>Hay El Salam</v>
          </cell>
        </row>
        <row r="73">
          <cell r="A73">
            <v>857</v>
          </cell>
          <cell r="B73" t="str">
            <v>Mohamed Khaled Helal</v>
          </cell>
        </row>
        <row r="73">
          <cell r="D73" t="str">
            <v>Ahmed Omer Ali Mostafa</v>
          </cell>
          <cell r="E73" t="str">
            <v>Abd Elhameed Elshiekh</v>
          </cell>
          <cell r="F73" t="str">
            <v>Averozolid Line</v>
          </cell>
          <cell r="G73" t="str">
            <v>Rep8</v>
          </cell>
          <cell r="H73" t="str">
            <v>DM</v>
          </cell>
          <cell r="I73" t="str">
            <v>Cairo</v>
          </cell>
          <cell r="J73">
            <v>1114248475</v>
          </cell>
          <cell r="K73">
            <v>44501</v>
          </cell>
          <cell r="L73" t="str">
            <v>Mohamed.Khaled.Helal@averroes-eg.com</v>
          </cell>
          <cell r="M73">
            <v>857</v>
          </cell>
          <cell r="N73" t="str">
            <v>El Marg</v>
          </cell>
        </row>
        <row r="74">
          <cell r="A74">
            <v>1593</v>
          </cell>
          <cell r="B74" t="str">
            <v>Ammar Osama Okasha</v>
          </cell>
          <cell r="C74" t="str">
            <v>Mohamed Khaled Helal</v>
          </cell>
          <cell r="D74" t="str">
            <v>Ahmed Omer Ali Mostafa</v>
          </cell>
          <cell r="E74" t="str">
            <v>Abd Elhameed Elshiekh</v>
          </cell>
          <cell r="F74" t="str">
            <v>Averozolid Line</v>
          </cell>
          <cell r="G74" t="str">
            <v>AVR_144</v>
          </cell>
          <cell r="H74" t="str">
            <v>MR</v>
          </cell>
          <cell r="I74" t="str">
            <v>Cairo</v>
          </cell>
          <cell r="J74">
            <v>1146909164</v>
          </cell>
          <cell r="K74">
            <v>45731</v>
          </cell>
        </row>
        <row r="74">
          <cell r="M74">
            <v>1593</v>
          </cell>
          <cell r="N74" t="str">
            <v>NASR CITY II</v>
          </cell>
        </row>
        <row r="75">
          <cell r="A75">
            <v>1544</v>
          </cell>
          <cell r="B75" t="str">
            <v>Bola Yehia Botros</v>
          </cell>
          <cell r="C75" t="str">
            <v>Mohamed Khaled Helal</v>
          </cell>
          <cell r="D75" t="str">
            <v>Ahmed Omer Ali Mostafa</v>
          </cell>
          <cell r="E75" t="str">
            <v>Abd Elhameed Elshiekh</v>
          </cell>
          <cell r="F75" t="str">
            <v>Averozolid Line</v>
          </cell>
          <cell r="G75" t="str">
            <v>AVR_61</v>
          </cell>
          <cell r="H75" t="str">
            <v>MR</v>
          </cell>
          <cell r="I75" t="str">
            <v>Cairo</v>
          </cell>
          <cell r="J75">
            <v>1289820019</v>
          </cell>
          <cell r="K75">
            <v>45703</v>
          </cell>
        </row>
        <row r="75">
          <cell r="M75">
            <v>1544</v>
          </cell>
          <cell r="N75" t="str">
            <v>Bani Swaif City</v>
          </cell>
        </row>
        <row r="76">
          <cell r="A76">
            <v>794</v>
          </cell>
          <cell r="B76" t="str">
            <v>Hanaa Saeed Baioumy</v>
          </cell>
          <cell r="C76" t="str">
            <v>Mohamed Khaled Helal</v>
          </cell>
          <cell r="D76" t="str">
            <v>Ahmed Omer Ali Mostafa</v>
          </cell>
          <cell r="E76" t="str">
            <v>Abd Elhameed Elshiekh</v>
          </cell>
          <cell r="F76" t="str">
            <v>Averozolid Line</v>
          </cell>
          <cell r="G76" t="str">
            <v>Rep22</v>
          </cell>
          <cell r="H76" t="str">
            <v>MR</v>
          </cell>
          <cell r="I76" t="str">
            <v>Cairo</v>
          </cell>
          <cell r="J76">
            <v>1021022474</v>
          </cell>
          <cell r="K76">
            <v>44362</v>
          </cell>
        </row>
        <row r="76">
          <cell r="M76">
            <v>794</v>
          </cell>
          <cell r="N76" t="str">
            <v>6th of October City</v>
          </cell>
        </row>
        <row r="77">
          <cell r="A77">
            <v>1740</v>
          </cell>
          <cell r="B77" t="str">
            <v>Hassan Ashraf Hassan</v>
          </cell>
          <cell r="C77" t="str">
            <v>Mohamed Khaled Helal</v>
          </cell>
          <cell r="D77" t="str">
            <v>Ahmed Omer Ali Mostafa</v>
          </cell>
          <cell r="E77" t="str">
            <v>Abd Elhameed Elshiekh</v>
          </cell>
          <cell r="F77" t="str">
            <v>Averozolid Line</v>
          </cell>
          <cell r="G77" t="str">
            <v>Rep1000014</v>
          </cell>
          <cell r="H77" t="str">
            <v>MR</v>
          </cell>
          <cell r="I77" t="str">
            <v>Cairo</v>
          </cell>
          <cell r="J77">
            <v>1156256210</v>
          </cell>
          <cell r="K77">
            <v>45901</v>
          </cell>
        </row>
        <row r="77">
          <cell r="M77">
            <v>1740</v>
          </cell>
          <cell r="N77" t="str">
            <v>Madenet El Salam</v>
          </cell>
        </row>
        <row r="78">
          <cell r="A78">
            <v>1685</v>
          </cell>
          <cell r="B78" t="str">
            <v>Hazem Mohamed Hussien</v>
          </cell>
          <cell r="C78" t="str">
            <v>Mohamed Khaled Helal</v>
          </cell>
          <cell r="D78" t="str">
            <v>Ahmed Omer Ali Mostafa</v>
          </cell>
          <cell r="E78" t="str">
            <v>Abd Elhameed Elshiekh</v>
          </cell>
          <cell r="F78" t="str">
            <v>Averozolid Line</v>
          </cell>
          <cell r="G78" t="str">
            <v>Rep10073</v>
          </cell>
          <cell r="H78" t="str">
            <v>MR</v>
          </cell>
          <cell r="I78" t="str">
            <v>Cairo</v>
          </cell>
          <cell r="J78">
            <v>1005213439</v>
          </cell>
          <cell r="K78">
            <v>45809</v>
          </cell>
        </row>
        <row r="78">
          <cell r="M78">
            <v>1685</v>
          </cell>
          <cell r="N78" t="str">
            <v>Bani Swaif City</v>
          </cell>
        </row>
        <row r="79">
          <cell r="A79">
            <v>1512</v>
          </cell>
          <cell r="B79" t="str">
            <v>Kareem Mokhtar Zaki</v>
          </cell>
          <cell r="C79" t="str">
            <v>Mohamed Khaled Helal</v>
          </cell>
          <cell r="D79" t="str">
            <v>Ahmed Omer Ali Mostafa</v>
          </cell>
          <cell r="E79" t="str">
            <v>Abd Elhameed Elshiekh</v>
          </cell>
          <cell r="F79" t="str">
            <v>Averozolid Line</v>
          </cell>
          <cell r="G79" t="str">
            <v>AVR_13</v>
          </cell>
          <cell r="H79" t="str">
            <v>MR</v>
          </cell>
          <cell r="I79" t="str">
            <v>Cairo</v>
          </cell>
          <cell r="J79">
            <v>1114108412</v>
          </cell>
          <cell r="K79">
            <v>45689</v>
          </cell>
        </row>
        <row r="79">
          <cell r="M79">
            <v>1512</v>
          </cell>
          <cell r="N79" t="str">
            <v>El Marg</v>
          </cell>
        </row>
        <row r="80">
          <cell r="A80">
            <v>1253</v>
          </cell>
          <cell r="B80" t="str">
            <v>Sara Thabet Habel</v>
          </cell>
          <cell r="C80" t="str">
            <v>Mohamed Khaled Helal</v>
          </cell>
          <cell r="D80" t="str">
            <v>Ahmed Omer Ali Mostafa</v>
          </cell>
          <cell r="E80" t="str">
            <v>Abd Elhameed Elshiekh</v>
          </cell>
          <cell r="F80" t="str">
            <v>Averozolid Line</v>
          </cell>
          <cell r="G80" t="str">
            <v>Rep836</v>
          </cell>
          <cell r="H80" t="str">
            <v>MR</v>
          </cell>
          <cell r="I80" t="str">
            <v>Cairo</v>
          </cell>
          <cell r="J80">
            <v>1289876655</v>
          </cell>
          <cell r="K80">
            <v>45171</v>
          </cell>
        </row>
        <row r="80">
          <cell r="M80">
            <v>1253</v>
          </cell>
          <cell r="N80" t="str">
            <v>El Zawya El Hamra I</v>
          </cell>
        </row>
        <row r="81">
          <cell r="A81">
            <v>206</v>
          </cell>
          <cell r="B81" t="str">
            <v>Rania Isaac Wadea</v>
          </cell>
        </row>
        <row r="81">
          <cell r="D81" t="str">
            <v>Ahmed Omer Ali Mostafa</v>
          </cell>
          <cell r="E81" t="str">
            <v>Abd Elhameed Elshiekh</v>
          </cell>
          <cell r="F81" t="str">
            <v>Averozolid Line</v>
          </cell>
          <cell r="G81" t="str">
            <v>10001</v>
          </cell>
          <cell r="H81" t="str">
            <v>DM</v>
          </cell>
          <cell r="I81" t="str">
            <v>Cairo</v>
          </cell>
          <cell r="J81" t="str">
            <v> 01225402590</v>
          </cell>
          <cell r="K81">
            <v>43150</v>
          </cell>
          <cell r="L81" t="str">
            <v>Rania.Isaac.Wadea@averroes-eg.com</v>
          </cell>
          <cell r="M81">
            <v>206</v>
          </cell>
          <cell r="N81" t="str">
            <v>El Mazallat</v>
          </cell>
        </row>
        <row r="82">
          <cell r="A82">
            <v>1606</v>
          </cell>
          <cell r="B82" t="str">
            <v>Manar Ashraf Mohamed</v>
          </cell>
          <cell r="C82" t="str">
            <v>Rania Isaac Wadea</v>
          </cell>
          <cell r="D82" t="str">
            <v>Ahmed Omer Ali Mostafa</v>
          </cell>
          <cell r="E82" t="str">
            <v>Abd Elhameed Elshiekh</v>
          </cell>
          <cell r="F82" t="str">
            <v>Averozolid Line</v>
          </cell>
          <cell r="G82" t="str">
            <v>Rep1017</v>
          </cell>
          <cell r="H82" t="str">
            <v>MR</v>
          </cell>
          <cell r="I82" t="str">
            <v>Cairo</v>
          </cell>
          <cell r="J82">
            <v>1141945376</v>
          </cell>
          <cell r="K82">
            <v>45752</v>
          </cell>
        </row>
        <row r="82">
          <cell r="M82">
            <v>1606</v>
          </cell>
          <cell r="N82" t="str">
            <v>El Zaytoun</v>
          </cell>
        </row>
        <row r="83">
          <cell r="A83">
            <v>1700</v>
          </cell>
          <cell r="B83" t="str">
            <v>Mohamed Khaled Kamal</v>
          </cell>
          <cell r="C83" t="str">
            <v>Rania Isaac Wadea</v>
          </cell>
          <cell r="D83" t="str">
            <v>Ahmed Omer Ali Mostafa</v>
          </cell>
          <cell r="E83" t="str">
            <v>Abd Elhameed Elshiekh</v>
          </cell>
          <cell r="F83" t="str">
            <v>Averozolid Line</v>
          </cell>
          <cell r="G83" t="str">
            <v>Rep100155</v>
          </cell>
          <cell r="H83" t="str">
            <v>MR</v>
          </cell>
          <cell r="I83" t="str">
            <v>Cairo</v>
          </cell>
          <cell r="J83">
            <v>1115180440</v>
          </cell>
          <cell r="K83">
            <v>45839</v>
          </cell>
        </row>
        <row r="83">
          <cell r="M83">
            <v>1700</v>
          </cell>
          <cell r="N83" t="str">
            <v>Shoubra El-Khima</v>
          </cell>
        </row>
        <row r="84">
          <cell r="A84">
            <v>1835</v>
          </cell>
          <cell r="B84" t="str">
            <v>Mohamed Tarek Mohamed</v>
          </cell>
          <cell r="C84" t="str">
            <v>Rania Isaac Wadea</v>
          </cell>
          <cell r="D84" t="str">
            <v>Ahmed Omer Ali Mostafa</v>
          </cell>
          <cell r="E84" t="str">
            <v>Abd Elhameed Elshiekh</v>
          </cell>
          <cell r="F84" t="str">
            <v>Averozolid Line</v>
          </cell>
          <cell r="G84" t="str">
            <v>Rep1030</v>
          </cell>
          <cell r="H84" t="str">
            <v>MR</v>
          </cell>
          <cell r="I84" t="str">
            <v>Cairo</v>
          </cell>
          <cell r="J84">
            <v>1206079398</v>
          </cell>
          <cell r="K84">
            <v>46039</v>
          </cell>
        </row>
        <row r="84">
          <cell r="M84">
            <v>1835</v>
          </cell>
          <cell r="N84" t="str">
            <v>Matar El Nozha</v>
          </cell>
        </row>
        <row r="85">
          <cell r="A85">
            <v>1605</v>
          </cell>
          <cell r="B85" t="str">
            <v>Remonda Ashraf Zaky</v>
          </cell>
          <cell r="C85" t="str">
            <v>Rania Isaac Wadea</v>
          </cell>
          <cell r="D85" t="str">
            <v>Ahmed Omer Ali Mostafa</v>
          </cell>
          <cell r="E85" t="str">
            <v>Abd Elhameed Elshiekh</v>
          </cell>
          <cell r="F85" t="str">
            <v>Averozolid Line</v>
          </cell>
          <cell r="G85" t="str">
            <v>Rep1016</v>
          </cell>
          <cell r="H85" t="str">
            <v>MR</v>
          </cell>
          <cell r="I85" t="str">
            <v>Cairo</v>
          </cell>
          <cell r="J85">
            <v>1122973605</v>
          </cell>
          <cell r="K85">
            <v>45752</v>
          </cell>
        </row>
        <row r="85">
          <cell r="M85">
            <v>1605</v>
          </cell>
          <cell r="N85" t="str">
            <v>Road El Farag</v>
          </cell>
        </row>
        <row r="86">
          <cell r="A86">
            <v>1481</v>
          </cell>
          <cell r="B86" t="str">
            <v>Vevian Mamdouh Issac</v>
          </cell>
          <cell r="C86" t="str">
            <v>Rania Isaac Wadea</v>
          </cell>
          <cell r="D86" t="str">
            <v>Ahmed Omer Ali Mostafa</v>
          </cell>
          <cell r="E86" t="str">
            <v>Abd Elhameed Elshiekh</v>
          </cell>
          <cell r="F86" t="str">
            <v>Averozolid Line</v>
          </cell>
          <cell r="G86" t="str">
            <v>Rep100068</v>
          </cell>
          <cell r="H86" t="str">
            <v>MR</v>
          </cell>
          <cell r="I86" t="str">
            <v>Cairo</v>
          </cell>
          <cell r="J86">
            <v>1212187020</v>
          </cell>
          <cell r="K86">
            <v>45658</v>
          </cell>
        </row>
        <row r="86">
          <cell r="M86">
            <v>1481</v>
          </cell>
        </row>
        <row r="87">
          <cell r="A87">
            <v>988</v>
          </cell>
          <cell r="B87" t="str">
            <v>Tayseer ElSayed AbdElbary</v>
          </cell>
        </row>
        <row r="87">
          <cell r="D87" t="str">
            <v>Ahmed Omer Ali Mostafa</v>
          </cell>
          <cell r="E87" t="str">
            <v>Abd Elhameed Elshiekh</v>
          </cell>
          <cell r="F87" t="str">
            <v>Averozolid Line</v>
          </cell>
          <cell r="G87" t="str">
            <v>Rep447</v>
          </cell>
          <cell r="H87" t="str">
            <v>DM</v>
          </cell>
          <cell r="I87" t="str">
            <v>Cairo</v>
          </cell>
          <cell r="J87">
            <v>1111615948</v>
          </cell>
          <cell r="K87">
            <v>44807</v>
          </cell>
          <cell r="L87" t="str">
            <v>Tayseer.AbdElbary@averroes-eg.com</v>
          </cell>
          <cell r="M87">
            <v>988</v>
          </cell>
          <cell r="N87" t="str">
            <v>El Haram</v>
          </cell>
        </row>
        <row r="88">
          <cell r="A88">
            <v>1468</v>
          </cell>
          <cell r="B88" t="str">
            <v>Ali Mohamed Darwesh</v>
          </cell>
          <cell r="C88" t="str">
            <v>Tayseer ElSayed AbdElbary</v>
          </cell>
          <cell r="D88" t="str">
            <v>Ahmed Omer Ali Mostafa</v>
          </cell>
          <cell r="E88" t="str">
            <v>Abd Elhameed Elshiekh</v>
          </cell>
          <cell r="F88" t="str">
            <v>Averozolid Line</v>
          </cell>
          <cell r="G88" t="str">
            <v>Rep0075</v>
          </cell>
          <cell r="H88" t="str">
            <v>MR</v>
          </cell>
          <cell r="I88" t="str">
            <v>Cairo</v>
          </cell>
          <cell r="J88">
            <v>1005263453</v>
          </cell>
          <cell r="K88">
            <v>45627</v>
          </cell>
        </row>
        <row r="88">
          <cell r="M88">
            <v>1468</v>
          </cell>
          <cell r="N88" t="str">
            <v>Sakyet Mekky</v>
          </cell>
        </row>
        <row r="89">
          <cell r="A89">
            <v>1362</v>
          </cell>
          <cell r="B89" t="str">
            <v>Eyad Mohamed Roshdy</v>
          </cell>
          <cell r="C89" t="str">
            <v>Tayseer ElSayed AbdElbary</v>
          </cell>
          <cell r="D89" t="str">
            <v>Ahmed Omer Ali Mostafa</v>
          </cell>
          <cell r="E89" t="str">
            <v>Abd Elhameed Elshiekh</v>
          </cell>
          <cell r="F89" t="str">
            <v>Averozolid Line</v>
          </cell>
          <cell r="G89" t="str">
            <v>Rep996</v>
          </cell>
          <cell r="H89" t="str">
            <v>MR</v>
          </cell>
          <cell r="I89" t="str">
            <v>Cairo</v>
          </cell>
          <cell r="J89">
            <v>1016683317</v>
          </cell>
          <cell r="K89">
            <v>45423</v>
          </cell>
        </row>
        <row r="89">
          <cell r="M89">
            <v>1362</v>
          </cell>
          <cell r="N89" t="str">
            <v>Fayoum City</v>
          </cell>
        </row>
        <row r="90">
          <cell r="A90">
            <v>1745</v>
          </cell>
          <cell r="B90" t="str">
            <v>Lujain Osama Eskander</v>
          </cell>
          <cell r="C90" t="str">
            <v>Tayseer ElSayed AbdElbary</v>
          </cell>
          <cell r="D90" t="str">
            <v>Ahmed Omer Ali Mostafa</v>
          </cell>
          <cell r="E90" t="str">
            <v>Abd Elhameed Elshiekh</v>
          </cell>
          <cell r="F90" t="str">
            <v>Averozolid Line</v>
          </cell>
          <cell r="G90" t="str">
            <v>Rep1113</v>
          </cell>
          <cell r="H90" t="str">
            <v>MR</v>
          </cell>
          <cell r="I90" t="str">
            <v>Cairo</v>
          </cell>
          <cell r="J90">
            <v>1204449959</v>
          </cell>
          <cell r="K90">
            <v>45909</v>
          </cell>
        </row>
        <row r="90">
          <cell r="M90">
            <v>1745</v>
          </cell>
          <cell r="N90" t="str">
            <v>Faisal</v>
          </cell>
        </row>
        <row r="91">
          <cell r="A91">
            <v>1218</v>
          </cell>
          <cell r="B91" t="str">
            <v>Mariam Mansour Sadek</v>
          </cell>
          <cell r="C91" t="str">
            <v>Tayseer ElSayed AbdElbary</v>
          </cell>
          <cell r="D91" t="str">
            <v>Ahmed Omer Ali Mostafa</v>
          </cell>
          <cell r="E91" t="str">
            <v>Abd Elhameed Elshiekh</v>
          </cell>
          <cell r="F91" t="str">
            <v>Averozolid Line</v>
          </cell>
          <cell r="G91" t="str">
            <v>Rep740</v>
          </cell>
          <cell r="H91" t="str">
            <v>MR</v>
          </cell>
          <cell r="I91" t="str">
            <v>Cairo</v>
          </cell>
          <cell r="J91">
            <v>1061890112</v>
          </cell>
          <cell r="K91">
            <v>45017</v>
          </cell>
        </row>
        <row r="91">
          <cell r="M91">
            <v>1218</v>
          </cell>
          <cell r="N91" t="str">
            <v>El Basrawy</v>
          </cell>
        </row>
        <row r="92">
          <cell r="A92">
            <v>68</v>
          </cell>
          <cell r="B92" t="str">
            <v>Hossam Kamel ElWakeel</v>
          </cell>
        </row>
        <row r="92">
          <cell r="E92" t="str">
            <v>Abd Elhameed Elshiekh</v>
          </cell>
          <cell r="F92" t="str">
            <v>Ortho Line</v>
          </cell>
          <cell r="G92" t="str">
            <v>ZM_6</v>
          </cell>
          <cell r="H92" t="str">
            <v>AM</v>
          </cell>
          <cell r="I92" t="str">
            <v>Alex</v>
          </cell>
          <cell r="J92" t="str">
            <v> 01002999232</v>
          </cell>
          <cell r="K92">
            <v>41671</v>
          </cell>
          <cell r="L92" t="str">
            <v>hossam.elwakeel@averroes-eg.com</v>
          </cell>
          <cell r="M92">
            <v>68</v>
          </cell>
          <cell r="N92" t="str">
            <v>Kafr El Shiekh</v>
          </cell>
        </row>
        <row r="93">
          <cell r="A93">
            <v>176</v>
          </cell>
          <cell r="B93" t="str">
            <v>Ali Omar freag</v>
          </cell>
        </row>
        <row r="93">
          <cell r="D93" t="str">
            <v>Hossam Kamel ElWakeel</v>
          </cell>
          <cell r="E93" t="str">
            <v>Abd Elhameed Elshiekh</v>
          </cell>
          <cell r="F93" t="str">
            <v>Ortho Line</v>
          </cell>
          <cell r="G93" t="str">
            <v>DM_25</v>
          </cell>
          <cell r="H93" t="str">
            <v>DM</v>
          </cell>
          <cell r="I93" t="str">
            <v>Alex</v>
          </cell>
          <cell r="J93" t="str">
            <v> 01093198714</v>
          </cell>
          <cell r="K93">
            <v>43008</v>
          </cell>
          <cell r="L93" t="str">
            <v>ali.omar@averroes-eg.com</v>
          </cell>
          <cell r="M93">
            <v>176</v>
          </cell>
          <cell r="N93" t="str">
            <v>Quariet Kherbetha</v>
          </cell>
        </row>
        <row r="94">
          <cell r="A94">
            <v>1442</v>
          </cell>
          <cell r="B94" t="str">
            <v>Alaa Taher Abdellatif</v>
          </cell>
          <cell r="C94" t="str">
            <v>Ali Omar freag</v>
          </cell>
          <cell r="D94" t="str">
            <v>Hossam Kamel ElWakeel</v>
          </cell>
          <cell r="E94" t="str">
            <v>Abd Elhameed Elshiekh</v>
          </cell>
          <cell r="F94" t="str">
            <v>Ortho Line</v>
          </cell>
          <cell r="G94" t="str">
            <v>Rep10021</v>
          </cell>
          <cell r="H94" t="str">
            <v>MR</v>
          </cell>
          <cell r="I94" t="str">
            <v>Alex</v>
          </cell>
          <cell r="J94">
            <v>1097123754</v>
          </cell>
          <cell r="K94">
            <v>45542</v>
          </cell>
        </row>
        <row r="94">
          <cell r="M94">
            <v>1442</v>
          </cell>
          <cell r="N94" t="str">
            <v>Kafr El Shiekh</v>
          </cell>
        </row>
        <row r="95">
          <cell r="A95">
            <v>1095</v>
          </cell>
          <cell r="B95" t="str">
            <v>Ayah Ali Shahin</v>
          </cell>
          <cell r="C95" t="str">
            <v>Ali Omar freag</v>
          </cell>
          <cell r="D95" t="str">
            <v>Hossam Kamel ElWakeel</v>
          </cell>
          <cell r="E95" t="str">
            <v>Abd Elhameed Elshiekh</v>
          </cell>
          <cell r="F95" t="str">
            <v>Ortho Line</v>
          </cell>
          <cell r="G95" t="str">
            <v>Rep551</v>
          </cell>
          <cell r="H95" t="str">
            <v>MR</v>
          </cell>
          <cell r="I95" t="str">
            <v>Alex</v>
          </cell>
          <cell r="J95" t="str">
            <v> 01003761973</v>
          </cell>
          <cell r="K95">
            <v>44927</v>
          </cell>
        </row>
        <row r="95">
          <cell r="M95">
            <v>1095</v>
          </cell>
          <cell r="N95" t="str">
            <v>Etay El Baroud</v>
          </cell>
        </row>
        <row r="96">
          <cell r="A96">
            <v>1508</v>
          </cell>
          <cell r="B96" t="str">
            <v>Mai Attia Morsy</v>
          </cell>
          <cell r="C96" t="str">
            <v>Ali Omar freag</v>
          </cell>
          <cell r="D96" t="str">
            <v>Hossam Kamel ElWakeel</v>
          </cell>
          <cell r="E96" t="str">
            <v>Abd Elhameed Elshiekh</v>
          </cell>
          <cell r="F96" t="str">
            <v>Ortho Line</v>
          </cell>
          <cell r="G96" t="str">
            <v>AVR_9</v>
          </cell>
          <cell r="H96" t="str">
            <v>MR</v>
          </cell>
          <cell r="I96" t="str">
            <v>Alex</v>
          </cell>
          <cell r="J96">
            <v>1020160488</v>
          </cell>
          <cell r="K96">
            <v>45713</v>
          </cell>
        </row>
        <row r="96">
          <cell r="M96">
            <v>1508</v>
          </cell>
          <cell r="N96" t="str">
            <v>Kafer Eldwar</v>
          </cell>
        </row>
        <row r="97">
          <cell r="A97">
            <v>1387</v>
          </cell>
          <cell r="B97" t="str">
            <v>Mai Magdy shanash</v>
          </cell>
          <cell r="C97" t="str">
            <v>Ali Omar freag</v>
          </cell>
          <cell r="D97" t="str">
            <v>Hossam Kamel ElWakeel</v>
          </cell>
          <cell r="E97" t="str">
            <v>Abd Elhameed Elshiekh</v>
          </cell>
          <cell r="F97" t="str">
            <v>Ortho Line</v>
          </cell>
          <cell r="G97" t="str">
            <v>Rep048</v>
          </cell>
          <cell r="H97" t="str">
            <v>MR</v>
          </cell>
          <cell r="I97" t="str">
            <v>Alex</v>
          </cell>
          <cell r="J97">
            <v>1011957365</v>
          </cell>
          <cell r="K97">
            <v>45446</v>
          </cell>
        </row>
        <row r="97">
          <cell r="M97">
            <v>1387</v>
          </cell>
          <cell r="N97" t="str">
            <v>Damanhour</v>
          </cell>
        </row>
        <row r="98">
          <cell r="A98">
            <v>1235</v>
          </cell>
          <cell r="B98" t="str">
            <v>Nada Mohamed Elkholy</v>
          </cell>
          <cell r="C98" t="str">
            <v>Ali Omar freag</v>
          </cell>
          <cell r="D98" t="str">
            <v>Hossam Kamel ElWakeel</v>
          </cell>
          <cell r="E98" t="str">
            <v>Abd Elhameed Elshiekh</v>
          </cell>
          <cell r="F98" t="str">
            <v>Ortho Line</v>
          </cell>
          <cell r="G98" t="str">
            <v>Rep843</v>
          </cell>
          <cell r="H98" t="str">
            <v>MR</v>
          </cell>
          <cell r="I98" t="str">
            <v>Alex</v>
          </cell>
          <cell r="J98">
            <v>1022321401</v>
          </cell>
          <cell r="K98">
            <v>45111</v>
          </cell>
        </row>
        <row r="98">
          <cell r="M98">
            <v>1235</v>
          </cell>
          <cell r="N98" t="str">
            <v>Shoubra (Damanhour)</v>
          </cell>
        </row>
        <row r="99">
          <cell r="A99">
            <v>1511</v>
          </cell>
          <cell r="B99" t="str">
            <v>Naira Nofal Zaky</v>
          </cell>
          <cell r="C99" t="str">
            <v>Ali Omar freag</v>
          </cell>
          <cell r="D99" t="str">
            <v>Hossam Kamel ElWakeel</v>
          </cell>
          <cell r="E99" t="str">
            <v>Abd Elhameed Elshiekh</v>
          </cell>
          <cell r="F99" t="str">
            <v>Ortho Line</v>
          </cell>
          <cell r="G99" t="str">
            <v>AVR_12</v>
          </cell>
          <cell r="H99" t="str">
            <v>MR</v>
          </cell>
          <cell r="I99" t="str">
            <v>Alex</v>
          </cell>
          <cell r="J99">
            <v>1099180337</v>
          </cell>
          <cell r="K99">
            <v>45690</v>
          </cell>
        </row>
        <row r="99">
          <cell r="M99">
            <v>1511</v>
          </cell>
          <cell r="N99" t="str">
            <v>Kafr El Shiekh</v>
          </cell>
        </row>
        <row r="100">
          <cell r="A100">
            <v>1779</v>
          </cell>
          <cell r="B100" t="str">
            <v>Sara Sherif Mohamed</v>
          </cell>
          <cell r="C100" t="str">
            <v>Ali Omar freag</v>
          </cell>
          <cell r="D100" t="str">
            <v>Hossam Kamel ElWakeel</v>
          </cell>
          <cell r="E100" t="str">
            <v>Abd Elhameed Elshiekh</v>
          </cell>
          <cell r="F100" t="str">
            <v>Ortho Line</v>
          </cell>
          <cell r="G100" t="str">
            <v>Rep_00075</v>
          </cell>
          <cell r="H100" t="str">
            <v>MR</v>
          </cell>
          <cell r="I100" t="str">
            <v>Alex</v>
          </cell>
          <cell r="J100">
            <v>1095695938</v>
          </cell>
          <cell r="K100">
            <v>45962</v>
          </cell>
        </row>
        <row r="100">
          <cell r="M100">
            <v>1779</v>
          </cell>
          <cell r="N100" t="str">
            <v>Desouk</v>
          </cell>
        </row>
        <row r="101">
          <cell r="A101">
            <v>543</v>
          </cell>
          <cell r="B101" t="str">
            <v>Hebtallah Hanfy Elsaid</v>
          </cell>
        </row>
        <row r="101">
          <cell r="D101" t="str">
            <v>Hossam Kamel ElWakeel</v>
          </cell>
          <cell r="E101" t="str">
            <v>Abd Elhameed Elshiekh</v>
          </cell>
          <cell r="F101" t="str">
            <v>Ortho Line</v>
          </cell>
          <cell r="G101" t="str">
            <v>Rep184</v>
          </cell>
          <cell r="H101" t="str">
            <v>DM</v>
          </cell>
          <cell r="I101" t="str">
            <v>Alex</v>
          </cell>
          <cell r="J101">
            <v>1200102243</v>
          </cell>
          <cell r="K101">
            <v>43846</v>
          </cell>
          <cell r="L101" t="str">
            <v>hebtallah.hanfy@averroes-eg.com</v>
          </cell>
          <cell r="M101">
            <v>543</v>
          </cell>
          <cell r="N101" t="str">
            <v>El Asafra Kebly</v>
          </cell>
        </row>
        <row r="102">
          <cell r="A102">
            <v>1398</v>
          </cell>
          <cell r="B102" t="str">
            <v>Abeer Nasser Amin</v>
          </cell>
          <cell r="C102" t="str">
            <v>Hebtallah Hanfy Elsaid</v>
          </cell>
          <cell r="D102" t="str">
            <v>Hossam Kamel ElWakeel</v>
          </cell>
          <cell r="E102" t="str">
            <v>Abd Elhameed Elshiekh</v>
          </cell>
          <cell r="F102" t="str">
            <v>Ortho Line</v>
          </cell>
          <cell r="G102" t="str">
            <v>Rep999</v>
          </cell>
          <cell r="H102" t="str">
            <v>MR</v>
          </cell>
          <cell r="I102" t="str">
            <v>Alex</v>
          </cell>
          <cell r="J102">
            <v>1270836966</v>
          </cell>
          <cell r="K102">
            <v>45465</v>
          </cell>
        </row>
        <row r="102">
          <cell r="M102">
            <v>1398</v>
          </cell>
          <cell r="N102" t="str">
            <v>El Falaky (Alex)</v>
          </cell>
        </row>
        <row r="103">
          <cell r="A103">
            <v>1406</v>
          </cell>
          <cell r="B103" t="str">
            <v>Ahmed Samir AbdElaziz</v>
          </cell>
          <cell r="C103" t="str">
            <v>Hebtallah Hanfy Elsaid</v>
          </cell>
          <cell r="D103" t="str">
            <v>Hossam Kamel ElWakeel</v>
          </cell>
          <cell r="E103" t="str">
            <v>Abd Elhameed Elshiekh</v>
          </cell>
          <cell r="F103" t="str">
            <v>Ortho Line</v>
          </cell>
          <cell r="G103" t="str">
            <v>Rep0053</v>
          </cell>
          <cell r="H103" t="str">
            <v>MR</v>
          </cell>
          <cell r="I103" t="str">
            <v>Alex</v>
          </cell>
          <cell r="J103">
            <v>1554098724</v>
          </cell>
          <cell r="K103">
            <v>45479</v>
          </cell>
        </row>
        <row r="103">
          <cell r="M103">
            <v>1406</v>
          </cell>
          <cell r="N103" t="str">
            <v>El Hanoveel</v>
          </cell>
        </row>
        <row r="104">
          <cell r="A104">
            <v>1361</v>
          </cell>
          <cell r="B104" t="str">
            <v>Haidy Adel Emam</v>
          </cell>
          <cell r="C104" t="str">
            <v>Hebtallah Hanfy Elsaid</v>
          </cell>
          <cell r="D104" t="str">
            <v>Hossam Kamel ElWakeel</v>
          </cell>
          <cell r="E104" t="str">
            <v>Abd Elhameed Elshiekh</v>
          </cell>
          <cell r="F104" t="str">
            <v>Ortho Line</v>
          </cell>
          <cell r="G104" t="str">
            <v>Rep993</v>
          </cell>
          <cell r="H104" t="str">
            <v>MR</v>
          </cell>
          <cell r="I104" t="str">
            <v>Alex</v>
          </cell>
          <cell r="J104">
            <v>1288635673</v>
          </cell>
          <cell r="K104">
            <v>45423</v>
          </cell>
        </row>
        <row r="104">
          <cell r="M104">
            <v>1361</v>
          </cell>
          <cell r="N104" t="str">
            <v>El Betash</v>
          </cell>
        </row>
        <row r="105">
          <cell r="A105">
            <v>1594</v>
          </cell>
          <cell r="B105" t="str">
            <v>Mahmoud Samy Mohamed</v>
          </cell>
          <cell r="C105" t="str">
            <v>Hebtallah Hanfy Elsaid</v>
          </cell>
          <cell r="D105" t="str">
            <v>Hossam Kamel ElWakeel</v>
          </cell>
          <cell r="E105" t="str">
            <v>Abd Elhameed Elshiekh</v>
          </cell>
          <cell r="F105" t="str">
            <v>Ortho Line</v>
          </cell>
          <cell r="G105" t="str">
            <v>AVR_145</v>
          </cell>
          <cell r="H105" t="str">
            <v>MR</v>
          </cell>
          <cell r="I105" t="str">
            <v>Alex</v>
          </cell>
          <cell r="J105">
            <v>1212314471</v>
          </cell>
          <cell r="K105">
            <v>45717</v>
          </cell>
        </row>
        <row r="105">
          <cell r="M105">
            <v>1594</v>
          </cell>
          <cell r="N105" t="str">
            <v>El Asafra</v>
          </cell>
        </row>
        <row r="106">
          <cell r="A106">
            <v>1595</v>
          </cell>
          <cell r="B106" t="str">
            <v>Omnia Mohamed Mohamed Ali</v>
          </cell>
          <cell r="C106" t="str">
            <v>Hebtallah Hanfy Elsaid</v>
          </cell>
          <cell r="D106" t="str">
            <v>Hossam Kamel ElWakeel</v>
          </cell>
          <cell r="E106" t="str">
            <v>Abd Elhameed Elshiekh</v>
          </cell>
          <cell r="F106" t="str">
            <v>Ortho Line</v>
          </cell>
          <cell r="G106" t="str">
            <v>AVR_146</v>
          </cell>
          <cell r="H106" t="str">
            <v>MR</v>
          </cell>
          <cell r="I106" t="str">
            <v>Alex</v>
          </cell>
          <cell r="J106">
            <v>1287590852</v>
          </cell>
          <cell r="K106">
            <v>45728</v>
          </cell>
        </row>
        <row r="106">
          <cell r="M106">
            <v>1595</v>
          </cell>
          <cell r="N106" t="str">
            <v>Sidi Beshr Bahary</v>
          </cell>
        </row>
        <row r="107">
          <cell r="A107">
            <v>1821</v>
          </cell>
          <cell r="B107" t="str">
            <v>Rewan Emad Fawzy Beshara</v>
          </cell>
          <cell r="C107" t="str">
            <v>Hebtallah Hanfy Elsaid</v>
          </cell>
          <cell r="D107" t="str">
            <v>Hossam Kamel ElWakeel</v>
          </cell>
          <cell r="E107" t="str">
            <v>Abd Elhameed Elshiekh</v>
          </cell>
          <cell r="F107" t="str">
            <v>Ortho Line</v>
          </cell>
          <cell r="G107" t="str">
            <v>Rep_00140</v>
          </cell>
          <cell r="H107" t="str">
            <v>MR</v>
          </cell>
          <cell r="I107" t="str">
            <v>Alex</v>
          </cell>
          <cell r="J107">
            <v>1507111624</v>
          </cell>
          <cell r="K107">
            <v>46013</v>
          </cell>
        </row>
        <row r="107">
          <cell r="M107">
            <v>1821</v>
          </cell>
          <cell r="N107" t="str">
            <v>El Betash</v>
          </cell>
        </row>
        <row r="108">
          <cell r="A108">
            <v>1706</v>
          </cell>
          <cell r="B108" t="str">
            <v>Ziad Khalid Saad</v>
          </cell>
          <cell r="C108" t="str">
            <v>Hebtallah Hanfy Elsaid</v>
          </cell>
          <cell r="D108" t="str">
            <v>Hossam Kamel ElWakeel</v>
          </cell>
          <cell r="E108" t="str">
            <v>Abd Elhameed Elshiekh</v>
          </cell>
          <cell r="F108" t="str">
            <v>Ortho Line</v>
          </cell>
          <cell r="G108" t="str">
            <v>Rep10096</v>
          </cell>
          <cell r="H108" t="str">
            <v>MR</v>
          </cell>
          <cell r="I108" t="str">
            <v>Alex</v>
          </cell>
          <cell r="J108">
            <v>1550447381</v>
          </cell>
          <cell r="K108">
            <v>45839</v>
          </cell>
        </row>
        <row r="108">
          <cell r="M108">
            <v>1706</v>
          </cell>
          <cell r="N108" t="str">
            <v>El Siuf Bahary</v>
          </cell>
        </row>
        <row r="109">
          <cell r="A109">
            <v>959</v>
          </cell>
          <cell r="B109" t="str">
            <v>Mohamed Nagar Abdelrhim</v>
          </cell>
        </row>
        <row r="109">
          <cell r="E109" t="str">
            <v>Abd Elhameed Elshiekh</v>
          </cell>
          <cell r="F109" t="str">
            <v>Ortho Line</v>
          </cell>
          <cell r="G109" t="str">
            <v>DM_30</v>
          </cell>
          <cell r="H109" t="str">
            <v>AM</v>
          </cell>
          <cell r="I109" t="str">
            <v>Cairo</v>
          </cell>
          <cell r="J109">
            <v>1147609346</v>
          </cell>
          <cell r="K109">
            <v>44615</v>
          </cell>
          <cell r="L109" t="str">
            <v>Mohamed.Nagar.Abdelrhim@averroes-eg.com</v>
          </cell>
          <cell r="M109">
            <v>959</v>
          </cell>
          <cell r="N109" t="str">
            <v>Helwan</v>
          </cell>
        </row>
        <row r="110">
          <cell r="A110">
            <v>1324</v>
          </cell>
          <cell r="B110" t="str">
            <v>Ibrahem Fayek Ismail</v>
          </cell>
        </row>
        <row r="110">
          <cell r="D110" t="str">
            <v>Mohamed Nagar Abdelrhim</v>
          </cell>
          <cell r="E110" t="str">
            <v>Abd Elhameed Elshiekh</v>
          </cell>
          <cell r="F110" t="str">
            <v>Ortho Line</v>
          </cell>
          <cell r="G110" t="str">
            <v>DM_138</v>
          </cell>
          <cell r="H110" t="str">
            <v>DM</v>
          </cell>
          <cell r="I110" t="str">
            <v>Cairo</v>
          </cell>
          <cell r="J110">
            <v>1005691168</v>
          </cell>
          <cell r="K110">
            <v>45293</v>
          </cell>
          <cell r="L110" t="str">
            <v>Ibrahem.Fayek@averroes-eg.com</v>
          </cell>
          <cell r="M110">
            <v>1324</v>
          </cell>
          <cell r="N110" t="str">
            <v>Mansheyet Naser</v>
          </cell>
        </row>
        <row r="111">
          <cell r="A111">
            <v>1863</v>
          </cell>
          <cell r="B111" t="str">
            <v>Shimaa Maher Ghamry Ahmed</v>
          </cell>
          <cell r="C111" t="str">
            <v>Ibrahem Fayek Ismail</v>
          </cell>
          <cell r="D111" t="str">
            <v>Mohamed Nagar Abdelrhim</v>
          </cell>
          <cell r="E111" t="str">
            <v>Abd Elhameed Elshiekh</v>
          </cell>
          <cell r="F111" t="str">
            <v>Ortho Line</v>
          </cell>
          <cell r="G111" t="str">
            <v>Rep_00162</v>
          </cell>
          <cell r="H111" t="str">
            <v>MR</v>
          </cell>
          <cell r="I111" t="str">
            <v>Cairo</v>
          </cell>
          <cell r="J111">
            <v>1156870485</v>
          </cell>
          <cell r="K111">
            <v>46060</v>
          </cell>
        </row>
        <row r="111">
          <cell r="M111">
            <v>1863</v>
          </cell>
          <cell r="N111" t="str">
            <v>El Sahel</v>
          </cell>
        </row>
        <row r="112">
          <cell r="A112">
            <v>1330</v>
          </cell>
          <cell r="B112" t="str">
            <v>Manar Abdelrahman Mohammed</v>
          </cell>
          <cell r="C112" t="str">
            <v>Ibrahem Fayek Ismail</v>
          </cell>
          <cell r="D112" t="str">
            <v>Mohamed Nagar Abdelrhim</v>
          </cell>
          <cell r="E112" t="str">
            <v>Abd Elhameed Elshiekh</v>
          </cell>
          <cell r="F112" t="str">
            <v>Ortho Line</v>
          </cell>
          <cell r="G112" t="str">
            <v>Rep917</v>
          </cell>
          <cell r="H112" t="str">
            <v>MR</v>
          </cell>
          <cell r="I112" t="str">
            <v>Cairo</v>
          </cell>
          <cell r="J112">
            <v>1066171906</v>
          </cell>
          <cell r="K112">
            <v>45311</v>
          </cell>
        </row>
        <row r="112">
          <cell r="M112">
            <v>1330</v>
          </cell>
          <cell r="N112" t="str">
            <v>Suiz</v>
          </cell>
        </row>
        <row r="113">
          <cell r="A113">
            <v>925</v>
          </cell>
          <cell r="B113" t="str">
            <v>Sara Saad Sayed</v>
          </cell>
          <cell r="C113" t="str">
            <v>Ibrahem Fayek Ismail</v>
          </cell>
          <cell r="D113" t="str">
            <v>Mohamed Nagar Abdelrhim</v>
          </cell>
          <cell r="E113" t="str">
            <v>Abd Elhameed Elshiekh</v>
          </cell>
          <cell r="F113" t="str">
            <v>Ortho Line</v>
          </cell>
          <cell r="G113" t="str">
            <v>Rep153</v>
          </cell>
          <cell r="H113" t="str">
            <v>MR</v>
          </cell>
          <cell r="I113" t="str">
            <v>Cairo</v>
          </cell>
          <cell r="J113">
            <v>1287737504</v>
          </cell>
          <cell r="K113">
            <v>44597</v>
          </cell>
        </row>
        <row r="113">
          <cell r="M113">
            <v>925</v>
          </cell>
          <cell r="N113" t="str">
            <v>El Basateen</v>
          </cell>
        </row>
        <row r="114">
          <cell r="A114">
            <v>1597</v>
          </cell>
          <cell r="B114" t="str">
            <v>Shrouk Hisham Mohamed</v>
          </cell>
          <cell r="C114" t="str">
            <v>Ibrahem Fayek Ismail</v>
          </cell>
          <cell r="D114" t="str">
            <v>Mohamed Nagar Abdelrhim</v>
          </cell>
          <cell r="E114" t="str">
            <v>Abd Elhameed Elshiekh</v>
          </cell>
          <cell r="F114" t="str">
            <v>Ortho Line</v>
          </cell>
          <cell r="G114" t="str">
            <v>Rep1010</v>
          </cell>
          <cell r="H114" t="str">
            <v>MR</v>
          </cell>
          <cell r="I114" t="str">
            <v>Cairo</v>
          </cell>
          <cell r="J114">
            <v>106018837</v>
          </cell>
          <cell r="K114">
            <v>45750</v>
          </cell>
        </row>
        <row r="114">
          <cell r="M114">
            <v>1597</v>
          </cell>
          <cell r="N114" t="str">
            <v>Ain Shams El Sharqeya</v>
          </cell>
        </row>
        <row r="115">
          <cell r="A115">
            <v>311</v>
          </cell>
          <cell r="B115" t="str">
            <v>Zeinab Gamal Mohamed</v>
          </cell>
          <cell r="C115" t="str">
            <v>Ibrahem Fayek Ismail</v>
          </cell>
          <cell r="D115" t="str">
            <v>Mohamed Nagar Abdelrhim</v>
          </cell>
          <cell r="E115" t="str">
            <v>Abd Elhameed Elshiekh</v>
          </cell>
          <cell r="F115" t="str">
            <v>Ortho Line</v>
          </cell>
          <cell r="G115" t="str">
            <v>Rep15</v>
          </cell>
          <cell r="H115" t="str">
            <v>MR</v>
          </cell>
          <cell r="I115" t="str">
            <v>Cairo</v>
          </cell>
          <cell r="J115" t="str">
            <v> 01129050807</v>
          </cell>
          <cell r="K115">
            <v>43282</v>
          </cell>
        </row>
        <row r="115">
          <cell r="M115">
            <v>311</v>
          </cell>
          <cell r="N115" t="str">
            <v>Helwan</v>
          </cell>
        </row>
        <row r="116">
          <cell r="A116">
            <v>1591</v>
          </cell>
          <cell r="B116" t="str">
            <v>Mahmoud Mohsen Mahmoud</v>
          </cell>
        </row>
        <row r="116">
          <cell r="D116" t="str">
            <v>Mohamed Nagar Abdelrhim</v>
          </cell>
          <cell r="E116" t="str">
            <v>Abd Elhameed Elshiekh</v>
          </cell>
          <cell r="F116" t="str">
            <v>Ortho Line</v>
          </cell>
          <cell r="G116" t="str">
            <v>DM_0013</v>
          </cell>
          <cell r="H116" t="str">
            <v>DM</v>
          </cell>
          <cell r="I116" t="str">
            <v>Cairo</v>
          </cell>
          <cell r="J116">
            <v>1015864146</v>
          </cell>
          <cell r="K116">
            <v>45735</v>
          </cell>
          <cell r="L116" t="str">
            <v>Mahmoud.Mohsen.Mahmoud@averroes-eg.com</v>
          </cell>
          <cell r="M116">
            <v>1591</v>
          </cell>
          <cell r="N116" t="str">
            <v>Hadayek Al Ahram</v>
          </cell>
        </row>
        <row r="117">
          <cell r="A117">
            <v>1359</v>
          </cell>
          <cell r="B117" t="str">
            <v>Abdelmeged Mohammed Abdallah</v>
          </cell>
          <cell r="C117" t="str">
            <v>Mahmoud Mohsen Mahmoud</v>
          </cell>
          <cell r="D117" t="str">
            <v>Mohamed Nagar Abdelrhim</v>
          </cell>
          <cell r="E117" t="str">
            <v>Abd Elhameed Elshiekh</v>
          </cell>
          <cell r="F117" t="str">
            <v>Ortho Line</v>
          </cell>
          <cell r="G117" t="str">
            <v>Rep991</v>
          </cell>
          <cell r="H117" t="str">
            <v>MR</v>
          </cell>
          <cell r="I117" t="str">
            <v>Cairo</v>
          </cell>
          <cell r="J117">
            <v>1126176336</v>
          </cell>
          <cell r="K117">
            <v>45423</v>
          </cell>
        </row>
        <row r="117">
          <cell r="M117">
            <v>1359</v>
          </cell>
          <cell r="N117" t="str">
            <v>Abo El Nomros</v>
          </cell>
        </row>
        <row r="118">
          <cell r="A118">
            <v>1841</v>
          </cell>
          <cell r="B118" t="str">
            <v>Ahmed Adel Mohamed kholousy</v>
          </cell>
          <cell r="C118" t="str">
            <v>Mahmoud Mohsen Mahmoud</v>
          </cell>
          <cell r="D118" t="str">
            <v>Mohamed Nagar Abdelrhim</v>
          </cell>
          <cell r="E118" t="str">
            <v>Abd Elhameed Elshiekh</v>
          </cell>
          <cell r="F118" t="str">
            <v>Ortho Line</v>
          </cell>
          <cell r="G118" t="str">
            <v>MR_1873</v>
          </cell>
          <cell r="H118" t="str">
            <v>MR</v>
          </cell>
          <cell r="I118" t="str">
            <v>Cairo</v>
          </cell>
        </row>
        <row r="118">
          <cell r="K118">
            <v>46021</v>
          </cell>
        </row>
        <row r="118">
          <cell r="M118">
            <v>1841</v>
          </cell>
        </row>
        <row r="119">
          <cell r="A119">
            <v>1627</v>
          </cell>
          <cell r="B119" t="str">
            <v>Ali Zainelabdeen Hamed</v>
          </cell>
          <cell r="C119" t="str">
            <v>Mahmoud Mohsen Mahmoud</v>
          </cell>
          <cell r="D119" t="str">
            <v>Mohamed Nagar Abdelrhim</v>
          </cell>
          <cell r="E119" t="str">
            <v>Abd Elhameed Elshiekh</v>
          </cell>
          <cell r="F119" t="str">
            <v>Ortho Line</v>
          </cell>
          <cell r="G119" t="str">
            <v>Rep544</v>
          </cell>
          <cell r="H119" t="str">
            <v>MR</v>
          </cell>
          <cell r="I119" t="str">
            <v>Cairo</v>
          </cell>
          <cell r="J119">
            <v>1066917854</v>
          </cell>
          <cell r="K119">
            <v>45777</v>
          </cell>
        </row>
        <row r="119">
          <cell r="M119">
            <v>1627</v>
          </cell>
          <cell r="N119" t="str">
            <v>Embaba</v>
          </cell>
        </row>
        <row r="120">
          <cell r="A120">
            <v>1209</v>
          </cell>
          <cell r="B120" t="str">
            <v>Aya Kamal Hussien</v>
          </cell>
          <cell r="C120" t="str">
            <v>Mahmoud Mohsen Mahmoud</v>
          </cell>
          <cell r="D120" t="str">
            <v>Mohamed Nagar Abdelrhim</v>
          </cell>
          <cell r="E120" t="str">
            <v>Abd Elhameed Elshiekh</v>
          </cell>
          <cell r="F120" t="str">
            <v>Ortho Line</v>
          </cell>
          <cell r="G120" t="str">
            <v>Rep735</v>
          </cell>
          <cell r="H120" t="str">
            <v>MR</v>
          </cell>
          <cell r="I120" t="str">
            <v>Cairo</v>
          </cell>
          <cell r="J120">
            <v>1019670169</v>
          </cell>
          <cell r="K120">
            <v>44998</v>
          </cell>
        </row>
        <row r="120">
          <cell r="M120">
            <v>1209</v>
          </cell>
          <cell r="N120" t="str">
            <v>Fayoum City</v>
          </cell>
        </row>
        <row r="121">
          <cell r="A121">
            <v>1501</v>
          </cell>
          <cell r="B121" t="str">
            <v>Monica Nagy Nabil</v>
          </cell>
          <cell r="C121" t="str">
            <v>Mahmoud Mohsen Mahmoud</v>
          </cell>
          <cell r="D121" t="str">
            <v>Mohamed Nagar Abdelrhim</v>
          </cell>
          <cell r="E121" t="str">
            <v>Abd Elhameed Elshiekh</v>
          </cell>
          <cell r="F121" t="str">
            <v>Ortho Line</v>
          </cell>
          <cell r="G121" t="str">
            <v>Rep100101</v>
          </cell>
          <cell r="H121" t="str">
            <v>MR</v>
          </cell>
          <cell r="I121" t="str">
            <v>Cairo</v>
          </cell>
          <cell r="J121">
            <v>1272921499</v>
          </cell>
          <cell r="K121">
            <v>45675</v>
          </cell>
        </row>
        <row r="121">
          <cell r="M121">
            <v>1501</v>
          </cell>
          <cell r="N121" t="str">
            <v>El Talbia (Haram)</v>
          </cell>
        </row>
        <row r="122">
          <cell r="A122">
            <v>1836</v>
          </cell>
          <cell r="B122" t="str">
            <v>Soryal Fathy Shaker</v>
          </cell>
          <cell r="C122" t="str">
            <v>Mahmoud Mohsen Mahmoud</v>
          </cell>
          <cell r="D122" t="str">
            <v>Mohamed Nagar Abdelrhim</v>
          </cell>
          <cell r="E122" t="str">
            <v>Abd Elhameed Elshiekh</v>
          </cell>
          <cell r="F122" t="str">
            <v>Ortho Line</v>
          </cell>
          <cell r="G122" t="str">
            <v>Rep_00165</v>
          </cell>
          <cell r="H122" t="str">
            <v>MR</v>
          </cell>
          <cell r="I122" t="str">
            <v>Cairo</v>
          </cell>
          <cell r="J122">
            <v>1271459622</v>
          </cell>
          <cell r="K122">
            <v>46025</v>
          </cell>
        </row>
        <row r="122">
          <cell r="M122">
            <v>1836</v>
          </cell>
          <cell r="N122" t="str">
            <v>El Omrania</v>
          </cell>
        </row>
        <row r="123">
          <cell r="A123">
            <v>412</v>
          </cell>
          <cell r="B123" t="str">
            <v>Mohamed Mostafa Nassar</v>
          </cell>
        </row>
        <row r="123">
          <cell r="D123" t="str">
            <v>Mohamed Nagar Abdelrhim</v>
          </cell>
          <cell r="E123" t="str">
            <v>Abd Elhameed Elshiekh</v>
          </cell>
          <cell r="F123" t="str">
            <v>Ortho Line</v>
          </cell>
          <cell r="G123" t="str">
            <v>DM_73</v>
          </cell>
          <cell r="H123" t="str">
            <v>DM</v>
          </cell>
          <cell r="I123" t="str">
            <v>Cairo</v>
          </cell>
          <cell r="J123">
            <v>1111329335</v>
          </cell>
          <cell r="K123">
            <v>43497</v>
          </cell>
          <cell r="L123" t="str">
            <v>mohamed.nassar@averroes-eg.com</v>
          </cell>
          <cell r="M123">
            <v>412</v>
          </cell>
          <cell r="N123" t="str">
            <v>ELMATARIA - CAIRO</v>
          </cell>
        </row>
        <row r="124">
          <cell r="A124">
            <v>1823</v>
          </cell>
          <cell r="B124" t="str">
            <v>Alaa Ahmed Abdelwahab</v>
          </cell>
          <cell r="C124" t="str">
            <v>Mohamed Mostafa Nassar</v>
          </cell>
          <cell r="D124" t="str">
            <v>Mohamed Nagar Abdelrhim</v>
          </cell>
          <cell r="E124" t="str">
            <v>Abd Elhameed Elshiekh</v>
          </cell>
          <cell r="F124" t="str">
            <v>Ortho Line</v>
          </cell>
          <cell r="G124" t="str">
            <v>Rep_00153</v>
          </cell>
          <cell r="H124" t="str">
            <v>MR</v>
          </cell>
          <cell r="I124" t="str">
            <v>Cairo</v>
          </cell>
          <cell r="J124">
            <v>1122010177</v>
          </cell>
          <cell r="K124">
            <v>46022</v>
          </cell>
        </row>
        <row r="124">
          <cell r="M124">
            <v>1823</v>
          </cell>
          <cell r="N124" t="str">
            <v>Ain Shams El Sharqeya</v>
          </cell>
        </row>
        <row r="125">
          <cell r="A125">
            <v>713</v>
          </cell>
          <cell r="B125" t="str">
            <v>Kyrollos Mikhail Samaan</v>
          </cell>
          <cell r="C125" t="str">
            <v>Mohamed Mostafa Nassar</v>
          </cell>
          <cell r="D125" t="str">
            <v>Mohamed Nagar Abdelrhim</v>
          </cell>
          <cell r="E125" t="str">
            <v>Abd Elhameed Elshiekh</v>
          </cell>
          <cell r="F125" t="str">
            <v>Ortho Line</v>
          </cell>
          <cell r="G125" t="str">
            <v>Rep212</v>
          </cell>
          <cell r="H125" t="str">
            <v>MR</v>
          </cell>
          <cell r="I125" t="str">
            <v>Cairo</v>
          </cell>
          <cell r="J125">
            <v>0</v>
          </cell>
          <cell r="K125">
            <v>44222</v>
          </cell>
        </row>
        <row r="125">
          <cell r="M125">
            <v>713</v>
          </cell>
          <cell r="N125" t="str">
            <v>El Marg</v>
          </cell>
        </row>
        <row r="126">
          <cell r="A126">
            <v>1842</v>
          </cell>
          <cell r="B126" t="str">
            <v>Ali Shaaban Ali</v>
          </cell>
          <cell r="C126" t="str">
            <v>Mohamed Mostafa Nassar</v>
          </cell>
          <cell r="D126" t="str">
            <v>Mohamed Nagar Abdelrhim</v>
          </cell>
          <cell r="E126" t="str">
            <v>Abd Elhameed Elshiekh</v>
          </cell>
          <cell r="F126" t="str">
            <v>Ortho Line</v>
          </cell>
          <cell r="G126" t="str">
            <v>rep000012</v>
          </cell>
          <cell r="H126" t="str">
            <v>MR</v>
          </cell>
          <cell r="I126" t="str">
            <v>Cairo</v>
          </cell>
          <cell r="J126">
            <v>1006626097</v>
          </cell>
          <cell r="K126">
            <v>46049</v>
          </cell>
        </row>
        <row r="126">
          <cell r="M126">
            <v>1842</v>
          </cell>
          <cell r="N126" t="str">
            <v>Bahteem</v>
          </cell>
        </row>
        <row r="127">
          <cell r="A127">
            <v>395</v>
          </cell>
          <cell r="B127" t="str">
            <v>Mohamed Ahmed Eid</v>
          </cell>
          <cell r="C127" t="str">
            <v>Mohamed Mostafa Nassar</v>
          </cell>
          <cell r="D127" t="str">
            <v>Mohamed Nagar Abdelrhim</v>
          </cell>
          <cell r="E127" t="str">
            <v>Abd Elhameed Elshiekh</v>
          </cell>
          <cell r="F127" t="str">
            <v>Ortho Line</v>
          </cell>
          <cell r="G127" t="str">
            <v>Rep69</v>
          </cell>
          <cell r="H127" t="str">
            <v>MR</v>
          </cell>
          <cell r="I127" t="str">
            <v>Cairo</v>
          </cell>
          <cell r="J127">
            <v>1060137342</v>
          </cell>
          <cell r="K127">
            <v>43132</v>
          </cell>
        </row>
        <row r="127">
          <cell r="M127">
            <v>395</v>
          </cell>
          <cell r="N127" t="str">
            <v>Ismaelia City</v>
          </cell>
        </row>
        <row r="128">
          <cell r="A128">
            <v>1572</v>
          </cell>
          <cell r="B128" t="str">
            <v>Sarah Saeed Mohammed</v>
          </cell>
          <cell r="C128" t="str">
            <v>Mohamed Mostafa Nassar</v>
          </cell>
          <cell r="D128" t="str">
            <v>Mohamed Nagar Abdelrhim</v>
          </cell>
          <cell r="E128" t="str">
            <v>Abd Elhameed Elshiekh</v>
          </cell>
          <cell r="F128" t="str">
            <v>Ortho Line</v>
          </cell>
          <cell r="G128" t="str">
            <v>AVR_94</v>
          </cell>
          <cell r="H128" t="str">
            <v>MR</v>
          </cell>
          <cell r="I128" t="str">
            <v>Cairo</v>
          </cell>
          <cell r="J128">
            <v>1142614491</v>
          </cell>
          <cell r="K128">
            <v>45718</v>
          </cell>
        </row>
        <row r="128">
          <cell r="M128">
            <v>1572</v>
          </cell>
          <cell r="N128" t="str">
            <v>Ain shams</v>
          </cell>
        </row>
        <row r="129">
          <cell r="A129">
            <v>149</v>
          </cell>
          <cell r="B129" t="str">
            <v>Mohamed Taha Mohamed</v>
          </cell>
        </row>
        <row r="129">
          <cell r="E129" t="str">
            <v>Abd Elhameed Elshiekh</v>
          </cell>
          <cell r="F129" t="str">
            <v>Ortho Line</v>
          </cell>
          <cell r="G129" t="str">
            <v>ZM_17</v>
          </cell>
          <cell r="H129" t="str">
            <v>AM</v>
          </cell>
          <cell r="I129" t="str">
            <v>Delta</v>
          </cell>
          <cell r="J129">
            <v>1022228972</v>
          </cell>
          <cell r="K129">
            <v>41091</v>
          </cell>
          <cell r="L129" t="str">
            <v>Mohamed.farag@averroes-eg.com</v>
          </cell>
          <cell r="M129">
            <v>149</v>
          </cell>
          <cell r="N129" t="str">
            <v>Menyet Elkamh</v>
          </cell>
        </row>
        <row r="130">
          <cell r="A130">
            <v>1338</v>
          </cell>
          <cell r="B130" t="str">
            <v>Ali Salem Ali</v>
          </cell>
        </row>
        <row r="130">
          <cell r="D130" t="str">
            <v>Mohamed Taha Mohamed</v>
          </cell>
          <cell r="E130" t="str">
            <v>Abd Elhameed Elshiekh</v>
          </cell>
          <cell r="F130" t="str">
            <v>Ortho Line</v>
          </cell>
          <cell r="G130" t="str">
            <v>DM_1002</v>
          </cell>
          <cell r="H130" t="str">
            <v>DM</v>
          </cell>
          <cell r="I130" t="str">
            <v>Delta</v>
          </cell>
          <cell r="J130">
            <v>1145736809</v>
          </cell>
          <cell r="K130">
            <v>45383</v>
          </cell>
          <cell r="L130" t="str">
            <v>Ali.Salem@averroes-eg.com</v>
          </cell>
          <cell r="M130">
            <v>1338</v>
          </cell>
          <cell r="N130" t="str">
            <v>diest</v>
          </cell>
        </row>
        <row r="131">
          <cell r="A131">
            <v>1470</v>
          </cell>
          <cell r="B131" t="str">
            <v>Amina Elsaied Hamdi Aboelfotoh</v>
          </cell>
          <cell r="C131" t="str">
            <v>Ali Salem Ali</v>
          </cell>
          <cell r="D131" t="str">
            <v>Mohamed Taha Mohamed</v>
          </cell>
          <cell r="E131" t="str">
            <v>Abd Elhameed Elshiekh</v>
          </cell>
          <cell r="F131" t="str">
            <v>Ortho Line</v>
          </cell>
          <cell r="G131" t="str">
            <v>Rep10043</v>
          </cell>
          <cell r="H131" t="str">
            <v>MR</v>
          </cell>
          <cell r="I131" t="str">
            <v>Delta</v>
          </cell>
          <cell r="J131">
            <v>1025345205</v>
          </cell>
          <cell r="K131">
            <v>45634</v>
          </cell>
        </row>
        <row r="131">
          <cell r="M131">
            <v>1470</v>
          </cell>
          <cell r="N131" t="str">
            <v>Aga</v>
          </cell>
        </row>
        <row r="132">
          <cell r="A132">
            <v>725</v>
          </cell>
          <cell r="B132" t="str">
            <v>Aya Ali Younes</v>
          </cell>
          <cell r="C132" t="str">
            <v>Ali Salem Ali</v>
          </cell>
          <cell r="D132" t="str">
            <v>Mohamed Taha Mohamed</v>
          </cell>
          <cell r="E132" t="str">
            <v>Abd Elhameed Elshiekh</v>
          </cell>
          <cell r="F132" t="str">
            <v>Ortho Line</v>
          </cell>
          <cell r="G132" t="str">
            <v>Rep233</v>
          </cell>
          <cell r="H132" t="str">
            <v>MR</v>
          </cell>
          <cell r="I132" t="str">
            <v>Delta</v>
          </cell>
          <cell r="J132">
            <v>0</v>
          </cell>
          <cell r="K132">
            <v>44227</v>
          </cell>
        </row>
        <row r="132">
          <cell r="M132">
            <v>725</v>
          </cell>
          <cell r="N132" t="str">
            <v>Dekernes</v>
          </cell>
        </row>
        <row r="133">
          <cell r="A133">
            <v>1805</v>
          </cell>
          <cell r="B133" t="str">
            <v>Aya Elsaied Elbialy Ibrahem</v>
          </cell>
          <cell r="C133" t="str">
            <v>Ali Salem Ali</v>
          </cell>
          <cell r="D133" t="str">
            <v>Mohamed Taha Mohamed</v>
          </cell>
          <cell r="E133" t="str">
            <v>Abd Elhameed Elshiekh</v>
          </cell>
          <cell r="F133" t="str">
            <v>Ortho Line</v>
          </cell>
          <cell r="G133" t="str">
            <v>Rep_00103</v>
          </cell>
          <cell r="H133" t="str">
            <v>MR</v>
          </cell>
          <cell r="I133" t="str">
            <v>Delta</v>
          </cell>
          <cell r="J133">
            <v>1025739069</v>
          </cell>
          <cell r="K133">
            <v>45992</v>
          </cell>
        </row>
        <row r="133">
          <cell r="M133">
            <v>1805</v>
          </cell>
          <cell r="N133" t="str">
            <v>Domiat New</v>
          </cell>
        </row>
        <row r="134">
          <cell r="A134">
            <v>1824</v>
          </cell>
          <cell r="B134" t="str">
            <v>Fayza Mohamed Mohamed Eldesoky</v>
          </cell>
          <cell r="C134" t="str">
            <v>Ali Salem Ali</v>
          </cell>
          <cell r="D134" t="str">
            <v>Mohamed Taha Mohamed</v>
          </cell>
          <cell r="E134" t="str">
            <v>Abd Elhameed Elshiekh</v>
          </cell>
          <cell r="F134" t="str">
            <v>Ortho Line</v>
          </cell>
          <cell r="G134" t="str">
            <v>Rep_00154</v>
          </cell>
          <cell r="H134" t="str">
            <v>MR</v>
          </cell>
          <cell r="I134" t="str">
            <v>Delta</v>
          </cell>
          <cell r="J134">
            <v>1223148304</v>
          </cell>
          <cell r="K134">
            <v>46023</v>
          </cell>
        </row>
        <row r="134">
          <cell r="M134">
            <v>1824</v>
          </cell>
          <cell r="N134" t="str">
            <v>Port Saed</v>
          </cell>
        </row>
        <row r="135">
          <cell r="A135">
            <v>1806</v>
          </cell>
          <cell r="B135" t="str">
            <v>Hanan Mohamed Elshahat</v>
          </cell>
          <cell r="C135" t="str">
            <v>Ali Salem Ali</v>
          </cell>
          <cell r="D135" t="str">
            <v>Mohamed Taha Mohamed</v>
          </cell>
          <cell r="E135" t="str">
            <v>Abd Elhameed Elshiekh</v>
          </cell>
          <cell r="F135" t="str">
            <v>Ortho Line</v>
          </cell>
          <cell r="G135" t="str">
            <v>Rep_00104</v>
          </cell>
          <cell r="H135" t="str">
            <v>MR</v>
          </cell>
          <cell r="I135" t="str">
            <v>Delta</v>
          </cell>
          <cell r="J135">
            <v>1050977899</v>
          </cell>
          <cell r="K135">
            <v>45992</v>
          </cell>
        </row>
        <row r="135">
          <cell r="M135">
            <v>1806</v>
          </cell>
          <cell r="N135" t="str">
            <v>El Mansoura</v>
          </cell>
        </row>
        <row r="136">
          <cell r="A136">
            <v>1356</v>
          </cell>
          <cell r="B136" t="str">
            <v>Raghda Fayez Sadek Helal</v>
          </cell>
          <cell r="C136" t="str">
            <v>Ali Salem Ali</v>
          </cell>
          <cell r="D136" t="str">
            <v>Mohamed Taha Mohamed</v>
          </cell>
          <cell r="E136" t="str">
            <v>Abd Elhameed Elshiekh</v>
          </cell>
          <cell r="F136" t="str">
            <v>Ortho Line</v>
          </cell>
          <cell r="G136" t="str">
            <v>Rep968</v>
          </cell>
          <cell r="H136" t="str">
            <v>MR</v>
          </cell>
          <cell r="I136" t="str">
            <v>Delta</v>
          </cell>
          <cell r="J136">
            <v>1021798296</v>
          </cell>
          <cell r="K136">
            <v>45419</v>
          </cell>
        </row>
        <row r="136">
          <cell r="M136">
            <v>1356</v>
          </cell>
          <cell r="N136" t="str">
            <v>El Mansoura</v>
          </cell>
        </row>
        <row r="137">
          <cell r="A137">
            <v>1339</v>
          </cell>
          <cell r="B137" t="str">
            <v>Mohamed Abdallah Ibrahim ElSharawy</v>
          </cell>
        </row>
        <row r="137">
          <cell r="D137" t="str">
            <v>Mohamed Taha Mohamed</v>
          </cell>
          <cell r="E137" t="str">
            <v>Abd Elhameed Elshiekh</v>
          </cell>
          <cell r="F137" t="str">
            <v>Ortho Line</v>
          </cell>
          <cell r="G137" t="str">
            <v>DM_0008</v>
          </cell>
          <cell r="H137" t="str">
            <v>DM</v>
          </cell>
          <cell r="I137" t="str">
            <v>Delta</v>
          </cell>
          <cell r="J137">
            <v>1062650190</v>
          </cell>
          <cell r="K137">
            <v>45403</v>
          </cell>
          <cell r="L137" t="str">
            <v>Mohamed.ElSharawy@averroes-eg.com</v>
          </cell>
          <cell r="M137">
            <v>1339</v>
          </cell>
          <cell r="N137" t="str">
            <v>Tanta</v>
          </cell>
        </row>
        <row r="138">
          <cell r="A138">
            <v>1373</v>
          </cell>
          <cell r="B138" t="str">
            <v>Alaa Mohamed Rabiaa Mehrez</v>
          </cell>
          <cell r="C138" t="str">
            <v>Mohamed Abdallah Ibrahim ElSharawy</v>
          </cell>
          <cell r="D138" t="str">
            <v>Mohamed Taha Mohamed</v>
          </cell>
          <cell r="E138" t="str">
            <v>Abd Elhameed Elshiekh</v>
          </cell>
          <cell r="F138" t="str">
            <v>Ortho Line</v>
          </cell>
          <cell r="G138" t="str">
            <v>Rep0022</v>
          </cell>
          <cell r="H138" t="str">
            <v>MR</v>
          </cell>
          <cell r="I138" t="str">
            <v>Delta</v>
          </cell>
          <cell r="J138">
            <v>1010647325</v>
          </cell>
          <cell r="K138">
            <v>45444</v>
          </cell>
        </row>
        <row r="138">
          <cell r="M138">
            <v>1373</v>
          </cell>
          <cell r="N138" t="str">
            <v>El Mahala El Kobra</v>
          </cell>
        </row>
        <row r="139">
          <cell r="A139">
            <v>1537</v>
          </cell>
          <cell r="B139" t="str">
            <v>Ammar Yasser Salah Shoaib</v>
          </cell>
          <cell r="C139" t="str">
            <v>Mohamed Abdallah Ibrahim ElSharawy</v>
          </cell>
          <cell r="D139" t="str">
            <v>Mohamed Taha Mohamed</v>
          </cell>
          <cell r="E139" t="str">
            <v>Abd Elhameed Elshiekh</v>
          </cell>
          <cell r="F139" t="str">
            <v>Ortho Line</v>
          </cell>
          <cell r="G139" t="str">
            <v>AVR_45</v>
          </cell>
          <cell r="H139" t="str">
            <v>MR</v>
          </cell>
          <cell r="I139" t="str">
            <v>Delta</v>
          </cell>
          <cell r="J139">
            <v>1008728749</v>
          </cell>
          <cell r="K139">
            <v>45698</v>
          </cell>
        </row>
        <row r="139">
          <cell r="M139">
            <v>1537</v>
          </cell>
          <cell r="N139" t="str">
            <v>Shebien El Kom</v>
          </cell>
        </row>
        <row r="140">
          <cell r="A140">
            <v>1073</v>
          </cell>
          <cell r="B140" t="str">
            <v>Basma Atef teaima</v>
          </cell>
          <cell r="C140" t="str">
            <v>Mohamed Abdallah Ibrahim ElSharawy</v>
          </cell>
          <cell r="D140" t="str">
            <v>Mohamed Taha Mohamed</v>
          </cell>
          <cell r="E140" t="str">
            <v>Abd Elhameed Elshiekh</v>
          </cell>
          <cell r="F140" t="str">
            <v>Ortho Line</v>
          </cell>
          <cell r="G140" t="str">
            <v>Rep554</v>
          </cell>
          <cell r="H140" t="str">
            <v>MR</v>
          </cell>
          <cell r="I140" t="str">
            <v>Delta</v>
          </cell>
          <cell r="J140" t="str">
            <v> 01158438120</v>
          </cell>
          <cell r="K140">
            <v>44927</v>
          </cell>
        </row>
        <row r="140">
          <cell r="M140">
            <v>1073</v>
          </cell>
          <cell r="N140" t="str">
            <v>Kafr El zayat</v>
          </cell>
        </row>
        <row r="141">
          <cell r="A141">
            <v>1460</v>
          </cell>
          <cell r="B141" t="str">
            <v>Kristen Atef Zaki Metry</v>
          </cell>
          <cell r="C141" t="str">
            <v>Mohamed Abdallah Ibrahim ElSharawy</v>
          </cell>
          <cell r="D141" t="str">
            <v>Mohamed Taha Mohamed</v>
          </cell>
          <cell r="E141" t="str">
            <v>Abd Elhameed Elshiekh</v>
          </cell>
          <cell r="F141" t="str">
            <v>Ortho Line</v>
          </cell>
          <cell r="G141" t="str">
            <v>Rep10040</v>
          </cell>
          <cell r="H141" t="str">
            <v>MR</v>
          </cell>
          <cell r="I141" t="str">
            <v>Delta</v>
          </cell>
          <cell r="J141">
            <v>1206231103</v>
          </cell>
          <cell r="K141">
            <v>45601</v>
          </cell>
        </row>
        <row r="141">
          <cell r="M141">
            <v>1460</v>
          </cell>
          <cell r="N141" t="str">
            <v>Tanta City</v>
          </cell>
        </row>
        <row r="142">
          <cell r="A142">
            <v>1281</v>
          </cell>
          <cell r="B142" t="str">
            <v>Mariem Wafiek Rafaat</v>
          </cell>
          <cell r="C142" t="str">
            <v>Mohamed Abdallah Ibrahim ElSharawy</v>
          </cell>
          <cell r="D142" t="str">
            <v>Mohamed Taha Mohamed</v>
          </cell>
          <cell r="E142" t="str">
            <v>Abd Elhameed Elshiekh</v>
          </cell>
          <cell r="F142" t="str">
            <v>Ortho Line</v>
          </cell>
          <cell r="G142" t="str">
            <v>Rep026</v>
          </cell>
          <cell r="H142" t="str">
            <v>MR</v>
          </cell>
          <cell r="I142" t="str">
            <v>Delta</v>
          </cell>
          <cell r="J142">
            <v>1100609661</v>
          </cell>
          <cell r="K142">
            <v>45206</v>
          </cell>
        </row>
        <row r="142">
          <cell r="M142">
            <v>1281</v>
          </cell>
          <cell r="N142" t="str">
            <v>Tanta City</v>
          </cell>
        </row>
        <row r="143">
          <cell r="A143">
            <v>1122</v>
          </cell>
          <cell r="B143" t="str">
            <v>Mayada Fawzy Mohamed</v>
          </cell>
          <cell r="C143" t="str">
            <v>Mohamed Abdallah Ibrahim ElSharawy</v>
          </cell>
          <cell r="D143" t="str">
            <v>Mohamed Taha Mohamed</v>
          </cell>
          <cell r="E143" t="str">
            <v>Abd Elhameed Elshiekh</v>
          </cell>
          <cell r="F143" t="str">
            <v>Ortho Line</v>
          </cell>
          <cell r="G143" t="str">
            <v>Rep706</v>
          </cell>
          <cell r="H143" t="str">
            <v>MR</v>
          </cell>
          <cell r="I143" t="str">
            <v>Delta</v>
          </cell>
          <cell r="J143">
            <v>1062167578</v>
          </cell>
          <cell r="K143">
            <v>44962</v>
          </cell>
        </row>
        <row r="143">
          <cell r="M143">
            <v>1122</v>
          </cell>
          <cell r="N143" t="str">
            <v>Meleeg</v>
          </cell>
        </row>
        <row r="144">
          <cell r="A144">
            <v>1317</v>
          </cell>
          <cell r="B144" t="str">
            <v>Nada Adel Shawkat</v>
          </cell>
          <cell r="C144" t="str">
            <v>Mohamed Abdallah Ibrahim ElSharawy</v>
          </cell>
          <cell r="D144" t="str">
            <v>Mohamed Taha Mohamed</v>
          </cell>
          <cell r="E144" t="str">
            <v>Abd Elhameed Elshiekh</v>
          </cell>
          <cell r="F144" t="str">
            <v>Ortho Line</v>
          </cell>
          <cell r="G144" t="str">
            <v>Rep893</v>
          </cell>
          <cell r="H144" t="str">
            <v>MR</v>
          </cell>
          <cell r="I144" t="str">
            <v>Delta</v>
          </cell>
          <cell r="J144">
            <v>1206828331</v>
          </cell>
          <cell r="K144">
            <v>45279</v>
          </cell>
        </row>
        <row r="144">
          <cell r="M144">
            <v>1317</v>
          </cell>
          <cell r="N144" t="str">
            <v>El Bagour</v>
          </cell>
        </row>
        <row r="145">
          <cell r="A145">
            <v>773</v>
          </cell>
          <cell r="B145" t="str">
            <v>Salma Magdy Shaaban</v>
          </cell>
        </row>
        <row r="145">
          <cell r="D145" t="str">
            <v>Mohamed Taha Mohamed</v>
          </cell>
          <cell r="E145" t="str">
            <v>Abd Elhameed Elshiekh</v>
          </cell>
          <cell r="F145" t="str">
            <v>Ortho Line</v>
          </cell>
          <cell r="G145" t="str">
            <v>Rep163</v>
          </cell>
          <cell r="H145" t="str">
            <v>DM</v>
          </cell>
          <cell r="I145" t="str">
            <v>Delta</v>
          </cell>
          <cell r="J145">
            <v>1033823538</v>
          </cell>
          <cell r="K145">
            <v>44310</v>
          </cell>
          <cell r="L145" t="str">
            <v>Salma.Magdy.Shaaban@averroes-eg.com</v>
          </cell>
          <cell r="M145">
            <v>773</v>
          </cell>
          <cell r="N145" t="str">
            <v>El Zakazik City</v>
          </cell>
        </row>
        <row r="146">
          <cell r="A146">
            <v>1599</v>
          </cell>
          <cell r="B146" t="str">
            <v>Ahmed Ibrahem Saied</v>
          </cell>
          <cell r="C146" t="str">
            <v>Salma Magdy Shaaban</v>
          </cell>
          <cell r="D146" t="str">
            <v>Mohamed Taha Mohamed</v>
          </cell>
          <cell r="E146" t="str">
            <v>Abd Elhameed Elshiekh</v>
          </cell>
          <cell r="F146" t="str">
            <v>Ortho Line</v>
          </cell>
          <cell r="G146" t="str">
            <v>Rep1012</v>
          </cell>
          <cell r="H146" t="str">
            <v>MR</v>
          </cell>
          <cell r="I146" t="str">
            <v>Delta</v>
          </cell>
          <cell r="J146">
            <v>1068347745</v>
          </cell>
          <cell r="K146">
            <v>45752</v>
          </cell>
        </row>
        <row r="146">
          <cell r="M146">
            <v>1599</v>
          </cell>
          <cell r="N146" t="str">
            <v>Shebin elqanater</v>
          </cell>
        </row>
        <row r="147">
          <cell r="A147">
            <v>1346</v>
          </cell>
          <cell r="B147" t="str">
            <v>El Zahraa Mahmoud Ibrahim Mohamed</v>
          </cell>
          <cell r="C147" t="str">
            <v>Salma Magdy Shaaban</v>
          </cell>
          <cell r="D147" t="str">
            <v>Mohamed Taha Mohamed</v>
          </cell>
          <cell r="E147" t="str">
            <v>Abd Elhameed Elshiekh</v>
          </cell>
          <cell r="F147" t="str">
            <v>Ortho Line</v>
          </cell>
          <cell r="G147" t="str">
            <v>Rep975</v>
          </cell>
          <cell r="H147" t="str">
            <v>MR</v>
          </cell>
          <cell r="I147" t="str">
            <v>Delta</v>
          </cell>
          <cell r="J147">
            <v>1102869140</v>
          </cell>
          <cell r="K147">
            <v>45413</v>
          </cell>
        </row>
        <row r="147">
          <cell r="M147">
            <v>1346</v>
          </cell>
          <cell r="N147" t="str">
            <v>El Zakazik City</v>
          </cell>
        </row>
        <row r="148">
          <cell r="A148">
            <v>1078</v>
          </cell>
          <cell r="B148" t="str">
            <v>Esraa Mohamed Mohamed Abdallah</v>
          </cell>
          <cell r="C148" t="str">
            <v>Salma Magdy Shaaban</v>
          </cell>
          <cell r="D148" t="str">
            <v>Mohamed Taha Mohamed</v>
          </cell>
          <cell r="E148" t="str">
            <v>Abd Elhameed Elshiekh</v>
          </cell>
          <cell r="F148" t="str">
            <v>Ortho Line</v>
          </cell>
          <cell r="G148" t="str">
            <v>Rep557</v>
          </cell>
          <cell r="H148" t="str">
            <v>MR</v>
          </cell>
          <cell r="I148" t="str">
            <v>Delta</v>
          </cell>
          <cell r="J148" t="str">
            <v> 01032498890</v>
          </cell>
          <cell r="K148">
            <v>44927</v>
          </cell>
        </row>
        <row r="148">
          <cell r="M148">
            <v>1078</v>
          </cell>
          <cell r="N148" t="str">
            <v>Belbais</v>
          </cell>
        </row>
        <row r="149">
          <cell r="A149">
            <v>1083</v>
          </cell>
          <cell r="B149" t="str">
            <v>Lames Mahmoud Ahmed Dahmash</v>
          </cell>
          <cell r="C149" t="str">
            <v>Salma Magdy Shaaban</v>
          </cell>
          <cell r="D149" t="str">
            <v>Mohamed Taha Mohamed</v>
          </cell>
          <cell r="E149" t="str">
            <v>Abd Elhameed Elshiekh</v>
          </cell>
          <cell r="F149" t="str">
            <v>Ortho Line</v>
          </cell>
          <cell r="G149" t="str">
            <v>Rep559</v>
          </cell>
          <cell r="H149" t="str">
            <v>MR</v>
          </cell>
          <cell r="I149" t="str">
            <v>Delta</v>
          </cell>
          <cell r="J149" t="str">
            <v> 01019935605</v>
          </cell>
          <cell r="K149">
            <v>44927</v>
          </cell>
        </row>
        <row r="149">
          <cell r="M149">
            <v>1083</v>
          </cell>
          <cell r="N149" t="str">
            <v>El Ebrahemia</v>
          </cell>
        </row>
        <row r="150">
          <cell r="A150">
            <v>1759</v>
          </cell>
          <cell r="B150" t="str">
            <v>Mohamed Nader Mohamed</v>
          </cell>
          <cell r="C150" t="str">
            <v>Salma Magdy Shaaban</v>
          </cell>
          <cell r="D150" t="str">
            <v>Mohamed Taha Mohamed</v>
          </cell>
          <cell r="E150" t="str">
            <v>Abd Elhameed Elshiekh</v>
          </cell>
          <cell r="F150" t="str">
            <v>Ortho Line</v>
          </cell>
          <cell r="G150" t="str">
            <v>rep000017</v>
          </cell>
          <cell r="H150" t="str">
            <v>MR</v>
          </cell>
          <cell r="I150" t="str">
            <v>Delta</v>
          </cell>
          <cell r="J150">
            <v>1559985777</v>
          </cell>
          <cell r="K150">
            <v>45931</v>
          </cell>
        </row>
        <row r="150">
          <cell r="M150">
            <v>1759</v>
          </cell>
          <cell r="N150" t="str">
            <v>Dyarb Negm</v>
          </cell>
        </row>
        <row r="151">
          <cell r="A151">
            <v>229</v>
          </cell>
          <cell r="B151" t="str">
            <v>Nora Maher Abdelaty</v>
          </cell>
          <cell r="C151" t="str">
            <v>Salma Magdy Shaaban</v>
          </cell>
          <cell r="D151" t="str">
            <v>Mohamed Taha Mohamed</v>
          </cell>
          <cell r="E151" t="str">
            <v>Abd Elhameed Elshiekh</v>
          </cell>
          <cell r="F151" t="str">
            <v>Ortho Line</v>
          </cell>
          <cell r="G151" t="str">
            <v>Rep24</v>
          </cell>
          <cell r="H151" t="str">
            <v>MR</v>
          </cell>
          <cell r="I151" t="str">
            <v>Delta</v>
          </cell>
          <cell r="J151" t="str">
            <v> 1014444130</v>
          </cell>
          <cell r="K151">
            <v>43171</v>
          </cell>
        </row>
        <row r="151">
          <cell r="M151">
            <v>229</v>
          </cell>
          <cell r="N151" t="str">
            <v>Banha - Atreeb</v>
          </cell>
        </row>
        <row r="152">
          <cell r="A152">
            <v>223</v>
          </cell>
          <cell r="B152" t="str">
            <v>Osama AbdelHamid Hassan</v>
          </cell>
        </row>
        <row r="152">
          <cell r="E152" t="str">
            <v>Abd Elhameed Elshiekh</v>
          </cell>
          <cell r="F152" t="str">
            <v>Ortho Line</v>
          </cell>
          <cell r="G152" t="str">
            <v>ZM_30</v>
          </cell>
          <cell r="H152" t="str">
            <v>AM</v>
          </cell>
          <cell r="I152" t="str">
            <v>Upper Egypt</v>
          </cell>
          <cell r="J152" t="str">
            <v> 01092376231</v>
          </cell>
          <cell r="K152">
            <v>43170</v>
          </cell>
          <cell r="L152" t="str">
            <v>osama.abdelhamed@averroes-eg.com</v>
          </cell>
          <cell r="M152">
            <v>223</v>
          </cell>
          <cell r="N152" t="str">
            <v>Sohag city</v>
          </cell>
        </row>
        <row r="153">
          <cell r="A153">
            <v>1690</v>
          </cell>
          <cell r="B153" t="str">
            <v>Amr Ahmed Hafez Ahmed</v>
          </cell>
        </row>
        <row r="153">
          <cell r="D153" t="str">
            <v>Osama AbdelHamid Hassan</v>
          </cell>
          <cell r="E153" t="str">
            <v>Abd Elhameed Elshiekh</v>
          </cell>
          <cell r="F153" t="str">
            <v>Ortho Line</v>
          </cell>
          <cell r="G153" t="str">
            <v>Rep10079</v>
          </cell>
          <cell r="H153" t="str">
            <v>DM</v>
          </cell>
          <cell r="I153" t="str">
            <v>Upper Egypt</v>
          </cell>
          <cell r="J153">
            <v>1067675293</v>
          </cell>
          <cell r="K153">
            <v>45820</v>
          </cell>
          <cell r="L153" t="str">
            <v>Amr.Hafez@averroes-eg.com</v>
          </cell>
          <cell r="M153">
            <v>1690</v>
          </cell>
          <cell r="N153" t="str">
            <v>Malawy</v>
          </cell>
        </row>
        <row r="154">
          <cell r="A154">
            <v>1739</v>
          </cell>
          <cell r="B154" t="str">
            <v>Esraa Ayman Ahmed Abdelaal</v>
          </cell>
          <cell r="C154" t="str">
            <v>Amr Ahmed Hafez Ahmed</v>
          </cell>
          <cell r="D154" t="str">
            <v>Osama AbdelHamid Hassan</v>
          </cell>
          <cell r="E154" t="str">
            <v>Abd Elhameed Elshiekh</v>
          </cell>
          <cell r="F154" t="str">
            <v>Ortho Line</v>
          </cell>
          <cell r="G154" t="str">
            <v>Rep1000013</v>
          </cell>
          <cell r="H154" t="str">
            <v>MR</v>
          </cell>
          <cell r="I154" t="str">
            <v>Upper Egypt</v>
          </cell>
          <cell r="J154">
            <v>1062345010</v>
          </cell>
          <cell r="K154">
            <v>45900</v>
          </cell>
        </row>
        <row r="154">
          <cell r="M154">
            <v>1739</v>
          </cell>
          <cell r="N154" t="str">
            <v>Bani Mazar</v>
          </cell>
        </row>
        <row r="155">
          <cell r="A155">
            <v>1837</v>
          </cell>
          <cell r="B155" t="str">
            <v>Germin Eid Sedki Kamel</v>
          </cell>
          <cell r="C155" t="str">
            <v>Amr Ahmed Hafez Ahmed</v>
          </cell>
          <cell r="D155" t="str">
            <v>Osama AbdelHamid Hassan</v>
          </cell>
          <cell r="E155" t="str">
            <v>Abd Elhameed Elshiekh</v>
          </cell>
          <cell r="F155" t="str">
            <v>Ortho Line</v>
          </cell>
          <cell r="G155" t="str">
            <v>Rep1064</v>
          </cell>
          <cell r="H155" t="str">
            <v>MR</v>
          </cell>
          <cell r="I155" t="str">
            <v>Upper Egypt</v>
          </cell>
          <cell r="J155">
            <v>1221680259</v>
          </cell>
          <cell r="K155">
            <v>46021</v>
          </cell>
        </row>
        <row r="155">
          <cell r="M155">
            <v>1837</v>
          </cell>
          <cell r="N155" t="str">
            <v>Assuit City</v>
          </cell>
        </row>
        <row r="156">
          <cell r="A156">
            <v>1587</v>
          </cell>
          <cell r="B156" t="str">
            <v>Josfeen Emad Atef Morqous</v>
          </cell>
          <cell r="C156" t="str">
            <v>Amr Ahmed Hafez Ahmed</v>
          </cell>
          <cell r="D156" t="str">
            <v>Osama AbdelHamid Hassan</v>
          </cell>
          <cell r="E156" t="str">
            <v>Abd Elhameed Elshiekh</v>
          </cell>
          <cell r="F156" t="str">
            <v>Ortho Line</v>
          </cell>
          <cell r="G156" t="str">
            <v>AVR_139</v>
          </cell>
          <cell r="H156" t="str">
            <v>MR</v>
          </cell>
          <cell r="I156" t="str">
            <v>Upper Egypt</v>
          </cell>
          <cell r="J156">
            <v>1204846722</v>
          </cell>
          <cell r="K156">
            <v>45717</v>
          </cell>
        </row>
        <row r="156">
          <cell r="M156">
            <v>1587</v>
          </cell>
          <cell r="N156" t="str">
            <v>Abou Korkas</v>
          </cell>
        </row>
        <row r="157">
          <cell r="A157">
            <v>1366</v>
          </cell>
          <cell r="B157" t="str">
            <v>Kerolos Ashraf Fayek</v>
          </cell>
          <cell r="C157" t="str">
            <v>Amr Ahmed Hafez Ahmed</v>
          </cell>
          <cell r="D157" t="str">
            <v>Osama AbdelHamid Hassan</v>
          </cell>
          <cell r="E157" t="str">
            <v>Abd Elhameed Elshiekh</v>
          </cell>
          <cell r="F157" t="str">
            <v>Ortho Line</v>
          </cell>
          <cell r="G157" t="str">
            <v>Rep0026</v>
          </cell>
          <cell r="H157" t="str">
            <v>MR</v>
          </cell>
          <cell r="I157" t="str">
            <v>Upper Egypt</v>
          </cell>
          <cell r="J157">
            <v>1280552892</v>
          </cell>
          <cell r="K157">
            <v>45431</v>
          </cell>
        </row>
        <row r="157">
          <cell r="M157">
            <v>1366</v>
          </cell>
          <cell r="N157" t="str">
            <v>Manfalout</v>
          </cell>
        </row>
        <row r="158">
          <cell r="A158">
            <v>1719</v>
          </cell>
          <cell r="B158" t="str">
            <v>Nourhan Samir Hasanin</v>
          </cell>
          <cell r="C158" t="str">
            <v>Amr Ahmed Hafez Ahmed</v>
          </cell>
          <cell r="D158" t="str">
            <v>Osama AbdelHamid Hassan</v>
          </cell>
          <cell r="E158" t="str">
            <v>Abd Elhameed Elshiekh</v>
          </cell>
          <cell r="F158" t="str">
            <v>Ortho Line</v>
          </cell>
          <cell r="G158" t="str">
            <v>Rep1000107</v>
          </cell>
          <cell r="H158" t="str">
            <v>MR</v>
          </cell>
          <cell r="I158" t="str">
            <v>Upper Egypt</v>
          </cell>
          <cell r="J158">
            <v>1055622502</v>
          </cell>
          <cell r="K158">
            <v>45857</v>
          </cell>
        </row>
        <row r="158">
          <cell r="M158">
            <v>1719</v>
          </cell>
          <cell r="N158" t="str">
            <v>BaniSuif</v>
          </cell>
        </row>
        <row r="159">
          <cell r="A159">
            <v>1691</v>
          </cell>
          <cell r="B159" t="str">
            <v>Semon Magdy Nageib</v>
          </cell>
          <cell r="C159" t="str">
            <v>Amr Ahmed Hafez Ahmed</v>
          </cell>
          <cell r="D159" t="str">
            <v>Osama AbdelHamid Hassan</v>
          </cell>
          <cell r="E159" t="str">
            <v>Abd Elhameed Elshiekh</v>
          </cell>
          <cell r="F159" t="str">
            <v>Ortho Line</v>
          </cell>
          <cell r="G159" t="str">
            <v>Rep10080</v>
          </cell>
          <cell r="H159" t="str">
            <v>MR</v>
          </cell>
          <cell r="I159" t="str">
            <v>Upper Egypt</v>
          </cell>
          <cell r="J159">
            <v>1203043035</v>
          </cell>
          <cell r="K159">
            <v>45820</v>
          </cell>
        </row>
        <row r="159">
          <cell r="M159">
            <v>1691</v>
          </cell>
          <cell r="N159" t="str">
            <v>Sedfa</v>
          </cell>
        </row>
        <row r="160">
          <cell r="A160">
            <v>1098</v>
          </cell>
          <cell r="B160" t="str">
            <v>Abanoub Bashawat Morice Gied</v>
          </cell>
          <cell r="C160" t="str">
            <v>L9_Vacant DM Upper 2</v>
          </cell>
          <cell r="D160" t="str">
            <v>Osama AbdelHamid Hassan</v>
          </cell>
          <cell r="E160" t="str">
            <v>Abd Elhameed Elshiekh</v>
          </cell>
          <cell r="F160" t="str">
            <v>Ortho Line</v>
          </cell>
          <cell r="G160" t="str">
            <v>Rep535</v>
          </cell>
          <cell r="H160" t="str">
            <v>MR</v>
          </cell>
          <cell r="I160" t="str">
            <v>Upper Egypt</v>
          </cell>
          <cell r="J160" t="str">
            <v> 01015052727</v>
          </cell>
          <cell r="K160">
            <v>44927</v>
          </cell>
        </row>
        <row r="160">
          <cell r="M160">
            <v>1098</v>
          </cell>
          <cell r="N160" t="str">
            <v>Gerga</v>
          </cell>
        </row>
        <row r="161">
          <cell r="A161">
            <v>1340</v>
          </cell>
          <cell r="B161" t="str">
            <v>Kerolos Nasser El-Kattan Adl</v>
          </cell>
          <cell r="C161" t="str">
            <v>L9_Vacant DM Upper 2</v>
          </cell>
          <cell r="D161" t="str">
            <v>Osama AbdelHamid Hassan</v>
          </cell>
          <cell r="E161" t="str">
            <v>Abd Elhameed Elshiekh</v>
          </cell>
          <cell r="F161" t="str">
            <v>Ortho Line</v>
          </cell>
          <cell r="G161" t="str">
            <v>Rep976</v>
          </cell>
          <cell r="H161" t="str">
            <v>MR</v>
          </cell>
          <cell r="I161" t="str">
            <v>Upper Egypt</v>
          </cell>
          <cell r="J161">
            <v>1229718344</v>
          </cell>
          <cell r="K161">
            <v>45403</v>
          </cell>
        </row>
        <row r="161">
          <cell r="M161">
            <v>1340</v>
          </cell>
          <cell r="N161" t="str">
            <v>Sohag City</v>
          </cell>
        </row>
        <row r="162">
          <cell r="A162">
            <v>1325</v>
          </cell>
          <cell r="B162" t="str">
            <v>Mahmoud Abdelnaseer Ahmed</v>
          </cell>
          <cell r="C162" t="str">
            <v>L9_Vacant DM Upper 2</v>
          </cell>
          <cell r="D162" t="str">
            <v>Osama AbdelHamid Hassan</v>
          </cell>
          <cell r="E162" t="str">
            <v>Abd Elhameed Elshiekh</v>
          </cell>
          <cell r="F162" t="str">
            <v>Ortho Line</v>
          </cell>
          <cell r="G162" t="str">
            <v>Rep897</v>
          </cell>
          <cell r="H162" t="str">
            <v>MR</v>
          </cell>
          <cell r="I162" t="str">
            <v>Upper Egypt</v>
          </cell>
          <cell r="J162">
            <v>1000583597</v>
          </cell>
          <cell r="K162">
            <v>45304</v>
          </cell>
        </row>
        <row r="162">
          <cell r="M162">
            <v>1325</v>
          </cell>
          <cell r="N162" t="str">
            <v>Nagaa Hamady</v>
          </cell>
        </row>
        <row r="163">
          <cell r="A163">
            <v>1548</v>
          </cell>
          <cell r="B163" t="str">
            <v>Mahmoud Mohamed Abbas</v>
          </cell>
          <cell r="C163" t="str">
            <v>L9_Vacant DM Upper 2</v>
          </cell>
          <cell r="D163" t="str">
            <v>Osama AbdelHamid Hassan</v>
          </cell>
          <cell r="E163" t="str">
            <v>Abd Elhameed Elshiekh</v>
          </cell>
          <cell r="F163" t="str">
            <v>Ortho Line</v>
          </cell>
          <cell r="G163" t="str">
            <v>Rep10062</v>
          </cell>
          <cell r="H163" t="str">
            <v>MR</v>
          </cell>
          <cell r="I163" t="str">
            <v>Upper Egypt</v>
          </cell>
          <cell r="J163">
            <v>1096655515</v>
          </cell>
          <cell r="K163">
            <v>45703</v>
          </cell>
        </row>
        <row r="163">
          <cell r="M163">
            <v>1548</v>
          </cell>
          <cell r="N163" t="str">
            <v>Hurgada</v>
          </cell>
        </row>
        <row r="164">
          <cell r="A164">
            <v>1100</v>
          </cell>
          <cell r="B164" t="str">
            <v>Merna Atef Zaky Romany</v>
          </cell>
          <cell r="C164" t="str">
            <v>L9_Vacant DM Upper 2</v>
          </cell>
          <cell r="D164" t="str">
            <v>Osama AbdelHamid Hassan</v>
          </cell>
          <cell r="E164" t="str">
            <v>Abd Elhameed Elshiekh</v>
          </cell>
          <cell r="F164" t="str">
            <v>Ortho Line</v>
          </cell>
          <cell r="G164" t="str">
            <v>Rep537</v>
          </cell>
          <cell r="H164" t="str">
            <v>MR</v>
          </cell>
          <cell r="I164" t="str">
            <v>Upper Egypt</v>
          </cell>
          <cell r="J164" t="str">
            <v> 01288819031</v>
          </cell>
          <cell r="K164">
            <v>44927</v>
          </cell>
        </row>
        <row r="164">
          <cell r="M164">
            <v>1100</v>
          </cell>
          <cell r="N164" t="str">
            <v>Aswan City</v>
          </cell>
        </row>
        <row r="165">
          <cell r="A165">
            <v>1106</v>
          </cell>
          <cell r="B165" t="str">
            <v>Michael Ibrahim Samy Kedis</v>
          </cell>
          <cell r="C165" t="str">
            <v>L9_Vacant DM Upper 2</v>
          </cell>
          <cell r="D165" t="str">
            <v>Osama AbdelHamid Hassan</v>
          </cell>
          <cell r="E165" t="str">
            <v>Abd Elhameed Elshiekh</v>
          </cell>
          <cell r="F165" t="str">
            <v>Ortho Line</v>
          </cell>
          <cell r="G165" t="str">
            <v>Rep536</v>
          </cell>
          <cell r="H165" t="str">
            <v>MR</v>
          </cell>
          <cell r="I165" t="str">
            <v>Upper Egypt</v>
          </cell>
          <cell r="J165" t="str">
            <v> 01287794953</v>
          </cell>
          <cell r="K165">
            <v>44935</v>
          </cell>
        </row>
        <row r="165">
          <cell r="M165">
            <v>1106</v>
          </cell>
          <cell r="N165" t="str">
            <v>Armant</v>
          </cell>
        </row>
        <row r="166">
          <cell r="A166">
            <v>598</v>
          </cell>
          <cell r="B166" t="str">
            <v>Saleh Ahmed Saleh</v>
          </cell>
        </row>
        <row r="166">
          <cell r="E166" t="str">
            <v>Ibrahim Ammar</v>
          </cell>
          <cell r="F166" t="str">
            <v>General Line</v>
          </cell>
          <cell r="G166" t="str">
            <v>AVR_99</v>
          </cell>
          <cell r="H166" t="str">
            <v>AM</v>
          </cell>
          <cell r="I166" t="str">
            <v>Cairo</v>
          </cell>
          <cell r="J166">
            <v>1064782445</v>
          </cell>
          <cell r="K166">
            <v>43864</v>
          </cell>
          <cell r="L166" t="str">
            <v>saleh.ahmed@averroes-eg.com</v>
          </cell>
          <cell r="M166">
            <v>598</v>
          </cell>
          <cell r="N166" t="str">
            <v>EL KHANKA</v>
          </cell>
        </row>
        <row r="167">
          <cell r="A167">
            <v>1727</v>
          </cell>
          <cell r="B167" t="str">
            <v>Ahmed Mohamed Elfarghaly</v>
          </cell>
          <cell r="C167" t="str">
            <v>L2_Vacant_Cairo B</v>
          </cell>
          <cell r="D167" t="str">
            <v>Saleh Ahmed Saleh</v>
          </cell>
          <cell r="E167" t="str">
            <v>Ibrahim Ammar</v>
          </cell>
          <cell r="F167" t="str">
            <v>General Line</v>
          </cell>
          <cell r="G167" t="str">
            <v>Rep1094</v>
          </cell>
          <cell r="H167" t="str">
            <v>MR</v>
          </cell>
          <cell r="I167" t="str">
            <v>Cairo</v>
          </cell>
          <cell r="J167">
            <v>1146343694</v>
          </cell>
          <cell r="K167">
            <v>45866</v>
          </cell>
        </row>
        <row r="167">
          <cell r="M167">
            <v>1727</v>
          </cell>
          <cell r="N167" t="str">
            <v>Helwan</v>
          </cell>
        </row>
        <row r="168">
          <cell r="A168">
            <v>1357</v>
          </cell>
          <cell r="B168" t="str">
            <v>Ahmed Mohamed Hashem</v>
          </cell>
          <cell r="C168" t="str">
            <v>L2_Vacant_Cairo B</v>
          </cell>
          <cell r="D168" t="str">
            <v>Saleh Ahmed Saleh</v>
          </cell>
          <cell r="E168" t="str">
            <v>Ibrahim Ammar</v>
          </cell>
          <cell r="F168" t="str">
            <v>General Line</v>
          </cell>
          <cell r="G168" t="str">
            <v>Rep989</v>
          </cell>
          <cell r="H168" t="str">
            <v>MR</v>
          </cell>
          <cell r="I168" t="str">
            <v>Cairo</v>
          </cell>
          <cell r="J168">
            <v>1156326788</v>
          </cell>
          <cell r="K168">
            <v>45423</v>
          </cell>
        </row>
        <row r="168">
          <cell r="M168">
            <v>1357</v>
          </cell>
          <cell r="N168" t="str">
            <v>Shobra El Khiema</v>
          </cell>
        </row>
        <row r="169">
          <cell r="A169">
            <v>1516</v>
          </cell>
          <cell r="B169" t="str">
            <v>Cathrena Adel Malky</v>
          </cell>
          <cell r="C169" t="str">
            <v>L2_Vacant_Cairo B</v>
          </cell>
          <cell r="D169" t="str">
            <v>Saleh Ahmed Saleh</v>
          </cell>
          <cell r="E169" t="str">
            <v>Ibrahim Ammar</v>
          </cell>
          <cell r="F169" t="str">
            <v>General Line</v>
          </cell>
          <cell r="G169" t="str">
            <v>AVR_17</v>
          </cell>
          <cell r="H169" t="str">
            <v>MR</v>
          </cell>
          <cell r="I169" t="str">
            <v>Cairo</v>
          </cell>
          <cell r="J169">
            <v>1278728885</v>
          </cell>
          <cell r="K169">
            <v>45689</v>
          </cell>
        </row>
        <row r="169">
          <cell r="M169">
            <v>1516</v>
          </cell>
          <cell r="N169" t="str">
            <v>Suez</v>
          </cell>
        </row>
        <row r="170">
          <cell r="A170">
            <v>1752</v>
          </cell>
          <cell r="B170" t="str">
            <v>Ganna Hamdy Mohammed</v>
          </cell>
          <cell r="C170" t="str">
            <v>L2_Vacant_Cairo B</v>
          </cell>
          <cell r="D170" t="str">
            <v>Saleh Ahmed Saleh</v>
          </cell>
          <cell r="E170" t="str">
            <v>Ibrahim Ammar</v>
          </cell>
          <cell r="F170" t="str">
            <v>General Line</v>
          </cell>
          <cell r="G170" t="str">
            <v>Rep100007</v>
          </cell>
          <cell r="H170" t="str">
            <v>MR</v>
          </cell>
          <cell r="I170" t="str">
            <v>Cairo</v>
          </cell>
          <cell r="J170">
            <v>1140083383</v>
          </cell>
          <cell r="K170">
            <v>45920</v>
          </cell>
        </row>
        <row r="170">
          <cell r="M170">
            <v>1752</v>
          </cell>
          <cell r="N170" t="str">
            <v>Rod Elfarag</v>
          </cell>
        </row>
        <row r="171">
          <cell r="A171">
            <v>1843</v>
          </cell>
          <cell r="B171" t="str">
            <v>Milad Carter Attia</v>
          </cell>
          <cell r="C171" t="str">
            <v>L2_Vacant_Cairo B</v>
          </cell>
          <cell r="D171" t="str">
            <v>Saleh Ahmed Saleh</v>
          </cell>
          <cell r="E171" t="str">
            <v>Ibrahim Ammar</v>
          </cell>
          <cell r="F171" t="str">
            <v>General Line</v>
          </cell>
          <cell r="G171" t="str">
            <v>Rep1048</v>
          </cell>
          <cell r="H171" t="str">
            <v>MR</v>
          </cell>
          <cell r="I171" t="str">
            <v>Cairo</v>
          </cell>
          <cell r="J171">
            <v>1222642062</v>
          </cell>
          <cell r="K171">
            <v>46046</v>
          </cell>
        </row>
        <row r="171">
          <cell r="M171">
            <v>1843</v>
          </cell>
          <cell r="N171" t="str">
            <v>Masr ElQadiama</v>
          </cell>
        </row>
        <row r="172">
          <cell r="A172">
            <v>1616</v>
          </cell>
          <cell r="B172" t="str">
            <v>Merna Nasr Massoud</v>
          </cell>
          <cell r="C172" t="str">
            <v>L2_Vacant_Cairo B</v>
          </cell>
          <cell r="D172" t="str">
            <v>Saleh Ahmed Saleh</v>
          </cell>
          <cell r="E172" t="str">
            <v>Ibrahim Ammar</v>
          </cell>
          <cell r="F172" t="str">
            <v>General Line</v>
          </cell>
          <cell r="G172" t="str">
            <v>Rep100121</v>
          </cell>
          <cell r="H172" t="str">
            <v>MR</v>
          </cell>
          <cell r="I172" t="str">
            <v>Cairo</v>
          </cell>
          <cell r="J172">
            <v>1204293521</v>
          </cell>
          <cell r="K172">
            <v>45769</v>
          </cell>
        </row>
        <row r="172">
          <cell r="M172">
            <v>1616</v>
          </cell>
          <cell r="N172" t="str">
            <v>El Maadi El Gedeeda</v>
          </cell>
        </row>
        <row r="173">
          <cell r="A173">
            <v>1018</v>
          </cell>
          <cell r="B173" t="str">
            <v>Marina Mourad Roshdy</v>
          </cell>
        </row>
        <row r="173">
          <cell r="D173" t="str">
            <v>Saleh Ahmed Saleh</v>
          </cell>
          <cell r="E173" t="str">
            <v>Ibrahim Ammar</v>
          </cell>
          <cell r="F173" t="str">
            <v>General Line</v>
          </cell>
          <cell r="G173" t="str">
            <v>Rep516</v>
          </cell>
          <cell r="H173" t="str">
            <v>DM</v>
          </cell>
          <cell r="I173" t="str">
            <v>Cairo</v>
          </cell>
          <cell r="J173">
            <v>1202232402</v>
          </cell>
          <cell r="K173">
            <v>44870</v>
          </cell>
          <cell r="L173" t="str">
            <v>Marina.Mourad.Roshdy@averroes-eg.com</v>
          </cell>
          <cell r="M173">
            <v>1018</v>
          </cell>
          <cell r="N173" t="str">
            <v>El Marg</v>
          </cell>
        </row>
        <row r="174">
          <cell r="A174">
            <v>1634</v>
          </cell>
          <cell r="B174" t="str">
            <v>Hekmat AbdelHakeem ElSayed</v>
          </cell>
          <cell r="C174" t="str">
            <v>Marina Mourad Roshdy</v>
          </cell>
          <cell r="D174" t="str">
            <v>Saleh Ahmed Saleh</v>
          </cell>
          <cell r="E174" t="str">
            <v>Ibrahim Ammar</v>
          </cell>
          <cell r="F174" t="str">
            <v>General Line</v>
          </cell>
          <cell r="G174" t="str">
            <v>Rep100112</v>
          </cell>
          <cell r="H174" t="str">
            <v>MR</v>
          </cell>
          <cell r="I174" t="str">
            <v>Cairo</v>
          </cell>
          <cell r="J174">
            <v>1030506280</v>
          </cell>
          <cell r="K174">
            <v>45792</v>
          </cell>
        </row>
        <row r="174">
          <cell r="M174">
            <v>1634</v>
          </cell>
          <cell r="N174" t="str">
            <v>NASR CITY I</v>
          </cell>
        </row>
        <row r="175">
          <cell r="A175">
            <v>1856</v>
          </cell>
          <cell r="B175" t="str">
            <v>Sohaip Abdelsabour Abdelgawad</v>
          </cell>
          <cell r="C175" t="str">
            <v>Marina Mourad Roshdy</v>
          </cell>
          <cell r="D175" t="str">
            <v>Saleh Ahmed Saleh</v>
          </cell>
          <cell r="E175" t="str">
            <v>Ibrahim Ammar</v>
          </cell>
          <cell r="F175" t="str">
            <v>General Line</v>
          </cell>
          <cell r="G175" t="str">
            <v>Rep1050</v>
          </cell>
          <cell r="H175" t="str">
            <v>MR</v>
          </cell>
          <cell r="I175" t="str">
            <v>Cairo</v>
          </cell>
          <cell r="J175">
            <v>1092351598</v>
          </cell>
          <cell r="K175">
            <v>46055</v>
          </cell>
        </row>
        <row r="175">
          <cell r="M175">
            <v>1856</v>
          </cell>
          <cell r="N175" t="str">
            <v>Ain Shams</v>
          </cell>
        </row>
        <row r="176">
          <cell r="A176">
            <v>1794</v>
          </cell>
          <cell r="B176" t="str">
            <v>Mariam Waleed Salem</v>
          </cell>
          <cell r="C176" t="str">
            <v>Marina Mourad Roshdy</v>
          </cell>
          <cell r="D176" t="str">
            <v>Saleh Ahmed Saleh</v>
          </cell>
          <cell r="E176" t="str">
            <v>Ibrahim Ammar</v>
          </cell>
          <cell r="F176" t="str">
            <v>General Line</v>
          </cell>
          <cell r="G176" t="str">
            <v>Rep_00095</v>
          </cell>
          <cell r="H176" t="str">
            <v>MR</v>
          </cell>
          <cell r="I176" t="str">
            <v>Cairo</v>
          </cell>
          <cell r="J176">
            <v>1140938457</v>
          </cell>
          <cell r="K176">
            <v>45962</v>
          </cell>
        </row>
        <row r="176">
          <cell r="M176">
            <v>1794</v>
          </cell>
          <cell r="N176" t="str">
            <v>EL KHANKA</v>
          </cell>
        </row>
        <row r="177">
          <cell r="A177">
            <v>1732</v>
          </cell>
          <cell r="B177" t="str">
            <v>Mohamed Hossam Hussein</v>
          </cell>
          <cell r="C177" t="str">
            <v>Marina Mourad Roshdy</v>
          </cell>
          <cell r="D177" t="str">
            <v>Saleh Ahmed Saleh</v>
          </cell>
          <cell r="E177" t="str">
            <v>Ibrahim Ammar</v>
          </cell>
          <cell r="F177" t="str">
            <v>General Line</v>
          </cell>
          <cell r="G177" t="str">
            <v>Rep10105</v>
          </cell>
          <cell r="H177" t="str">
            <v>MR</v>
          </cell>
          <cell r="I177" t="str">
            <v>Cairo</v>
          </cell>
          <cell r="J177">
            <v>1559462246</v>
          </cell>
          <cell r="K177">
            <v>45885</v>
          </cell>
        </row>
        <row r="177">
          <cell r="M177">
            <v>1732</v>
          </cell>
          <cell r="N177" t="str">
            <v>El Sharabeya</v>
          </cell>
        </row>
        <row r="178">
          <cell r="A178">
            <v>1466</v>
          </cell>
          <cell r="B178" t="str">
            <v>Toka Mahmoud Mohamed</v>
          </cell>
          <cell r="C178" t="str">
            <v>Marina Mourad Roshdy</v>
          </cell>
          <cell r="D178" t="str">
            <v>Saleh Ahmed Saleh</v>
          </cell>
          <cell r="E178" t="str">
            <v>Ibrahim Ammar</v>
          </cell>
          <cell r="F178" t="str">
            <v>General Line</v>
          </cell>
          <cell r="G178" t="str">
            <v>Rep0071</v>
          </cell>
          <cell r="H178" t="str">
            <v>MR</v>
          </cell>
          <cell r="I178" t="str">
            <v>Cairo</v>
          </cell>
          <cell r="J178">
            <v>1205748726</v>
          </cell>
          <cell r="K178">
            <v>45627</v>
          </cell>
        </row>
        <row r="178">
          <cell r="M178">
            <v>1466</v>
          </cell>
          <cell r="N178" t="str">
            <v>Ismaelia City</v>
          </cell>
        </row>
        <row r="179">
          <cell r="A179">
            <v>1246</v>
          </cell>
          <cell r="B179" t="str">
            <v>Walaa Samy Mohamed</v>
          </cell>
        </row>
        <row r="179">
          <cell r="D179" t="str">
            <v>Saleh Ahmed Saleh</v>
          </cell>
          <cell r="E179" t="str">
            <v>Ibrahim Ammar</v>
          </cell>
          <cell r="F179" t="str">
            <v>General Line</v>
          </cell>
          <cell r="G179" t="str">
            <v>Rep810</v>
          </cell>
          <cell r="H179" t="str">
            <v>DM</v>
          </cell>
          <cell r="I179" t="str">
            <v>Cairo</v>
          </cell>
          <cell r="J179">
            <v>1154772559</v>
          </cell>
          <cell r="K179">
            <v>45143</v>
          </cell>
        </row>
        <row r="179">
          <cell r="M179">
            <v>1246</v>
          </cell>
          <cell r="N179" t="str">
            <v>Faisal</v>
          </cell>
        </row>
        <row r="180">
          <cell r="A180">
            <v>1767</v>
          </cell>
          <cell r="B180" t="str">
            <v>Mariam Mikhail shafeek</v>
          </cell>
          <cell r="C180" t="str">
            <v>Walaa Samy Mohamed</v>
          </cell>
          <cell r="D180" t="str">
            <v>Saleh Ahmed Saleh</v>
          </cell>
          <cell r="E180" t="str">
            <v>Ibrahim Ammar</v>
          </cell>
          <cell r="F180" t="str">
            <v>General Line</v>
          </cell>
          <cell r="G180" t="str">
            <v>rep000029</v>
          </cell>
          <cell r="H180" t="str">
            <v>MR</v>
          </cell>
          <cell r="I180" t="str">
            <v>Cairo</v>
          </cell>
          <cell r="J180">
            <v>1126216801</v>
          </cell>
          <cell r="K180">
            <v>45934</v>
          </cell>
        </row>
        <row r="180">
          <cell r="M180">
            <v>1767</v>
          </cell>
          <cell r="N180" t="str">
            <v>Haram</v>
          </cell>
        </row>
        <row r="181">
          <cell r="A181">
            <v>1766</v>
          </cell>
          <cell r="B181" t="str">
            <v>Radwa Waleed Hamdy</v>
          </cell>
          <cell r="C181" t="str">
            <v>Walaa Samy Mohamed</v>
          </cell>
          <cell r="D181" t="str">
            <v>Saleh Ahmed Saleh</v>
          </cell>
          <cell r="E181" t="str">
            <v>Ibrahim Ammar</v>
          </cell>
          <cell r="F181" t="str">
            <v>General Line</v>
          </cell>
          <cell r="G181" t="str">
            <v>rep000028</v>
          </cell>
          <cell r="H181" t="str">
            <v>MR</v>
          </cell>
          <cell r="I181" t="str">
            <v>Cairo</v>
          </cell>
          <cell r="J181">
            <v>1095596027</v>
          </cell>
          <cell r="K181">
            <v>45934</v>
          </cell>
        </row>
        <row r="181">
          <cell r="M181">
            <v>1766</v>
          </cell>
          <cell r="N181" t="str">
            <v>el mohandesein</v>
          </cell>
        </row>
        <row r="182">
          <cell r="A182">
            <v>1704</v>
          </cell>
          <cell r="B182" t="str">
            <v>Zeinab Mohamed ElSayed</v>
          </cell>
          <cell r="C182" t="str">
            <v>Walaa Samy Mohamed</v>
          </cell>
          <cell r="D182" t="str">
            <v>Saleh Ahmed Saleh</v>
          </cell>
          <cell r="E182" t="str">
            <v>Ibrahim Ammar</v>
          </cell>
          <cell r="F182" t="str">
            <v>General Line</v>
          </cell>
          <cell r="G182" t="str">
            <v>Rep1024</v>
          </cell>
          <cell r="H182" t="str">
            <v>MR</v>
          </cell>
          <cell r="I182" t="str">
            <v>Cairo</v>
          </cell>
          <cell r="J182">
            <v>1143176042</v>
          </cell>
          <cell r="K182">
            <v>45843</v>
          </cell>
        </row>
        <row r="182">
          <cell r="M182">
            <v>1704</v>
          </cell>
          <cell r="N182" t="str">
            <v>El Badrashien</v>
          </cell>
        </row>
        <row r="183">
          <cell r="A183">
            <v>318</v>
          </cell>
          <cell r="B183" t="str">
            <v>Mousab Mahmoud Abdelkhalek</v>
          </cell>
        </row>
        <row r="183">
          <cell r="E183" t="str">
            <v>Ibrahim Ammar</v>
          </cell>
          <cell r="F183" t="str">
            <v>GI Line</v>
          </cell>
          <cell r="G183" t="str">
            <v>AVR_98</v>
          </cell>
          <cell r="H183" t="str">
            <v>AM</v>
          </cell>
          <cell r="I183" t="str">
            <v>Cairo</v>
          </cell>
          <cell r="J183" t="str">
            <v> 01151376379</v>
          </cell>
          <cell r="K183">
            <v>43288</v>
          </cell>
          <cell r="L183" t="str">
            <v>mosaab.mahmoud@averroes-eg.com</v>
          </cell>
          <cell r="M183">
            <v>318</v>
          </cell>
          <cell r="N183" t="str">
            <v>Hadayek El Maadi</v>
          </cell>
        </row>
        <row r="184">
          <cell r="A184">
            <v>1009</v>
          </cell>
          <cell r="B184" t="str">
            <v>Eman Samir Mohamed</v>
          </cell>
        </row>
        <row r="184">
          <cell r="D184" t="str">
            <v>Mousab Mahmoud Abdelkhalek</v>
          </cell>
          <cell r="E184" t="str">
            <v>Ibrahim Ammar</v>
          </cell>
          <cell r="F184" t="str">
            <v>GI Line</v>
          </cell>
          <cell r="G184" t="str">
            <v>Rep435</v>
          </cell>
          <cell r="H184" t="str">
            <v>DM</v>
          </cell>
          <cell r="I184" t="str">
            <v>Cairo</v>
          </cell>
          <cell r="J184">
            <v>1141868792</v>
          </cell>
          <cell r="K184">
            <v>44835</v>
          </cell>
          <cell r="L184" t="str">
            <v>Eman.Samir.Mohamed@averroes-eg.com</v>
          </cell>
          <cell r="M184">
            <v>1009</v>
          </cell>
          <cell r="N184" t="str">
            <v>Helwan</v>
          </cell>
        </row>
        <row r="185">
          <cell r="A185">
            <v>1784</v>
          </cell>
          <cell r="B185" t="str">
            <v>Bassem Bekhiet Saied</v>
          </cell>
          <cell r="C185" t="str">
            <v>Eman Samir Mohamed</v>
          </cell>
          <cell r="D185" t="str">
            <v>Mousab Mahmoud Abdelkhalek</v>
          </cell>
          <cell r="E185" t="str">
            <v>Ibrahim Ammar</v>
          </cell>
          <cell r="F185" t="str">
            <v>GI Line</v>
          </cell>
          <cell r="G185" t="str">
            <v>Rep_00088</v>
          </cell>
          <cell r="H185" t="str">
            <v>MR</v>
          </cell>
          <cell r="I185" t="str">
            <v>Cairo</v>
          </cell>
          <cell r="J185">
            <v>1227605698</v>
          </cell>
          <cell r="K185">
            <v>45964</v>
          </cell>
        </row>
        <row r="185">
          <cell r="M185">
            <v>1784</v>
          </cell>
          <cell r="N185" t="str">
            <v>Masr El Qadima</v>
          </cell>
        </row>
        <row r="186">
          <cell r="A186">
            <v>1497</v>
          </cell>
          <cell r="B186" t="str">
            <v>Dina Mohamed Ramadan</v>
          </cell>
          <cell r="C186" t="str">
            <v>Eman Samir Mohamed</v>
          </cell>
          <cell r="D186" t="str">
            <v>Mousab Mahmoud Abdelkhalek</v>
          </cell>
          <cell r="E186" t="str">
            <v>Ibrahim Ammar</v>
          </cell>
          <cell r="F186" t="str">
            <v>GI Line</v>
          </cell>
          <cell r="G186" t="str">
            <v>Rep100097</v>
          </cell>
          <cell r="H186" t="str">
            <v>MR</v>
          </cell>
          <cell r="I186" t="str">
            <v>Cairo</v>
          </cell>
          <cell r="J186">
            <v>1009121775</v>
          </cell>
          <cell r="K186">
            <v>45675</v>
          </cell>
        </row>
        <row r="186">
          <cell r="M186">
            <v>1497</v>
          </cell>
          <cell r="N186" t="str">
            <v>El Badrashien</v>
          </cell>
        </row>
        <row r="187">
          <cell r="A187">
            <v>1415</v>
          </cell>
          <cell r="B187" t="str">
            <v>Eman Ahmed Taha Emara</v>
          </cell>
          <cell r="C187" t="str">
            <v>Eman Samir Mohamed</v>
          </cell>
          <cell r="D187" t="str">
            <v>Mousab Mahmoud Abdelkhalek</v>
          </cell>
          <cell r="E187" t="str">
            <v>Ibrahim Ammar</v>
          </cell>
          <cell r="F187" t="str">
            <v>GI Line</v>
          </cell>
          <cell r="G187" t="str">
            <v>Rep100017</v>
          </cell>
          <cell r="H187" t="str">
            <v>MR</v>
          </cell>
          <cell r="I187" t="str">
            <v>Cairo</v>
          </cell>
          <cell r="J187">
            <v>1122435600</v>
          </cell>
          <cell r="K187">
            <v>45505</v>
          </cell>
        </row>
        <row r="187">
          <cell r="M187">
            <v>1415</v>
          </cell>
          <cell r="N187" t="str">
            <v>El Sahel</v>
          </cell>
        </row>
        <row r="188">
          <cell r="A188">
            <v>1578</v>
          </cell>
          <cell r="B188" t="str">
            <v>Mariam Hatem Mohamed</v>
          </cell>
          <cell r="C188" t="str">
            <v>Eman Samir Mohamed</v>
          </cell>
          <cell r="D188" t="str">
            <v>Mousab Mahmoud Abdelkhalek</v>
          </cell>
          <cell r="E188" t="str">
            <v>Ibrahim Ammar</v>
          </cell>
          <cell r="F188" t="str">
            <v>GI Line</v>
          </cell>
          <cell r="G188" t="str">
            <v>Rep10057</v>
          </cell>
          <cell r="H188" t="str">
            <v>MR</v>
          </cell>
          <cell r="I188" t="str">
            <v>Cairo</v>
          </cell>
          <cell r="J188">
            <v>1148712223</v>
          </cell>
          <cell r="K188">
            <v>45724</v>
          </cell>
        </row>
        <row r="188">
          <cell r="M188">
            <v>1578</v>
          </cell>
          <cell r="N188" t="str">
            <v>El Tebeen + El Marazeek (El Tebeen)</v>
          </cell>
        </row>
        <row r="189">
          <cell r="A189">
            <v>1564</v>
          </cell>
          <cell r="B189" t="str">
            <v>Mohamed Ayman Metwally</v>
          </cell>
          <cell r="C189" t="str">
            <v>Eman Samir Mohamed</v>
          </cell>
          <cell r="D189" t="str">
            <v>Mousab Mahmoud Abdelkhalek</v>
          </cell>
          <cell r="E189" t="str">
            <v>Ibrahim Ammar</v>
          </cell>
          <cell r="F189" t="str">
            <v>GI Line</v>
          </cell>
          <cell r="G189" t="str">
            <v>AVR_87</v>
          </cell>
          <cell r="H189" t="str">
            <v>MR</v>
          </cell>
          <cell r="I189" t="str">
            <v>Cairo</v>
          </cell>
          <cell r="J189">
            <v>1067611287</v>
          </cell>
          <cell r="K189">
            <v>45717</v>
          </cell>
        </row>
        <row r="189">
          <cell r="M189">
            <v>1564</v>
          </cell>
          <cell r="N189" t="str">
            <v>NASR CITY I</v>
          </cell>
        </row>
        <row r="190">
          <cell r="A190">
            <v>1726</v>
          </cell>
          <cell r="B190" t="str">
            <v>Soaad Mohamed Mahmoud</v>
          </cell>
          <cell r="C190" t="str">
            <v>Eman Samir Mohamed</v>
          </cell>
          <cell r="D190" t="str">
            <v>Mousab Mahmoud Abdelkhalek</v>
          </cell>
          <cell r="E190" t="str">
            <v>Ibrahim Ammar</v>
          </cell>
          <cell r="F190" t="str">
            <v>GI Line</v>
          </cell>
          <cell r="G190" t="str">
            <v>Rep1107</v>
          </cell>
          <cell r="H190" t="str">
            <v>MR</v>
          </cell>
          <cell r="I190" t="str">
            <v>Cairo</v>
          </cell>
          <cell r="J190">
            <v>1155036529</v>
          </cell>
          <cell r="K190">
            <v>45871</v>
          </cell>
        </row>
        <row r="190">
          <cell r="M190">
            <v>1726</v>
          </cell>
          <cell r="N190" t="str">
            <v>Hadayek Elmaadi</v>
          </cell>
        </row>
        <row r="191">
          <cell r="A191">
            <v>1775</v>
          </cell>
          <cell r="B191" t="str">
            <v>Asmaa Mahmoud Amin</v>
          </cell>
          <cell r="C191" t="str">
            <v>L3_Vacant - Cairo A</v>
          </cell>
          <cell r="D191" t="str">
            <v>Mousab Mahmoud Abdelkhalek</v>
          </cell>
          <cell r="E191" t="str">
            <v>Ibrahim Ammar</v>
          </cell>
          <cell r="F191" t="str">
            <v>GI Line</v>
          </cell>
          <cell r="G191" t="str">
            <v>Rep_00078</v>
          </cell>
          <cell r="H191" t="str">
            <v>MR</v>
          </cell>
          <cell r="I191" t="str">
            <v>Cairo</v>
          </cell>
          <cell r="J191">
            <v>1127066648</v>
          </cell>
          <cell r="K191">
            <v>45962</v>
          </cell>
        </row>
        <row r="191">
          <cell r="M191">
            <v>1775</v>
          </cell>
          <cell r="N191" t="str">
            <v>Madenet El Salam</v>
          </cell>
        </row>
        <row r="192">
          <cell r="A192">
            <v>1596</v>
          </cell>
          <cell r="B192" t="str">
            <v>Kerollos AbdElMalak Rashed</v>
          </cell>
          <cell r="C192" t="str">
            <v>L3_Vacant - Cairo A</v>
          </cell>
          <cell r="D192" t="str">
            <v>Mousab Mahmoud Abdelkhalek</v>
          </cell>
          <cell r="E192" t="str">
            <v>Ibrahim Ammar</v>
          </cell>
          <cell r="F192" t="str">
            <v>GI Line</v>
          </cell>
          <cell r="G192" t="str">
            <v>AVR_151</v>
          </cell>
          <cell r="H192" t="str">
            <v>MR</v>
          </cell>
          <cell r="I192" t="str">
            <v>Cairo</v>
          </cell>
          <cell r="J192">
            <v>1096975812</v>
          </cell>
          <cell r="K192">
            <v>45738</v>
          </cell>
        </row>
        <row r="192">
          <cell r="M192">
            <v>1596</v>
          </cell>
          <cell r="N192" t="str">
            <v>El Marg</v>
          </cell>
        </row>
        <row r="193">
          <cell r="A193">
            <v>675</v>
          </cell>
          <cell r="B193" t="str">
            <v>Mohamed Gamal Saqr</v>
          </cell>
          <cell r="C193" t="str">
            <v>L3_Vacant - Cairo A</v>
          </cell>
          <cell r="D193" t="str">
            <v>Mousab Mahmoud Abdelkhalek</v>
          </cell>
          <cell r="E193" t="str">
            <v>Ibrahim Ammar</v>
          </cell>
          <cell r="F193" t="str">
            <v>GI Line</v>
          </cell>
          <cell r="G193" t="str">
            <v>Rep193</v>
          </cell>
          <cell r="H193" t="str">
            <v>MR</v>
          </cell>
          <cell r="I193" t="str">
            <v>Cairo</v>
          </cell>
          <cell r="J193">
            <v>1282594714</v>
          </cell>
          <cell r="K193">
            <v>44013</v>
          </cell>
        </row>
        <row r="193">
          <cell r="M193">
            <v>675</v>
          </cell>
          <cell r="N193" t="str">
            <v>Ismaelia City</v>
          </cell>
        </row>
        <row r="194">
          <cell r="A194">
            <v>1714</v>
          </cell>
          <cell r="B194" t="str">
            <v>Momtaz Emad Kamel</v>
          </cell>
          <cell r="C194" t="str">
            <v>L3_Vacant - Cairo A</v>
          </cell>
          <cell r="D194" t="str">
            <v>Mousab Mahmoud Abdelkhalek</v>
          </cell>
          <cell r="E194" t="str">
            <v>Ibrahim Ammar</v>
          </cell>
          <cell r="F194" t="str">
            <v>GI Line</v>
          </cell>
          <cell r="G194" t="str">
            <v>Rep_00066</v>
          </cell>
          <cell r="H194" t="str">
            <v>MR</v>
          </cell>
          <cell r="I194" t="str">
            <v>Cairo</v>
          </cell>
          <cell r="J194">
            <v>1280608490</v>
          </cell>
          <cell r="K194">
            <v>45857</v>
          </cell>
        </row>
        <row r="194">
          <cell r="M194">
            <v>1714</v>
          </cell>
          <cell r="N194" t="str">
            <v>Ain Shams</v>
          </cell>
        </row>
        <row r="195">
          <cell r="A195">
            <v>1765</v>
          </cell>
          <cell r="B195" t="str">
            <v>Mostafa Ahmed Elshahat</v>
          </cell>
          <cell r="C195" t="str">
            <v>L3_Vacant - Cairo A</v>
          </cell>
          <cell r="D195" t="str">
            <v>Mousab Mahmoud Abdelkhalek</v>
          </cell>
          <cell r="E195" t="str">
            <v>Ibrahim Ammar</v>
          </cell>
          <cell r="F195" t="str">
            <v>GI Line</v>
          </cell>
          <cell r="G195" t="str">
            <v>rep000027</v>
          </cell>
          <cell r="H195" t="str">
            <v>MR</v>
          </cell>
          <cell r="I195" t="str">
            <v>Cairo</v>
          </cell>
          <cell r="J195">
            <v>1123307305</v>
          </cell>
          <cell r="K195">
            <v>45931</v>
          </cell>
        </row>
        <row r="195">
          <cell r="M195">
            <v>1765</v>
          </cell>
          <cell r="N195" t="str">
            <v>El Matarya</v>
          </cell>
        </row>
        <row r="196">
          <cell r="A196">
            <v>1576</v>
          </cell>
          <cell r="B196" t="str">
            <v>Eslam Musa AbdElHalem</v>
          </cell>
          <cell r="C196" t="str">
            <v>L3_Vacant_Giza</v>
          </cell>
          <cell r="D196" t="str">
            <v>Mousab Mahmoud Abdelkhalek</v>
          </cell>
          <cell r="E196" t="str">
            <v>Ibrahim Ammar</v>
          </cell>
          <cell r="F196" t="str">
            <v>GI Line</v>
          </cell>
          <cell r="G196" t="str">
            <v>Rep10055</v>
          </cell>
          <cell r="H196" t="str">
            <v>MR</v>
          </cell>
          <cell r="I196" t="str">
            <v>Cairo</v>
          </cell>
          <cell r="J196">
            <v>1552021270</v>
          </cell>
          <cell r="K196">
            <v>45717</v>
          </cell>
        </row>
        <row r="196">
          <cell r="M196">
            <v>1576</v>
          </cell>
          <cell r="N196" t="str">
            <v>Kerdasa</v>
          </cell>
        </row>
        <row r="197">
          <cell r="A197">
            <v>1749</v>
          </cell>
          <cell r="B197" t="str">
            <v>Esraa Ahmed Aboelmagd</v>
          </cell>
          <cell r="C197" t="str">
            <v>L3_Vacant_Giza</v>
          </cell>
          <cell r="D197" t="str">
            <v>Mousab Mahmoud Abdelkhalek</v>
          </cell>
          <cell r="E197" t="str">
            <v>Ibrahim Ammar</v>
          </cell>
          <cell r="F197" t="str">
            <v>GI Line</v>
          </cell>
          <cell r="G197" t="str">
            <v>Rep00084</v>
          </cell>
          <cell r="H197" t="str">
            <v>MR</v>
          </cell>
          <cell r="I197" t="str">
            <v>Cairo</v>
          </cell>
          <cell r="J197">
            <v>1121141552</v>
          </cell>
          <cell r="K197">
            <v>45914</v>
          </cell>
        </row>
        <row r="197">
          <cell r="M197">
            <v>1749</v>
          </cell>
          <cell r="N197" t="str">
            <v>Faisal</v>
          </cell>
        </row>
        <row r="198">
          <cell r="A198">
            <v>1633</v>
          </cell>
          <cell r="B198" t="str">
            <v>Karim Gomaa Douma</v>
          </cell>
          <cell r="C198" t="str">
            <v>L3_Vacant_Giza</v>
          </cell>
          <cell r="D198" t="str">
            <v>Mousab Mahmoud Abdelkhalek</v>
          </cell>
          <cell r="E198" t="str">
            <v>Ibrahim Ammar</v>
          </cell>
          <cell r="F198" t="str">
            <v>GI Line</v>
          </cell>
          <cell r="G198" t="str">
            <v>Rep100110</v>
          </cell>
          <cell r="H198" t="str">
            <v>MR</v>
          </cell>
          <cell r="I198" t="str">
            <v>Cairo</v>
          </cell>
          <cell r="J198">
            <v>1061486661</v>
          </cell>
          <cell r="K198">
            <v>45789</v>
          </cell>
        </row>
        <row r="198">
          <cell r="M198">
            <v>1633</v>
          </cell>
          <cell r="N198" t="str">
            <v>6th of October City</v>
          </cell>
        </row>
        <row r="199">
          <cell r="A199">
            <v>1416</v>
          </cell>
          <cell r="B199" t="str">
            <v>Mohamed Khaled Sayed</v>
          </cell>
          <cell r="C199" t="str">
            <v>L3_Vacant_Giza</v>
          </cell>
          <cell r="D199" t="str">
            <v>Mousab Mahmoud Abdelkhalek</v>
          </cell>
          <cell r="E199" t="str">
            <v>Ibrahim Ammar</v>
          </cell>
          <cell r="F199" t="str">
            <v>GI Line</v>
          </cell>
          <cell r="G199" t="str">
            <v>Rep100018</v>
          </cell>
          <cell r="H199" t="str">
            <v>MR</v>
          </cell>
          <cell r="I199" t="str">
            <v>Cairo</v>
          </cell>
          <cell r="J199">
            <v>1155286453</v>
          </cell>
          <cell r="K199">
            <v>45505</v>
          </cell>
        </row>
        <row r="199">
          <cell r="M199">
            <v>1416</v>
          </cell>
          <cell r="N199" t="str">
            <v>Nahia</v>
          </cell>
        </row>
        <row r="200">
          <cell r="A200">
            <v>1748</v>
          </cell>
          <cell r="B200" t="str">
            <v>Zeina Abobakr Esmaiel</v>
          </cell>
          <cell r="C200" t="str">
            <v>L3_Vacant_Giza</v>
          </cell>
          <cell r="D200" t="str">
            <v>Mousab Mahmoud Abdelkhalek</v>
          </cell>
          <cell r="E200" t="str">
            <v>Ibrahim Ammar</v>
          </cell>
          <cell r="F200" t="str">
            <v>GI Line</v>
          </cell>
          <cell r="G200" t="str">
            <v>Rep00083</v>
          </cell>
          <cell r="H200" t="str">
            <v>MR</v>
          </cell>
          <cell r="I200" t="str">
            <v>Cairo</v>
          </cell>
          <cell r="J200">
            <v>1096622287</v>
          </cell>
          <cell r="K200">
            <v>45910</v>
          </cell>
        </row>
        <row r="200">
          <cell r="M200">
            <v>1748</v>
          </cell>
          <cell r="N200" t="str">
            <v>Fayoum</v>
          </cell>
        </row>
        <row r="201">
          <cell r="A201">
            <v>67</v>
          </cell>
          <cell r="B201" t="str">
            <v>Ahmed Samir Ibrahim</v>
          </cell>
        </row>
        <row r="201">
          <cell r="E201" t="str">
            <v>Ibrahim Ammar</v>
          </cell>
          <cell r="F201" t="str">
            <v>General Line &amp; GI Line</v>
          </cell>
          <cell r="G201" t="str">
            <v>ZM_5</v>
          </cell>
          <cell r="H201" t="str">
            <v>AM</v>
          </cell>
          <cell r="I201" t="str">
            <v>Delta</v>
          </cell>
          <cell r="J201" t="str">
            <v> 01013322100</v>
          </cell>
          <cell r="K201">
            <v>41064</v>
          </cell>
          <cell r="L201" t="str">
            <v>ahmed.samir@averroes-eg.com</v>
          </cell>
          <cell r="M201">
            <v>67</v>
          </cell>
          <cell r="N201" t="str">
            <v>Fesha</v>
          </cell>
        </row>
        <row r="202">
          <cell r="A202">
            <v>1305</v>
          </cell>
          <cell r="B202" t="str">
            <v>Ahmed Ibrahim AbdelAziz</v>
          </cell>
        </row>
        <row r="202">
          <cell r="D202" t="str">
            <v>Ahmed Samir Ibrahim</v>
          </cell>
          <cell r="E202" t="str">
            <v>Ibrahim Ammar</v>
          </cell>
          <cell r="F202" t="str">
            <v>General Line</v>
          </cell>
          <cell r="G202" t="str">
            <v>DM_135</v>
          </cell>
          <cell r="H202" t="str">
            <v>DM</v>
          </cell>
          <cell r="I202" t="str">
            <v>Delta</v>
          </cell>
          <cell r="J202">
            <v>1145031677</v>
          </cell>
          <cell r="K202">
            <v>45263</v>
          </cell>
          <cell r="L202" t="str">
            <v>Ahmed.Ibrahim.AbdelAziz@averroes-eg.com</v>
          </cell>
          <cell r="M202">
            <v>1305</v>
          </cell>
          <cell r="N202" t="str">
            <v>El Ebrahemia</v>
          </cell>
        </row>
        <row r="203">
          <cell r="A203">
            <v>1459</v>
          </cell>
          <cell r="B203" t="str">
            <v>Ahmed Hussein Ahmed Mohamed</v>
          </cell>
          <cell r="C203" t="str">
            <v>Ahmed Ibrahim AbdelAziz</v>
          </cell>
          <cell r="D203" t="str">
            <v>Ahmed Samir Ibrahim</v>
          </cell>
          <cell r="E203" t="str">
            <v>Ibrahim Ammar</v>
          </cell>
          <cell r="F203" t="str">
            <v>General Line</v>
          </cell>
          <cell r="G203" t="str">
            <v>Rep100054</v>
          </cell>
          <cell r="H203" t="str">
            <v>MR</v>
          </cell>
          <cell r="I203" t="str">
            <v>Delta</v>
          </cell>
          <cell r="J203">
            <v>1278316472</v>
          </cell>
          <cell r="K203">
            <v>45600</v>
          </cell>
        </row>
        <row r="203">
          <cell r="M203">
            <v>1459</v>
          </cell>
          <cell r="N203" t="str">
            <v>El Zakazik City</v>
          </cell>
        </row>
        <row r="204">
          <cell r="A204">
            <v>1393</v>
          </cell>
          <cell r="B204" t="str">
            <v>Esraa Elsayed Elhady Gomma</v>
          </cell>
          <cell r="C204" t="str">
            <v>Ahmed Ibrahim AbdelAziz</v>
          </cell>
          <cell r="D204" t="str">
            <v>Ahmed Samir Ibrahim</v>
          </cell>
          <cell r="E204" t="str">
            <v>Ibrahim Ammar</v>
          </cell>
          <cell r="F204" t="str">
            <v>General Line</v>
          </cell>
          <cell r="G204" t="str">
            <v>Rep10001</v>
          </cell>
          <cell r="H204" t="str">
            <v>MR</v>
          </cell>
          <cell r="I204" t="str">
            <v>Delta</v>
          </cell>
          <cell r="J204">
            <v>1024592067</v>
          </cell>
          <cell r="K204">
            <v>45451</v>
          </cell>
        </row>
        <row r="204">
          <cell r="M204">
            <v>1393</v>
          </cell>
          <cell r="N204" t="str">
            <v>El Qenayat</v>
          </cell>
        </row>
        <row r="205">
          <cell r="A205">
            <v>1844</v>
          </cell>
          <cell r="B205" t="str">
            <v>Dina Mohamed Ibrahim</v>
          </cell>
          <cell r="C205" t="str">
            <v>Ahmed Ibrahim AbdelAziz</v>
          </cell>
          <cell r="D205" t="str">
            <v>Ahmed Samir Ibrahim</v>
          </cell>
          <cell r="E205" t="str">
            <v>Ibrahim Ammar</v>
          </cell>
          <cell r="F205" t="str">
            <v>General Line</v>
          </cell>
          <cell r="G205" t="str">
            <v>Rep0007</v>
          </cell>
          <cell r="H205" t="str">
            <v>MR</v>
          </cell>
          <cell r="I205" t="str">
            <v>Delta</v>
          </cell>
          <cell r="J205">
            <v>1061540283</v>
          </cell>
          <cell r="K205">
            <v>46054</v>
          </cell>
        </row>
        <row r="205">
          <cell r="M205">
            <v>1844</v>
          </cell>
          <cell r="N205" t="str">
            <v>Banha - Atreeb</v>
          </cell>
        </row>
        <row r="206">
          <cell r="A206">
            <v>1129</v>
          </cell>
          <cell r="B206" t="str">
            <v>Marwa Maher Ahmed</v>
          </cell>
          <cell r="C206" t="str">
            <v>Ahmed Ibrahim AbdelAziz</v>
          </cell>
          <cell r="D206" t="str">
            <v>Ahmed Samir Ibrahim</v>
          </cell>
          <cell r="E206" t="str">
            <v>Ibrahim Ammar</v>
          </cell>
          <cell r="F206" t="str">
            <v>General Line</v>
          </cell>
          <cell r="G206" t="str">
            <v>Rep711</v>
          </cell>
          <cell r="H206" t="str">
            <v>MR</v>
          </cell>
          <cell r="I206" t="str">
            <v>Delta</v>
          </cell>
          <cell r="J206">
            <v>1006455230</v>
          </cell>
          <cell r="K206">
            <v>44961</v>
          </cell>
        </row>
        <row r="206">
          <cell r="M206">
            <v>1129</v>
          </cell>
          <cell r="N206" t="str">
            <v>Fakoos</v>
          </cell>
        </row>
        <row r="207">
          <cell r="A207">
            <v>1550</v>
          </cell>
          <cell r="B207" t="str">
            <v>Norhan Naser ElSayed</v>
          </cell>
          <cell r="C207" t="str">
            <v>Ahmed Ibrahim AbdelAziz</v>
          </cell>
          <cell r="D207" t="str">
            <v>Ahmed Samir Ibrahim</v>
          </cell>
          <cell r="E207" t="str">
            <v>Ibrahim Ammar</v>
          </cell>
          <cell r="F207" t="str">
            <v>General Line</v>
          </cell>
          <cell r="G207" t="str">
            <v>AVR_60</v>
          </cell>
          <cell r="H207" t="str">
            <v>MR</v>
          </cell>
          <cell r="I207" t="str">
            <v>Delta</v>
          </cell>
          <cell r="J207">
            <v>1000548149</v>
          </cell>
          <cell r="K207">
            <v>45710</v>
          </cell>
        </row>
        <row r="207">
          <cell r="M207">
            <v>1550</v>
          </cell>
          <cell r="N207" t="str">
            <v>Abo Hammad </v>
          </cell>
        </row>
        <row r="208">
          <cell r="A208">
            <v>1397</v>
          </cell>
          <cell r="B208" t="str">
            <v>Sara Gamal Askar</v>
          </cell>
        </row>
        <row r="208">
          <cell r="D208" t="str">
            <v>Ahmed Samir Ibrahim</v>
          </cell>
          <cell r="E208" t="str">
            <v>Ibrahim Ammar</v>
          </cell>
          <cell r="F208" t="str">
            <v>General Line</v>
          </cell>
          <cell r="G208" t="str">
            <v>DM_144</v>
          </cell>
          <cell r="H208" t="str">
            <v>DM</v>
          </cell>
          <cell r="I208" t="str">
            <v>Delta</v>
          </cell>
          <cell r="J208">
            <v>1065283397</v>
          </cell>
          <cell r="K208">
            <v>45465</v>
          </cell>
          <cell r="L208" t="str">
            <v>Sara.Gamal.Askar@averroes-eg.com</v>
          </cell>
          <cell r="M208">
            <v>1397</v>
          </cell>
          <cell r="N208" t="str">
            <v>El Mansoura</v>
          </cell>
        </row>
        <row r="209">
          <cell r="A209">
            <v>1630</v>
          </cell>
          <cell r="B209" t="str">
            <v>Omar Saad Bedier</v>
          </cell>
          <cell r="C209" t="str">
            <v>Sara Gamal Askar</v>
          </cell>
          <cell r="D209" t="str">
            <v>Ahmed Samir Ibrahim</v>
          </cell>
          <cell r="E209" t="str">
            <v>Ibrahim Ammar</v>
          </cell>
          <cell r="F209" t="str">
            <v>General Line</v>
          </cell>
          <cell r="G209" t="str">
            <v>Rep100124</v>
          </cell>
          <cell r="H209" t="str">
            <v>MR</v>
          </cell>
          <cell r="I209" t="str">
            <v>Delta</v>
          </cell>
          <cell r="J209">
            <v>1091310427</v>
          </cell>
          <cell r="K209">
            <v>45787</v>
          </cell>
        </row>
        <row r="209">
          <cell r="M209">
            <v>1630</v>
          </cell>
          <cell r="N209" t="str">
            <v>Talkha</v>
          </cell>
        </row>
        <row r="210">
          <cell r="A210">
            <v>1505</v>
          </cell>
          <cell r="B210" t="str">
            <v>Rezk AbdElRahman Ahmed</v>
          </cell>
          <cell r="C210" t="str">
            <v>Sara Gamal Askar</v>
          </cell>
          <cell r="D210" t="str">
            <v>Ahmed Samir Ibrahim</v>
          </cell>
          <cell r="E210" t="str">
            <v>Ibrahim Ammar</v>
          </cell>
          <cell r="F210" t="str">
            <v>General Line</v>
          </cell>
          <cell r="G210" t="str">
            <v>Rep100105</v>
          </cell>
          <cell r="H210" t="str">
            <v>MR</v>
          </cell>
          <cell r="I210" t="str">
            <v>Delta</v>
          </cell>
          <cell r="J210">
            <v>1094931576</v>
          </cell>
          <cell r="K210">
            <v>45675</v>
          </cell>
        </row>
        <row r="210">
          <cell r="M210">
            <v>1505</v>
          </cell>
          <cell r="N210" t="str">
            <v>Meet Ghamr</v>
          </cell>
        </row>
        <row r="211">
          <cell r="A211">
            <v>1536</v>
          </cell>
          <cell r="B211" t="str">
            <v>Sara Abdo AbuElkhier</v>
          </cell>
          <cell r="C211" t="str">
            <v>Sara Gamal Askar</v>
          </cell>
          <cell r="D211" t="str">
            <v>Ahmed Samir Ibrahim</v>
          </cell>
          <cell r="E211" t="str">
            <v>Ibrahim Ammar</v>
          </cell>
          <cell r="F211" t="str">
            <v>General Line</v>
          </cell>
          <cell r="G211" t="str">
            <v>AVR_39</v>
          </cell>
          <cell r="H211" t="str">
            <v>MR</v>
          </cell>
          <cell r="I211" t="str">
            <v>Delta</v>
          </cell>
          <cell r="J211">
            <v>1153306405</v>
          </cell>
          <cell r="K211">
            <v>45697</v>
          </cell>
        </row>
        <row r="211">
          <cell r="M211">
            <v>1536</v>
          </cell>
          <cell r="N211" t="str">
            <v> El Manzala</v>
          </cell>
        </row>
        <row r="212">
          <cell r="A212">
            <v>1553</v>
          </cell>
          <cell r="B212" t="str">
            <v>Sohaila Khaled Gamal</v>
          </cell>
          <cell r="C212" t="str">
            <v>Sara Gamal Askar</v>
          </cell>
          <cell r="D212" t="str">
            <v>Ahmed Samir Ibrahim</v>
          </cell>
          <cell r="E212" t="str">
            <v>Ibrahim Ammar</v>
          </cell>
          <cell r="F212" t="str">
            <v>General Line</v>
          </cell>
          <cell r="G212" t="str">
            <v>AVR_64</v>
          </cell>
          <cell r="H212" t="str">
            <v>MR</v>
          </cell>
          <cell r="I212" t="str">
            <v>Delta</v>
          </cell>
          <cell r="J212">
            <v>1024032081</v>
          </cell>
          <cell r="K212">
            <v>45710</v>
          </cell>
        </row>
        <row r="212">
          <cell r="M212">
            <v>1553</v>
          </cell>
          <cell r="N212" t="str">
            <v>Port Saed</v>
          </cell>
        </row>
        <row r="213">
          <cell r="A213">
            <v>1620</v>
          </cell>
          <cell r="B213" t="str">
            <v>Lamees Osama Nowara</v>
          </cell>
          <cell r="C213" t="str">
            <v>L3_Vacant_Dakahlia &amp; Domiat &amp; Port Said</v>
          </cell>
          <cell r="D213" t="str">
            <v>Ahmed Samir Ibrahim</v>
          </cell>
          <cell r="E213" t="str">
            <v>Ibrahim Ammar</v>
          </cell>
          <cell r="F213" t="str">
            <v>GI Line</v>
          </cell>
          <cell r="G213" t="str">
            <v>Rep1000101</v>
          </cell>
          <cell r="H213" t="str">
            <v>MR</v>
          </cell>
          <cell r="I213" t="str">
            <v>Delta</v>
          </cell>
          <cell r="J213">
            <v>1065477179</v>
          </cell>
          <cell r="K213">
            <v>45773</v>
          </cell>
        </row>
        <row r="213">
          <cell r="M213">
            <v>1620</v>
          </cell>
          <cell r="N213" t="str">
            <v>Domiat</v>
          </cell>
        </row>
        <row r="214">
          <cell r="A214">
            <v>1353</v>
          </cell>
          <cell r="B214" t="str">
            <v>Mahmoud Ahmed AlHasanin</v>
          </cell>
          <cell r="C214" t="str">
            <v>L3_Vacant_Dakahlia &amp; Domiat &amp; Port Said</v>
          </cell>
          <cell r="D214" t="str">
            <v>Ahmed Samir Ibrahim</v>
          </cell>
          <cell r="E214" t="str">
            <v>Ibrahim Ammar</v>
          </cell>
          <cell r="F214" t="str">
            <v>GI Line</v>
          </cell>
          <cell r="G214" t="str">
            <v>Rep970</v>
          </cell>
          <cell r="H214" t="str">
            <v>MR</v>
          </cell>
          <cell r="I214" t="str">
            <v>Delta</v>
          </cell>
          <cell r="J214">
            <v>1099063152</v>
          </cell>
          <cell r="K214">
            <v>45419</v>
          </cell>
        </row>
        <row r="214">
          <cell r="M214">
            <v>1353</v>
          </cell>
          <cell r="N214" t="str">
            <v>El Senbelaween</v>
          </cell>
        </row>
        <row r="215">
          <cell r="A215">
            <v>1833</v>
          </cell>
          <cell r="B215" t="str">
            <v>Noha Adel Abdelaziz</v>
          </cell>
          <cell r="C215" t="str">
            <v>L3_Vacant_Dakahlia &amp; Domiat &amp; Port Said</v>
          </cell>
          <cell r="D215" t="str">
            <v>Ahmed Samir Ibrahim</v>
          </cell>
          <cell r="E215" t="str">
            <v>Ibrahim Ammar</v>
          </cell>
          <cell r="F215" t="str">
            <v>GI Line</v>
          </cell>
          <cell r="G215" t="str">
            <v>Rep1060</v>
          </cell>
          <cell r="H215" t="str">
            <v>MR</v>
          </cell>
          <cell r="I215" t="str">
            <v>Delta</v>
          </cell>
          <cell r="J215">
            <v>1553939282</v>
          </cell>
          <cell r="K215">
            <v>46037</v>
          </cell>
        </row>
        <row r="215">
          <cell r="M215">
            <v>1833</v>
          </cell>
          <cell r="N215" t="str">
            <v>El Mansoura</v>
          </cell>
        </row>
        <row r="216">
          <cell r="A216">
            <v>1427</v>
          </cell>
          <cell r="B216" t="str">
            <v>Samah Khaled Mohamed</v>
          </cell>
          <cell r="C216" t="str">
            <v>L3_Vacant_Dakahlia &amp; Domiat &amp; Port Said</v>
          </cell>
          <cell r="D216" t="str">
            <v>Ahmed Samir Ibrahim</v>
          </cell>
          <cell r="E216" t="str">
            <v>Ibrahim Ammar</v>
          </cell>
          <cell r="F216" t="str">
            <v>GI Line</v>
          </cell>
          <cell r="G216" t="str">
            <v>Rep100025</v>
          </cell>
          <cell r="H216" t="str">
            <v>MR</v>
          </cell>
          <cell r="I216" t="str">
            <v>Delta</v>
          </cell>
          <cell r="J216">
            <v>1064761490</v>
          </cell>
          <cell r="K216">
            <v>45508</v>
          </cell>
        </row>
        <row r="216">
          <cell r="M216">
            <v>1427</v>
          </cell>
          <cell r="N216" t="str">
            <v>Dekernes</v>
          </cell>
        </row>
        <row r="217">
          <cell r="A217">
            <v>1822</v>
          </cell>
          <cell r="B217" t="str">
            <v>Sara Sabry Mahmoud Abdelwahab</v>
          </cell>
          <cell r="C217" t="str">
            <v>L3_Vacant_Dakahlia &amp; Domiat &amp; Port Said</v>
          </cell>
          <cell r="D217" t="str">
            <v>Ahmed Samir Ibrahim</v>
          </cell>
          <cell r="E217" t="str">
            <v>Ibrahim Ammar</v>
          </cell>
          <cell r="F217" t="str">
            <v>GI Line</v>
          </cell>
          <cell r="G217" t="str">
            <v>Rep_00152</v>
          </cell>
          <cell r="H217" t="str">
            <v>MR</v>
          </cell>
          <cell r="I217" t="str">
            <v>Delta</v>
          </cell>
          <cell r="J217">
            <v>1010699146</v>
          </cell>
          <cell r="K217">
            <v>46023</v>
          </cell>
        </row>
        <row r="217">
          <cell r="M217">
            <v>1822</v>
          </cell>
          <cell r="N217" t="str">
            <v>Belkas</v>
          </cell>
        </row>
        <row r="218">
          <cell r="A218">
            <v>336</v>
          </cell>
          <cell r="B218" t="str">
            <v>Ahmed Mohamed Abdelfattah</v>
          </cell>
          <cell r="C218" t="str">
            <v>L3_Vacant_Sharkia &amp; Qaluibia</v>
          </cell>
          <cell r="D218" t="str">
            <v>Ahmed Samir Ibrahim</v>
          </cell>
          <cell r="E218" t="str">
            <v>Ibrahim Ammar</v>
          </cell>
          <cell r="F218" t="str">
            <v>GI Line</v>
          </cell>
          <cell r="G218" t="str">
            <v>Rep121</v>
          </cell>
          <cell r="H218" t="str">
            <v>MR</v>
          </cell>
          <cell r="I218" t="str">
            <v>Delta</v>
          </cell>
          <cell r="J218" t="str">
            <v> 01092023642</v>
          </cell>
          <cell r="K218">
            <v>43160</v>
          </cell>
        </row>
        <row r="218">
          <cell r="M218">
            <v>336</v>
          </cell>
          <cell r="N218" t="str">
            <v>Fakoos</v>
          </cell>
        </row>
        <row r="219">
          <cell r="A219">
            <v>487</v>
          </cell>
          <cell r="B219" t="str">
            <v>Asmaa Ahmed ibrahim</v>
          </cell>
          <cell r="C219" t="str">
            <v>L3_Vacant_Sharkia &amp; Qaluibia</v>
          </cell>
          <cell r="D219" t="str">
            <v>Ahmed Samir Ibrahim</v>
          </cell>
          <cell r="E219" t="str">
            <v>Ibrahim Ammar</v>
          </cell>
          <cell r="F219" t="str">
            <v>GI Line</v>
          </cell>
          <cell r="G219" t="str">
            <v>Rep178</v>
          </cell>
          <cell r="H219" t="str">
            <v>MR</v>
          </cell>
          <cell r="I219" t="str">
            <v>Delta</v>
          </cell>
          <cell r="J219">
            <v>1553010651</v>
          </cell>
          <cell r="K219">
            <v>43770</v>
          </cell>
        </row>
        <row r="219">
          <cell r="M219">
            <v>487</v>
          </cell>
          <cell r="N219" t="str">
            <v>El Zakazik City</v>
          </cell>
        </row>
        <row r="220">
          <cell r="A220">
            <v>1845</v>
          </cell>
          <cell r="B220" t="str">
            <v>Reem Hatem Abdelhady</v>
          </cell>
          <cell r="C220" t="str">
            <v>L3_Vacant_Sharkia &amp; Qaluibia</v>
          </cell>
          <cell r="D220" t="str">
            <v>Ahmed Samir Ibrahim</v>
          </cell>
          <cell r="E220" t="str">
            <v>Ibrahim Ammar</v>
          </cell>
          <cell r="F220" t="str">
            <v>GI Line</v>
          </cell>
          <cell r="G220" t="str">
            <v>Rep1044</v>
          </cell>
          <cell r="H220" t="str">
            <v>MR</v>
          </cell>
          <cell r="I220" t="str">
            <v>Delta</v>
          </cell>
          <cell r="J220">
            <v>1221382723</v>
          </cell>
          <cell r="K220">
            <v>46054</v>
          </cell>
        </row>
        <row r="220">
          <cell r="M220">
            <v>1845</v>
          </cell>
          <cell r="N220" t="str">
            <v>10 th Ramadan</v>
          </cell>
        </row>
        <row r="221">
          <cell r="A221">
            <v>1412</v>
          </cell>
          <cell r="B221" t="str">
            <v>Manar Mohamed Mohamed Rashad</v>
          </cell>
          <cell r="C221" t="str">
            <v>L3_Vacant_Sharkia &amp; Qaluibia</v>
          </cell>
          <cell r="D221" t="str">
            <v>Ahmed Samir Ibrahim</v>
          </cell>
          <cell r="E221" t="str">
            <v>Ibrahim Ammar</v>
          </cell>
          <cell r="F221" t="str">
            <v>GI Line</v>
          </cell>
          <cell r="G221" t="str">
            <v>Rep100020</v>
          </cell>
          <cell r="H221" t="str">
            <v>MR</v>
          </cell>
          <cell r="I221" t="str">
            <v>Delta</v>
          </cell>
          <cell r="J221">
            <v>1553034097</v>
          </cell>
          <cell r="K221">
            <v>45505</v>
          </cell>
        </row>
        <row r="221">
          <cell r="M221">
            <v>1412</v>
          </cell>
          <cell r="N221" t="str">
            <v>Banha - Atreeb</v>
          </cell>
        </row>
        <row r="222">
          <cell r="A222">
            <v>1530</v>
          </cell>
          <cell r="B222" t="str">
            <v>Mostafa Hady ElHamshary</v>
          </cell>
          <cell r="C222" t="str">
            <v>L3_Vacant_Sharkia &amp; Qaluibia</v>
          </cell>
          <cell r="D222" t="str">
            <v>Ahmed Samir Ibrahim</v>
          </cell>
          <cell r="E222" t="str">
            <v>Ibrahim Ammar</v>
          </cell>
          <cell r="F222" t="str">
            <v>GI Line</v>
          </cell>
          <cell r="G222" t="str">
            <v>AVR_33</v>
          </cell>
          <cell r="H222" t="str">
            <v>MR</v>
          </cell>
          <cell r="I222" t="str">
            <v>Delta</v>
          </cell>
          <cell r="J222">
            <v>1143237560</v>
          </cell>
          <cell r="K222">
            <v>45696</v>
          </cell>
        </row>
        <row r="222">
          <cell r="M222">
            <v>1530</v>
          </cell>
          <cell r="N222" t="str">
            <v>El Zakazik City</v>
          </cell>
        </row>
        <row r="223">
          <cell r="A223">
            <v>1782</v>
          </cell>
          <cell r="B223" t="str">
            <v>Nada Essam Makled</v>
          </cell>
          <cell r="C223" t="str">
            <v>L3_Vacant_Sharkia &amp; Qaluibia</v>
          </cell>
          <cell r="D223" t="str">
            <v>Ahmed Samir Ibrahim</v>
          </cell>
          <cell r="E223" t="str">
            <v>Ibrahim Ammar</v>
          </cell>
          <cell r="F223" t="str">
            <v>GI Line</v>
          </cell>
          <cell r="G223" t="str">
            <v>Rep_00086</v>
          </cell>
          <cell r="H223" t="str">
            <v>MR</v>
          </cell>
          <cell r="I223" t="str">
            <v>Delta</v>
          </cell>
          <cell r="J223">
            <v>1033834028</v>
          </cell>
          <cell r="K223">
            <v>45963</v>
          </cell>
        </row>
        <row r="223">
          <cell r="M223">
            <v>1782</v>
          </cell>
          <cell r="N223" t="str">
            <v>El Zakazik City</v>
          </cell>
        </row>
        <row r="224">
          <cell r="A224">
            <v>1394</v>
          </cell>
          <cell r="B224" t="str">
            <v>Yasmeen Samir Imam Mohamed Hanafy</v>
          </cell>
          <cell r="C224" t="str">
            <v>L3_Vacant_Sharkia &amp; Qaluibia</v>
          </cell>
          <cell r="D224" t="str">
            <v>Ahmed Samir Ibrahim</v>
          </cell>
          <cell r="E224" t="str">
            <v>Ibrahim Ammar</v>
          </cell>
          <cell r="F224" t="str">
            <v>GI Line</v>
          </cell>
          <cell r="G224" t="str">
            <v>Rep10003</v>
          </cell>
          <cell r="H224" t="str">
            <v>MR</v>
          </cell>
          <cell r="I224" t="str">
            <v>Delta</v>
          </cell>
          <cell r="J224">
            <v>1015173557</v>
          </cell>
          <cell r="K224">
            <v>45452</v>
          </cell>
        </row>
        <row r="224">
          <cell r="M224">
            <v>1394</v>
          </cell>
          <cell r="N224" t="str">
            <v>Shebien El Kanater</v>
          </cell>
        </row>
        <row r="225">
          <cell r="A225">
            <v>66</v>
          </cell>
          <cell r="B225" t="str">
            <v>Ibrahim Ali ElAshwah</v>
          </cell>
        </row>
        <row r="225">
          <cell r="E225" t="str">
            <v>Ibrahim Ammar</v>
          </cell>
          <cell r="F225" t="str">
            <v>General Line &amp; GI Line</v>
          </cell>
          <cell r="G225" t="str">
            <v>ZM_13</v>
          </cell>
          <cell r="H225" t="str">
            <v>AM</v>
          </cell>
          <cell r="I225" t="str">
            <v>Alex</v>
          </cell>
          <cell r="J225" t="str">
            <v> 01013322499</v>
          </cell>
          <cell r="K225">
            <v>41177</v>
          </cell>
          <cell r="L225" t="str">
            <v>ibrahim.elashwah@averroes-eg.com</v>
          </cell>
          <cell r="M225">
            <v>66</v>
          </cell>
          <cell r="N225" t="str">
            <v>Kotour</v>
          </cell>
        </row>
        <row r="226">
          <cell r="A226">
            <v>1603</v>
          </cell>
          <cell r="B226" t="str">
            <v>Mohamed Yousef Mohamed Elbadawy</v>
          </cell>
        </row>
        <row r="226">
          <cell r="D226" t="str">
            <v>Ibrahim Ali ElAshwah</v>
          </cell>
          <cell r="E226" t="str">
            <v>Ibrahim Ammar</v>
          </cell>
          <cell r="F226" t="str">
            <v>General Line</v>
          </cell>
          <cell r="G226" t="str">
            <v>DM1017</v>
          </cell>
          <cell r="H226" t="str">
            <v>DM</v>
          </cell>
          <cell r="I226" t="str">
            <v>Delta</v>
          </cell>
          <cell r="J226">
            <v>1069120162</v>
          </cell>
          <cell r="K226">
            <v>45752</v>
          </cell>
          <cell r="L226" t="str">
            <v>Mohamed.Yousef.Mohamed@averroes-eg.com</v>
          </cell>
          <cell r="M226">
            <v>1603</v>
          </cell>
        </row>
        <row r="227">
          <cell r="A227">
            <v>1708</v>
          </cell>
          <cell r="B227" t="str">
            <v>Fares Ahmed Elkady</v>
          </cell>
          <cell r="C227" t="str">
            <v>Mohamed Yousef Mohamed Elbadawy</v>
          </cell>
          <cell r="D227" t="str">
            <v>Ibrahim Ali ElAshwah</v>
          </cell>
          <cell r="E227" t="str">
            <v>Ibrahim Ammar</v>
          </cell>
          <cell r="F227" t="str">
            <v>General Line</v>
          </cell>
          <cell r="G227" t="str">
            <v>Rep10095</v>
          </cell>
          <cell r="H227" t="str">
            <v>MR</v>
          </cell>
          <cell r="I227" t="str">
            <v>Delta</v>
          </cell>
          <cell r="J227">
            <v>1010340921</v>
          </cell>
          <cell r="K227">
            <v>45845</v>
          </cell>
        </row>
        <row r="227">
          <cell r="M227">
            <v>1708</v>
          </cell>
          <cell r="N227" t="str">
            <v>Basioun</v>
          </cell>
        </row>
        <row r="228">
          <cell r="A228">
            <v>1602</v>
          </cell>
          <cell r="B228" t="str">
            <v>Hams Fayez Mohamed khalil</v>
          </cell>
          <cell r="C228" t="str">
            <v>Mohamed Yousef Mohamed Elbadawy</v>
          </cell>
          <cell r="D228" t="str">
            <v>Ibrahim Ali ElAshwah</v>
          </cell>
          <cell r="E228" t="str">
            <v>Ibrahim Ammar</v>
          </cell>
          <cell r="F228" t="str">
            <v>General Line</v>
          </cell>
          <cell r="G228" t="str">
            <v>Rep1014</v>
          </cell>
          <cell r="H228" t="str">
            <v>MR</v>
          </cell>
          <cell r="I228" t="str">
            <v>Delta</v>
          </cell>
          <cell r="J228">
            <v>1090247333</v>
          </cell>
          <cell r="K228">
            <v>45752</v>
          </cell>
        </row>
        <row r="228">
          <cell r="M228">
            <v>1602</v>
          </cell>
          <cell r="N228" t="str">
            <v>Shebien El Kom</v>
          </cell>
        </row>
        <row r="229">
          <cell r="A229">
            <v>1868</v>
          </cell>
          <cell r="B229" t="str">
            <v>Yara Hossam Abbas</v>
          </cell>
          <cell r="C229" t="str">
            <v>Mohamed Yousef Mohamed Elbadawy</v>
          </cell>
          <cell r="D229" t="str">
            <v>Ibrahim Ali ElAshwah</v>
          </cell>
          <cell r="E229" t="str">
            <v>Ibrahim Ammar</v>
          </cell>
          <cell r="F229" t="str">
            <v>General Line</v>
          </cell>
          <cell r="G229" t="str">
            <v>Rep1052</v>
          </cell>
          <cell r="H229" t="str">
            <v>MR</v>
          </cell>
          <cell r="I229" t="str">
            <v>Delta</v>
          </cell>
          <cell r="J229">
            <v>1063435710</v>
          </cell>
          <cell r="K229">
            <v>46063</v>
          </cell>
        </row>
        <row r="229">
          <cell r="M229">
            <v>1868</v>
          </cell>
          <cell r="N229" t="str">
            <v>El Mahala El Kobra</v>
          </cell>
        </row>
        <row r="230">
          <cell r="A230">
            <v>1859</v>
          </cell>
          <cell r="B230" t="str">
            <v>Ibrahim Osama Ibrahim Ammar</v>
          </cell>
          <cell r="C230" t="str">
            <v>Mohamed Yousef Mohamed Elbadawy</v>
          </cell>
          <cell r="D230" t="str">
            <v>Ibrahim Ali ElAshwah</v>
          </cell>
          <cell r="E230" t="str">
            <v>Ibrahim Ammar</v>
          </cell>
          <cell r="F230" t="str">
            <v>General Line</v>
          </cell>
          <cell r="G230" t="str">
            <v>Rep100091</v>
          </cell>
          <cell r="H230" t="str">
            <v>MR</v>
          </cell>
          <cell r="I230" t="str">
            <v>Delta</v>
          </cell>
          <cell r="J230">
            <v>1096567648</v>
          </cell>
          <cell r="K230">
            <v>46060</v>
          </cell>
        </row>
        <row r="230">
          <cell r="M230">
            <v>1859</v>
          </cell>
          <cell r="N230" t="str">
            <v>Menof</v>
          </cell>
        </row>
        <row r="231">
          <cell r="A231">
            <v>1304</v>
          </cell>
          <cell r="B231" t="str">
            <v>Merna Sobhy Aziz</v>
          </cell>
          <cell r="C231" t="str">
            <v>Mohamed Yousef Mohamed Elbadawy</v>
          </cell>
          <cell r="D231" t="str">
            <v>Ibrahim Ali ElAshwah</v>
          </cell>
          <cell r="E231" t="str">
            <v>Ibrahim Ammar</v>
          </cell>
          <cell r="F231" t="str">
            <v>General Line</v>
          </cell>
          <cell r="G231" t="str">
            <v>Rep881</v>
          </cell>
          <cell r="H231" t="str">
            <v>MR</v>
          </cell>
          <cell r="I231" t="str">
            <v>Delta</v>
          </cell>
          <cell r="J231">
            <v>1204850554</v>
          </cell>
          <cell r="K231">
            <v>45262</v>
          </cell>
        </row>
        <row r="231">
          <cell r="M231">
            <v>1304</v>
          </cell>
          <cell r="N231" t="str">
            <v>Kafr El zayat</v>
          </cell>
        </row>
        <row r="232">
          <cell r="A232">
            <v>550</v>
          </cell>
          <cell r="B232" t="str">
            <v>Nourhan Bashir elagrood</v>
          </cell>
          <cell r="C232" t="str">
            <v>Mohamed Yousef Mohamed Elbadawy</v>
          </cell>
          <cell r="D232" t="str">
            <v>Ibrahim Ali ElAshwah</v>
          </cell>
          <cell r="E232" t="str">
            <v>Ibrahim Ammar</v>
          </cell>
          <cell r="F232" t="str">
            <v>General Line</v>
          </cell>
          <cell r="G232" t="str">
            <v>Rep103</v>
          </cell>
          <cell r="H232" t="str">
            <v>MR</v>
          </cell>
          <cell r="I232" t="str">
            <v>Delta</v>
          </cell>
          <cell r="J232">
            <v>1002868312</v>
          </cell>
          <cell r="K232">
            <v>43851</v>
          </cell>
        </row>
        <row r="232">
          <cell r="M232">
            <v>550</v>
          </cell>
          <cell r="N232" t="str">
            <v>Shebien El Kom</v>
          </cell>
        </row>
        <row r="233">
          <cell r="A233">
            <v>969</v>
          </cell>
          <cell r="B233" t="str">
            <v>Taha Mahmoud Taha Messlem</v>
          </cell>
          <cell r="C233" t="str">
            <v>Mohamed Yousef Mohamed Elbadawy</v>
          </cell>
          <cell r="D233" t="str">
            <v>Ibrahim Ali ElAshwah</v>
          </cell>
          <cell r="E233" t="str">
            <v>Ibrahim Ammar</v>
          </cell>
          <cell r="F233" t="str">
            <v>General Line</v>
          </cell>
          <cell r="G233" t="str">
            <v>Rep353</v>
          </cell>
          <cell r="H233" t="str">
            <v>MR</v>
          </cell>
          <cell r="I233" t="str">
            <v>Delta</v>
          </cell>
          <cell r="J233">
            <v>1066420067</v>
          </cell>
          <cell r="K233">
            <v>44710</v>
          </cell>
        </row>
        <row r="233">
          <cell r="M233">
            <v>969</v>
          </cell>
          <cell r="N233" t="str">
            <v>El Sanata</v>
          </cell>
        </row>
        <row r="234">
          <cell r="A234">
            <v>1041</v>
          </cell>
          <cell r="B234" t="str">
            <v>Nader Elsayed Mahmoud</v>
          </cell>
        </row>
        <row r="234">
          <cell r="D234" t="str">
            <v>Ibrahim Ali ElAshwah</v>
          </cell>
          <cell r="E234" t="str">
            <v>Ibrahim Ammar</v>
          </cell>
          <cell r="F234" t="str">
            <v>General Line</v>
          </cell>
          <cell r="G234" t="str">
            <v>Rep588</v>
          </cell>
          <cell r="H234" t="str">
            <v>DM</v>
          </cell>
          <cell r="I234" t="str">
            <v>Alex</v>
          </cell>
          <cell r="J234">
            <v>1016324647</v>
          </cell>
          <cell r="K234">
            <v>44928</v>
          </cell>
          <cell r="L234" t="str">
            <v>Nader.Elsayed.Mahmoud@averroes-eg.com</v>
          </cell>
          <cell r="M234">
            <v>1041</v>
          </cell>
          <cell r="N234" t="str">
            <v>Kafr El Shiekh</v>
          </cell>
        </row>
        <row r="235">
          <cell r="A235">
            <v>1828</v>
          </cell>
          <cell r="B235" t="str">
            <v>Abdelrahman Saber Elmaghraby</v>
          </cell>
          <cell r="C235" t="str">
            <v>Nader Elsayed Mahmoud</v>
          </cell>
          <cell r="D235" t="str">
            <v>Ibrahim Ali ElAshwah</v>
          </cell>
          <cell r="E235" t="str">
            <v>Ibrahim Ammar</v>
          </cell>
          <cell r="F235" t="str">
            <v>General Line</v>
          </cell>
          <cell r="G235" t="str">
            <v>Rep1046</v>
          </cell>
          <cell r="H235" t="str">
            <v>MR</v>
          </cell>
          <cell r="I235" t="str">
            <v>Alex</v>
          </cell>
          <cell r="J235">
            <v>1021209573</v>
          </cell>
          <cell r="K235">
            <v>46023</v>
          </cell>
        </row>
        <row r="235">
          <cell r="M235">
            <v>1828</v>
          </cell>
          <cell r="N235" t="str">
            <v>Desouk</v>
          </cell>
        </row>
        <row r="236">
          <cell r="A236">
            <v>1522</v>
          </cell>
          <cell r="B236" t="str">
            <v>Aya Mohamed Fawzy Badawy</v>
          </cell>
          <cell r="C236" t="str">
            <v>Nader Elsayed Mahmoud</v>
          </cell>
          <cell r="D236" t="str">
            <v>Ibrahim Ali ElAshwah</v>
          </cell>
          <cell r="E236" t="str">
            <v>Ibrahim Ammar</v>
          </cell>
          <cell r="F236" t="str">
            <v>General Line</v>
          </cell>
          <cell r="G236" t="str">
            <v>AVR_25</v>
          </cell>
          <cell r="H236" t="str">
            <v>MR</v>
          </cell>
          <cell r="I236" t="str">
            <v>Alex</v>
          </cell>
          <cell r="J236">
            <v>1023216007</v>
          </cell>
          <cell r="K236">
            <v>45689</v>
          </cell>
        </row>
        <row r="236">
          <cell r="M236">
            <v>1522</v>
          </cell>
          <cell r="N236" t="str">
            <v>Kafr El Shiekh</v>
          </cell>
        </row>
        <row r="237">
          <cell r="A237">
            <v>1552</v>
          </cell>
          <cell r="B237" t="str">
            <v>Eman Atta Mohamed Baz</v>
          </cell>
          <cell r="C237" t="str">
            <v>Nader Elsayed Mahmoud</v>
          </cell>
          <cell r="D237" t="str">
            <v>Ibrahim Ali ElAshwah</v>
          </cell>
          <cell r="E237" t="str">
            <v>Ibrahim Ammar</v>
          </cell>
          <cell r="F237" t="str">
            <v>General Line</v>
          </cell>
          <cell r="G237" t="str">
            <v>AVR_63</v>
          </cell>
          <cell r="H237" t="str">
            <v>MR</v>
          </cell>
          <cell r="I237" t="str">
            <v>Alex</v>
          </cell>
          <cell r="J237">
            <v>1069136230</v>
          </cell>
          <cell r="K237">
            <v>45710</v>
          </cell>
        </row>
        <row r="237">
          <cell r="M237">
            <v>1552</v>
          </cell>
          <cell r="N237" t="str">
            <v>Kafr El Shiekh</v>
          </cell>
        </row>
        <row r="238">
          <cell r="A238">
            <v>1762</v>
          </cell>
          <cell r="B238" t="str">
            <v>Mohamed Ragab Aboghazala</v>
          </cell>
          <cell r="C238" t="str">
            <v>Nader Elsayed Mahmoud</v>
          </cell>
          <cell r="D238" t="str">
            <v>Ibrahim Ali ElAshwah</v>
          </cell>
          <cell r="E238" t="str">
            <v>Ibrahim Ammar</v>
          </cell>
          <cell r="F238" t="str">
            <v>General Line</v>
          </cell>
          <cell r="G238" t="str">
            <v>rep000020</v>
          </cell>
          <cell r="H238" t="str">
            <v>MR</v>
          </cell>
          <cell r="I238" t="str">
            <v>Alex</v>
          </cell>
          <cell r="J238">
            <v>1014947200</v>
          </cell>
          <cell r="K238">
            <v>45934</v>
          </cell>
        </row>
        <row r="238">
          <cell r="M238">
            <v>1762</v>
          </cell>
          <cell r="N238" t="str">
            <v>Etay El Baroud</v>
          </cell>
        </row>
        <row r="239">
          <cell r="A239">
            <v>1854</v>
          </cell>
          <cell r="B239" t="str">
            <v>Farouk Mohamed Emara</v>
          </cell>
          <cell r="C239" t="str">
            <v>Nader Elsayed Mahmoud</v>
          </cell>
          <cell r="D239" t="str">
            <v>Ibrahim Ali ElAshwah</v>
          </cell>
          <cell r="E239" t="str">
            <v>Ibrahim Ammar</v>
          </cell>
          <cell r="F239" t="str">
            <v>General Line</v>
          </cell>
        </row>
        <row r="239">
          <cell r="H239" t="str">
            <v>MR</v>
          </cell>
          <cell r="I239" t="str">
            <v>Alex</v>
          </cell>
          <cell r="J239">
            <v>1090632837</v>
          </cell>
          <cell r="K239">
            <v>46055</v>
          </cell>
        </row>
        <row r="239">
          <cell r="M239">
            <v>1854</v>
          </cell>
          <cell r="N239" t="str">
            <v>Housh Easa</v>
          </cell>
        </row>
        <row r="240">
          <cell r="A240">
            <v>1829</v>
          </cell>
          <cell r="B240" t="str">
            <v>Naira Yousry Farouk</v>
          </cell>
          <cell r="C240" t="str">
            <v>Nader Elsayed Mahmoud</v>
          </cell>
          <cell r="D240" t="str">
            <v>Ibrahim Ali ElAshwah</v>
          </cell>
          <cell r="E240" t="str">
            <v>Ibrahim Ammar</v>
          </cell>
          <cell r="F240" t="str">
            <v>General Line</v>
          </cell>
          <cell r="G240" t="str">
            <v>Rep1056</v>
          </cell>
          <cell r="H240" t="str">
            <v>MR</v>
          </cell>
          <cell r="I240" t="str">
            <v>Alex</v>
          </cell>
          <cell r="J240">
            <v>1063231677</v>
          </cell>
          <cell r="K240">
            <v>46025</v>
          </cell>
        </row>
        <row r="240">
          <cell r="M240">
            <v>1829</v>
          </cell>
          <cell r="N240" t="str">
            <v>Damanhour</v>
          </cell>
        </row>
        <row r="241">
          <cell r="A241">
            <v>1703</v>
          </cell>
          <cell r="B241" t="str">
            <v>Osama Mohamed Beais</v>
          </cell>
          <cell r="C241" t="str">
            <v>Nader Elsayed Mahmoud</v>
          </cell>
          <cell r="D241" t="str">
            <v>Ibrahim Ali ElAshwah</v>
          </cell>
          <cell r="E241" t="str">
            <v>Ibrahim Ammar</v>
          </cell>
          <cell r="F241" t="str">
            <v>General Line</v>
          </cell>
          <cell r="G241" t="str">
            <v>Rep1023</v>
          </cell>
          <cell r="H241" t="str">
            <v>MR</v>
          </cell>
          <cell r="I241" t="str">
            <v>Alex</v>
          </cell>
          <cell r="J241">
            <v>1018162025</v>
          </cell>
          <cell r="K241">
            <v>45844</v>
          </cell>
        </row>
        <row r="241">
          <cell r="M241">
            <v>1703</v>
          </cell>
          <cell r="N241" t="str">
            <v>Damanhour</v>
          </cell>
        </row>
        <row r="242">
          <cell r="A242">
            <v>1532</v>
          </cell>
          <cell r="B242" t="str">
            <v>Shimaa Gamal Rizk</v>
          </cell>
          <cell r="C242" t="str">
            <v>Nader Elsayed Mahmoud</v>
          </cell>
          <cell r="D242" t="str">
            <v>Ibrahim Ali ElAshwah</v>
          </cell>
          <cell r="E242" t="str">
            <v>Ibrahim Ammar</v>
          </cell>
          <cell r="F242" t="str">
            <v>General Line</v>
          </cell>
          <cell r="G242" t="str">
            <v>AVR_35</v>
          </cell>
          <cell r="H242" t="str">
            <v>MR</v>
          </cell>
          <cell r="I242" t="str">
            <v>Alex</v>
          </cell>
          <cell r="J242">
            <v>1207226923</v>
          </cell>
          <cell r="K242">
            <v>45696</v>
          </cell>
        </row>
        <row r="242">
          <cell r="M242">
            <v>1532</v>
          </cell>
          <cell r="N242" t="str">
            <v>Kafr El Dawar</v>
          </cell>
        </row>
        <row r="243">
          <cell r="A243">
            <v>784</v>
          </cell>
          <cell r="B243" t="str">
            <v>Rahma Mohamed Shehata</v>
          </cell>
        </row>
        <row r="243">
          <cell r="D243" t="str">
            <v>Ibrahim Ali ElAshwah</v>
          </cell>
          <cell r="E243" t="str">
            <v>Ibrahim Ammar</v>
          </cell>
          <cell r="F243" t="str">
            <v>General Line</v>
          </cell>
          <cell r="G243" t="str">
            <v>DM0397</v>
          </cell>
          <cell r="H243" t="str">
            <v>DM</v>
          </cell>
          <cell r="I243" t="str">
            <v>Alex</v>
          </cell>
          <cell r="J243">
            <v>1022162779</v>
          </cell>
          <cell r="K243">
            <v>44348</v>
          </cell>
          <cell r="L243" t="str">
            <v>Rahma.Mohamed.Shehata@averroes-eg.com</v>
          </cell>
          <cell r="M243">
            <v>784</v>
          </cell>
          <cell r="N243" t="str">
            <v>Moharam Bek</v>
          </cell>
        </row>
        <row r="244">
          <cell r="A244">
            <v>1388</v>
          </cell>
          <cell r="B244" t="str">
            <v>Clara Atef Fahmy</v>
          </cell>
          <cell r="C244" t="str">
            <v>Rahma Mohamed Shehata</v>
          </cell>
          <cell r="D244" t="str">
            <v>Ibrahim Ali ElAshwah</v>
          </cell>
          <cell r="E244" t="str">
            <v>Ibrahim Ammar</v>
          </cell>
          <cell r="F244" t="str">
            <v>General Line</v>
          </cell>
          <cell r="G244" t="str">
            <v>Rep049</v>
          </cell>
          <cell r="H244" t="str">
            <v>MR</v>
          </cell>
          <cell r="I244" t="str">
            <v>Alex</v>
          </cell>
          <cell r="J244">
            <v>1222357698</v>
          </cell>
          <cell r="K244">
            <v>45449</v>
          </cell>
        </row>
        <row r="244">
          <cell r="M244">
            <v>1388</v>
          </cell>
          <cell r="N244" t="str">
            <v>Sidi Beshr Kebly</v>
          </cell>
        </row>
        <row r="245">
          <cell r="A245">
            <v>1542</v>
          </cell>
          <cell r="B245" t="str">
            <v>Fatma Ahmed Ali AbuZaid</v>
          </cell>
          <cell r="C245" t="str">
            <v>Rahma Mohamed Shehata</v>
          </cell>
          <cell r="D245" t="str">
            <v>Ibrahim Ali ElAshwah</v>
          </cell>
          <cell r="E245" t="str">
            <v>Ibrahim Ammar</v>
          </cell>
          <cell r="F245" t="str">
            <v>General Line</v>
          </cell>
          <cell r="G245" t="str">
            <v>AVR_49</v>
          </cell>
          <cell r="H245" t="str">
            <v>MR</v>
          </cell>
          <cell r="I245" t="str">
            <v>Alex</v>
          </cell>
          <cell r="J245">
            <v>1278461301</v>
          </cell>
          <cell r="K245">
            <v>45703</v>
          </cell>
        </row>
        <row r="245">
          <cell r="M245">
            <v>1542</v>
          </cell>
          <cell r="N245" t="str">
            <v> Abo Talaat</v>
          </cell>
        </row>
        <row r="246">
          <cell r="A246">
            <v>1840</v>
          </cell>
          <cell r="B246" t="str">
            <v>Yara Osama Hashad</v>
          </cell>
          <cell r="C246" t="str">
            <v>Rahma Mohamed Shehata</v>
          </cell>
          <cell r="D246" t="str">
            <v>Ibrahim Ali ElAshwah</v>
          </cell>
          <cell r="E246" t="str">
            <v>Ibrahim Ammar</v>
          </cell>
          <cell r="F246" t="str">
            <v>General Line</v>
          </cell>
          <cell r="G246" t="str">
            <v>Rep_00138</v>
          </cell>
          <cell r="H246" t="str">
            <v>MR</v>
          </cell>
          <cell r="I246" t="str">
            <v>Alex</v>
          </cell>
          <cell r="J246">
            <v>1063409352</v>
          </cell>
          <cell r="K246">
            <v>46042</v>
          </cell>
        </row>
        <row r="246">
          <cell r="M246">
            <v>1840</v>
          </cell>
          <cell r="N246" t="str">
            <v>Sidi Beshr Kebly</v>
          </cell>
        </row>
        <row r="247">
          <cell r="A247">
            <v>1832</v>
          </cell>
          <cell r="B247" t="str">
            <v>Sherif Kamal Eldin Saber</v>
          </cell>
          <cell r="C247" t="str">
            <v>Rahma Mohamed Shehata</v>
          </cell>
          <cell r="D247" t="str">
            <v>Ibrahim Ali ElAshwah</v>
          </cell>
          <cell r="E247" t="str">
            <v>Ibrahim Ammar</v>
          </cell>
          <cell r="F247" t="str">
            <v>General Line</v>
          </cell>
          <cell r="G247" t="str">
            <v>Rep1057</v>
          </cell>
          <cell r="H247" t="str">
            <v>MR</v>
          </cell>
          <cell r="I247" t="str">
            <v>Alex</v>
          </cell>
          <cell r="J247">
            <v>1205032441</v>
          </cell>
          <cell r="K247">
            <v>46025</v>
          </cell>
        </row>
        <row r="247">
          <cell r="M247">
            <v>1832</v>
          </cell>
          <cell r="N247" t="str">
            <v>El Hadra El Gededa</v>
          </cell>
        </row>
        <row r="248">
          <cell r="A248">
            <v>1038</v>
          </cell>
          <cell r="B248" t="str">
            <v>Esraa Hassan Ibrahim</v>
          </cell>
        </row>
        <row r="248">
          <cell r="D248" t="str">
            <v>Ibrahim Ali ElAshwah</v>
          </cell>
          <cell r="E248" t="str">
            <v>Ibrahim Ammar</v>
          </cell>
          <cell r="F248" t="str">
            <v>GI Line</v>
          </cell>
          <cell r="G248" t="str">
            <v>Rep569</v>
          </cell>
          <cell r="H248" t="str">
            <v>DM</v>
          </cell>
          <cell r="I248" t="str">
            <v>Alex</v>
          </cell>
          <cell r="J248" t="str">
            <v> 01001255198</v>
          </cell>
          <cell r="K248">
            <v>44927</v>
          </cell>
        </row>
        <row r="248">
          <cell r="M248">
            <v>1038</v>
          </cell>
          <cell r="N248" t="str">
            <v>El Mahala El Kobra</v>
          </cell>
        </row>
        <row r="249">
          <cell r="A249">
            <v>1533</v>
          </cell>
          <cell r="B249" t="str">
            <v>Eman Tarek Ramadan</v>
          </cell>
          <cell r="C249" t="str">
            <v>Esraa Hassan Ibrahim</v>
          </cell>
          <cell r="D249" t="str">
            <v>Ibrahim Ali ElAshwah</v>
          </cell>
          <cell r="E249" t="str">
            <v>Ibrahim Ammar</v>
          </cell>
          <cell r="F249" t="str">
            <v>GI Line</v>
          </cell>
          <cell r="G249" t="str">
            <v>AVR_36</v>
          </cell>
          <cell r="H249" t="str">
            <v>MR</v>
          </cell>
          <cell r="I249" t="str">
            <v>Delta</v>
          </cell>
          <cell r="J249">
            <v>1276158599</v>
          </cell>
          <cell r="K249">
            <v>45696</v>
          </cell>
        </row>
        <row r="249">
          <cell r="M249">
            <v>1533</v>
          </cell>
          <cell r="N249" t="str">
            <v>Shebien El Kom</v>
          </cell>
        </row>
        <row r="250">
          <cell r="A250">
            <v>956</v>
          </cell>
          <cell r="B250" t="str">
            <v>Fatma El-Zahraa Mahmoud Osman Khalaf</v>
          </cell>
          <cell r="C250" t="str">
            <v>Esraa Hassan Ibrahim</v>
          </cell>
          <cell r="D250" t="str">
            <v>Ibrahim Ali ElAshwah</v>
          </cell>
          <cell r="E250" t="str">
            <v>Ibrahim Ammar</v>
          </cell>
          <cell r="F250" t="str">
            <v>GI Line</v>
          </cell>
          <cell r="G250" t="str">
            <v>Rep108</v>
          </cell>
          <cell r="H250" t="str">
            <v>MR</v>
          </cell>
          <cell r="I250" t="str">
            <v>Delta</v>
          </cell>
          <cell r="J250">
            <v>1096781188</v>
          </cell>
          <cell r="K250">
            <v>44625</v>
          </cell>
        </row>
        <row r="250">
          <cell r="M250">
            <v>956</v>
          </cell>
          <cell r="N250" t="str">
            <v>El Sanata</v>
          </cell>
        </row>
        <row r="251">
          <cell r="A251">
            <v>1485</v>
          </cell>
          <cell r="B251" t="str">
            <v>Jala Zozo Mahrous</v>
          </cell>
          <cell r="C251" t="str">
            <v>Esraa Hassan Ibrahim</v>
          </cell>
          <cell r="D251" t="str">
            <v>Ibrahim Ali ElAshwah</v>
          </cell>
          <cell r="E251" t="str">
            <v>Ibrahim Ammar</v>
          </cell>
          <cell r="F251" t="str">
            <v>GI Line</v>
          </cell>
          <cell r="G251" t="str">
            <v>Rep100087</v>
          </cell>
          <cell r="H251" t="str">
            <v>MR</v>
          </cell>
          <cell r="I251" t="str">
            <v>Delta</v>
          </cell>
          <cell r="J251">
            <v>1552197356</v>
          </cell>
          <cell r="K251">
            <v>45658</v>
          </cell>
        </row>
        <row r="251">
          <cell r="M251">
            <v>1485</v>
          </cell>
        </row>
        <row r="252">
          <cell r="A252">
            <v>1866</v>
          </cell>
          <cell r="B252" t="str">
            <v>Toqa Assem Abohashem</v>
          </cell>
          <cell r="C252" t="str">
            <v>Esraa Hassan Ibrahim</v>
          </cell>
          <cell r="D252" t="str">
            <v>Ibrahim Ali ElAshwah</v>
          </cell>
          <cell r="E252" t="str">
            <v>Ibrahim Ammar</v>
          </cell>
          <cell r="F252" t="str">
            <v>GI Line</v>
          </cell>
          <cell r="G252" t="str">
            <v>Rep1042</v>
          </cell>
          <cell r="H252" t="str">
            <v>MR</v>
          </cell>
          <cell r="I252" t="str">
            <v>Delta</v>
          </cell>
          <cell r="J252">
            <v>1108669897</v>
          </cell>
          <cell r="K252">
            <v>46061</v>
          </cell>
        </row>
        <row r="252">
          <cell r="M252">
            <v>1866</v>
          </cell>
          <cell r="N252" t="str">
            <v>Shebien El Kom</v>
          </cell>
        </row>
        <row r="253">
          <cell r="A253">
            <v>1011</v>
          </cell>
          <cell r="B253" t="str">
            <v>Mai Osman AbdElHay</v>
          </cell>
          <cell r="C253" t="str">
            <v>Esraa Hassan Ibrahim</v>
          </cell>
          <cell r="D253" t="str">
            <v>Ibrahim Ali ElAshwah</v>
          </cell>
          <cell r="E253" t="str">
            <v>Ibrahim Ammar</v>
          </cell>
          <cell r="F253" t="str">
            <v>GI Line</v>
          </cell>
          <cell r="G253" t="str">
            <v>Rep454</v>
          </cell>
          <cell r="H253" t="str">
            <v>MR</v>
          </cell>
          <cell r="I253" t="str">
            <v>Delta</v>
          </cell>
          <cell r="J253">
            <v>1033948887</v>
          </cell>
          <cell r="K253">
            <v>44851</v>
          </cell>
        </row>
        <row r="253">
          <cell r="M253">
            <v>1011</v>
          </cell>
          <cell r="N253" t="str">
            <v>El Mahala El Kobra</v>
          </cell>
        </row>
        <row r="254">
          <cell r="A254">
            <v>1701</v>
          </cell>
          <cell r="B254" t="str">
            <v>Mostafa Emad AboTalep</v>
          </cell>
          <cell r="C254" t="str">
            <v>Esraa Hassan Ibrahim</v>
          </cell>
          <cell r="D254" t="str">
            <v>Ibrahim Ali ElAshwah</v>
          </cell>
          <cell r="E254" t="str">
            <v>Ibrahim Ammar</v>
          </cell>
          <cell r="F254" t="str">
            <v>GI Line</v>
          </cell>
          <cell r="G254" t="str">
            <v>Rep1021</v>
          </cell>
          <cell r="H254" t="str">
            <v>MR</v>
          </cell>
          <cell r="I254" t="str">
            <v>Delta</v>
          </cell>
          <cell r="J254">
            <v>1070859552</v>
          </cell>
          <cell r="K254">
            <v>45822</v>
          </cell>
        </row>
        <row r="254">
          <cell r="M254">
            <v>1701</v>
          </cell>
          <cell r="N254" t="str">
            <v>Menof</v>
          </cell>
        </row>
        <row r="255">
          <cell r="A255">
            <v>1538</v>
          </cell>
          <cell r="B255" t="str">
            <v>Nada ZainElAbdeen Ahmed</v>
          </cell>
          <cell r="C255" t="str">
            <v>Esraa Hassan Ibrahim</v>
          </cell>
          <cell r="D255" t="str">
            <v>Ibrahim Ali ElAshwah</v>
          </cell>
          <cell r="E255" t="str">
            <v>Ibrahim Ammar</v>
          </cell>
          <cell r="F255" t="str">
            <v>GI Line</v>
          </cell>
          <cell r="G255" t="str">
            <v>AVR_46</v>
          </cell>
          <cell r="H255" t="str">
            <v>MR</v>
          </cell>
          <cell r="I255" t="str">
            <v>Delta</v>
          </cell>
          <cell r="J255">
            <v>1205425576</v>
          </cell>
          <cell r="K255">
            <v>45697</v>
          </cell>
        </row>
        <row r="255">
          <cell r="M255">
            <v>1538</v>
          </cell>
          <cell r="N255" t="str">
            <v>Tanta City</v>
          </cell>
        </row>
        <row r="256">
          <cell r="A256">
            <v>280</v>
          </cell>
          <cell r="B256" t="str">
            <v>Kyrollos Naguib Fakhry</v>
          </cell>
        </row>
        <row r="256">
          <cell r="D256" t="str">
            <v>Ibrahim Ali ElAshwah</v>
          </cell>
          <cell r="E256" t="str">
            <v>Ibrahim Ammar</v>
          </cell>
          <cell r="F256" t="str">
            <v>GI Line</v>
          </cell>
          <cell r="G256" t="str">
            <v>DM_18</v>
          </cell>
          <cell r="H256" t="str">
            <v>DM</v>
          </cell>
          <cell r="I256" t="str">
            <v>Alex</v>
          </cell>
          <cell r="J256" t="str">
            <v> 01273889796</v>
          </cell>
          <cell r="K256">
            <v>43202</v>
          </cell>
          <cell r="L256" t="str">
            <v>kerelis.naguib@averroes-eg.com</v>
          </cell>
          <cell r="M256">
            <v>280</v>
          </cell>
          <cell r="N256" t="str">
            <v>Moharam Bek</v>
          </cell>
        </row>
        <row r="257">
          <cell r="A257">
            <v>1421</v>
          </cell>
          <cell r="B257" t="str">
            <v>AbdElRahman Mohamed Ghanem</v>
          </cell>
          <cell r="C257" t="str">
            <v>Kyrollos Naguib Fakhry</v>
          </cell>
          <cell r="D257" t="str">
            <v>Ibrahim Ali ElAshwah</v>
          </cell>
          <cell r="E257" t="str">
            <v>Ibrahim Ammar</v>
          </cell>
          <cell r="F257" t="str">
            <v>GI Line</v>
          </cell>
          <cell r="G257" t="str">
            <v>Rep100031</v>
          </cell>
          <cell r="H257" t="str">
            <v>MR</v>
          </cell>
          <cell r="I257" t="str">
            <v>Alex</v>
          </cell>
          <cell r="J257">
            <v>1061838590</v>
          </cell>
          <cell r="K257">
            <v>45512</v>
          </cell>
        </row>
        <row r="257">
          <cell r="M257">
            <v>1421</v>
          </cell>
          <cell r="N257" t="str">
            <v>El Falaky (Alex)</v>
          </cell>
        </row>
        <row r="258">
          <cell r="A258">
            <v>1403</v>
          </cell>
          <cell r="B258" t="str">
            <v>Ahmed Wael ElSayed ElGohary</v>
          </cell>
          <cell r="C258" t="str">
            <v>Kyrollos Naguib Fakhry</v>
          </cell>
          <cell r="D258" t="str">
            <v>Ibrahim Ali ElAshwah</v>
          </cell>
          <cell r="E258" t="str">
            <v>Ibrahim Ammar</v>
          </cell>
          <cell r="F258" t="str">
            <v>GI Line</v>
          </cell>
          <cell r="G258" t="str">
            <v>Rep10008</v>
          </cell>
          <cell r="H258" t="str">
            <v>MR</v>
          </cell>
          <cell r="I258" t="str">
            <v>Alex</v>
          </cell>
          <cell r="J258">
            <v>1551375572</v>
          </cell>
          <cell r="K258">
            <v>45474</v>
          </cell>
        </row>
        <row r="258">
          <cell r="M258">
            <v>1403</v>
          </cell>
          <cell r="N258" t="str">
            <v>Moharam Bek</v>
          </cell>
        </row>
        <row r="259">
          <cell r="A259">
            <v>1057</v>
          </cell>
          <cell r="B259" t="str">
            <v>Aya Mohamed ElSayed</v>
          </cell>
          <cell r="C259" t="str">
            <v>Kyrollos Naguib Fakhry</v>
          </cell>
          <cell r="D259" t="str">
            <v>Ibrahim Ali ElAshwah</v>
          </cell>
          <cell r="E259" t="str">
            <v>Ibrahim Ammar</v>
          </cell>
          <cell r="F259" t="str">
            <v>GI Line</v>
          </cell>
          <cell r="G259" t="str">
            <v>Rep591</v>
          </cell>
          <cell r="H259" t="str">
            <v>MR</v>
          </cell>
          <cell r="I259" t="str">
            <v>Alex</v>
          </cell>
          <cell r="J259" t="str">
            <v> 01111760452</v>
          </cell>
          <cell r="K259">
            <v>44933</v>
          </cell>
        </row>
        <row r="259">
          <cell r="M259">
            <v>1057</v>
          </cell>
          <cell r="N259" t="str">
            <v>Karmous - Kom El Shoafa</v>
          </cell>
        </row>
        <row r="260">
          <cell r="A260">
            <v>1579</v>
          </cell>
          <cell r="B260" t="str">
            <v>Salma Essam Abdo Ali</v>
          </cell>
          <cell r="C260" t="str">
            <v>Kyrollos Naguib Fakhry</v>
          </cell>
          <cell r="D260" t="str">
            <v>Ibrahim Ali ElAshwah</v>
          </cell>
          <cell r="E260" t="str">
            <v>Ibrahim Ammar</v>
          </cell>
          <cell r="F260" t="str">
            <v>GI Line</v>
          </cell>
          <cell r="G260" t="str">
            <v>Rep10058</v>
          </cell>
          <cell r="H260" t="str">
            <v>MR</v>
          </cell>
          <cell r="I260" t="str">
            <v>Alex</v>
          </cell>
          <cell r="J260">
            <v>1000983428</v>
          </cell>
          <cell r="K260">
            <v>45720</v>
          </cell>
        </row>
        <row r="260">
          <cell r="M260">
            <v>1579</v>
          </cell>
          <cell r="N260" t="str">
            <v>Baccos - El Raml El Meery</v>
          </cell>
        </row>
        <row r="261">
          <cell r="A261">
            <v>1540</v>
          </cell>
          <cell r="B261" t="str">
            <v>Ziad HossamElDin Khalil</v>
          </cell>
          <cell r="C261" t="str">
            <v>Kyrollos Naguib Fakhry</v>
          </cell>
          <cell r="D261" t="str">
            <v>Ibrahim Ali ElAshwah</v>
          </cell>
          <cell r="E261" t="str">
            <v>Ibrahim Ammar</v>
          </cell>
          <cell r="F261" t="str">
            <v>GI Line</v>
          </cell>
          <cell r="G261" t="str">
            <v>AVR_48</v>
          </cell>
          <cell r="H261" t="str">
            <v>MR</v>
          </cell>
          <cell r="I261" t="str">
            <v>Alex</v>
          </cell>
          <cell r="J261">
            <v>1025704989</v>
          </cell>
          <cell r="K261">
            <v>45699</v>
          </cell>
        </row>
        <row r="261">
          <cell r="M261">
            <v>1540</v>
          </cell>
          <cell r="N261" t="str">
            <v>El Laban</v>
          </cell>
        </row>
        <row r="262">
          <cell r="A262">
            <v>1316</v>
          </cell>
          <cell r="B262" t="str">
            <v>Salma ElSayed Khater</v>
          </cell>
        </row>
        <row r="262">
          <cell r="D262" t="str">
            <v>Ibrahim Ali ElAshwah</v>
          </cell>
          <cell r="E262" t="str">
            <v>Ibrahim Ammar</v>
          </cell>
          <cell r="F262" t="str">
            <v>GI Line</v>
          </cell>
          <cell r="G262" t="str">
            <v>DM_134</v>
          </cell>
          <cell r="H262" t="str">
            <v>DM</v>
          </cell>
          <cell r="I262" t="str">
            <v>Alex</v>
          </cell>
          <cell r="J262">
            <v>1020097433</v>
          </cell>
          <cell r="K262">
            <v>45269</v>
          </cell>
          <cell r="L262" t="str">
            <v>Salma.Khater@averroes-eg.com</v>
          </cell>
          <cell r="M262">
            <v>1316</v>
          </cell>
          <cell r="N262" t="str">
            <v>Shoubra (Damanhour)</v>
          </cell>
        </row>
        <row r="263">
          <cell r="A263">
            <v>1045</v>
          </cell>
          <cell r="B263" t="str">
            <v>Amr Ahmed Saied</v>
          </cell>
          <cell r="C263" t="str">
            <v>Salma ElSayed Khater</v>
          </cell>
          <cell r="D263" t="str">
            <v>Ibrahim Ali ElAshwah</v>
          </cell>
          <cell r="E263" t="str">
            <v>Ibrahim Ammar</v>
          </cell>
          <cell r="F263" t="str">
            <v>GI Line</v>
          </cell>
          <cell r="G263" t="str">
            <v>Rep526</v>
          </cell>
          <cell r="H263" t="str">
            <v>MR</v>
          </cell>
          <cell r="I263" t="str">
            <v>Alex</v>
          </cell>
          <cell r="J263" t="str">
            <v> 01006833645</v>
          </cell>
          <cell r="K263">
            <v>44933</v>
          </cell>
        </row>
        <row r="263">
          <cell r="M263">
            <v>1045</v>
          </cell>
          <cell r="N263" t="str">
            <v>Fowa</v>
          </cell>
        </row>
        <row r="264">
          <cell r="A264">
            <v>1763</v>
          </cell>
          <cell r="B264" t="str">
            <v>Eman Hasan Abdelrehim</v>
          </cell>
          <cell r="C264" t="str">
            <v>Salma ElSayed Khater</v>
          </cell>
          <cell r="D264" t="str">
            <v>Ibrahim Ali ElAshwah</v>
          </cell>
          <cell r="E264" t="str">
            <v>Ibrahim Ammar</v>
          </cell>
          <cell r="F264" t="str">
            <v>GI Line</v>
          </cell>
          <cell r="G264" t="str">
            <v>rep000021</v>
          </cell>
          <cell r="H264" t="str">
            <v>MR</v>
          </cell>
          <cell r="I264" t="str">
            <v>Alex</v>
          </cell>
          <cell r="J264">
            <v>1559667224</v>
          </cell>
          <cell r="K264">
            <v>45934</v>
          </cell>
        </row>
        <row r="264">
          <cell r="M264">
            <v>1763</v>
          </cell>
          <cell r="N264" t="str">
            <v>Damanhour</v>
          </cell>
        </row>
        <row r="265">
          <cell r="A265">
            <v>1855</v>
          </cell>
          <cell r="B265" t="str">
            <v>Salah Ayman Kotb</v>
          </cell>
          <cell r="C265" t="str">
            <v>Salma ElSayed Khater</v>
          </cell>
          <cell r="D265" t="str">
            <v>Ibrahim Ali ElAshwah</v>
          </cell>
          <cell r="E265" t="str">
            <v>Ibrahim Ammar</v>
          </cell>
          <cell r="F265" t="str">
            <v>GI Line</v>
          </cell>
          <cell r="G265" t="str">
            <v>Rep402</v>
          </cell>
          <cell r="H265" t="str">
            <v>MR</v>
          </cell>
          <cell r="I265" t="str">
            <v>Alex</v>
          </cell>
          <cell r="J265">
            <v>1024347610</v>
          </cell>
          <cell r="K265">
            <v>46061</v>
          </cell>
        </row>
        <row r="265">
          <cell r="M265">
            <v>1855</v>
          </cell>
          <cell r="N265" t="str">
            <v>Kafr El Shiekh</v>
          </cell>
        </row>
        <row r="266">
          <cell r="A266">
            <v>1857</v>
          </cell>
          <cell r="B266" t="str">
            <v>Shimaa Ragab Kamal</v>
          </cell>
          <cell r="C266" t="str">
            <v>Salma ElSayed Khater</v>
          </cell>
          <cell r="D266" t="str">
            <v>Ibrahim Ali ElAshwah</v>
          </cell>
          <cell r="E266" t="str">
            <v>Ibrahim Ammar</v>
          </cell>
          <cell r="F266" t="str">
            <v>GI Line</v>
          </cell>
          <cell r="G266" t="str">
            <v>Rep1059</v>
          </cell>
          <cell r="H266" t="str">
            <v>MR</v>
          </cell>
          <cell r="I266" t="str">
            <v>Alex</v>
          </cell>
          <cell r="J266">
            <v>1027642585</v>
          </cell>
          <cell r="K266">
            <v>46061</v>
          </cell>
        </row>
        <row r="266">
          <cell r="M266">
            <v>1857</v>
          </cell>
          <cell r="N266" t="str">
            <v>Etay El Baroud</v>
          </cell>
        </row>
        <row r="267">
          <cell r="A267">
            <v>1047</v>
          </cell>
          <cell r="B267" t="str">
            <v>Mohamed Ibrahim Hassan</v>
          </cell>
          <cell r="C267" t="str">
            <v>Salma ElSayed Khater</v>
          </cell>
          <cell r="D267" t="str">
            <v>Ibrahim Ali ElAshwah</v>
          </cell>
          <cell r="E267" t="str">
            <v>Ibrahim Ammar</v>
          </cell>
          <cell r="F267" t="str">
            <v>GI Line</v>
          </cell>
          <cell r="G267" t="str">
            <v>Rep578</v>
          </cell>
          <cell r="H267" t="str">
            <v>MR</v>
          </cell>
          <cell r="I267" t="str">
            <v>Alex</v>
          </cell>
          <cell r="J267" t="str">
            <v> 01009537103</v>
          </cell>
          <cell r="K267">
            <v>44933</v>
          </cell>
        </row>
        <row r="267">
          <cell r="M267">
            <v>1047</v>
          </cell>
          <cell r="N267" t="str">
            <v>Shoubra (Damanhour)</v>
          </cell>
        </row>
        <row r="268">
          <cell r="A268">
            <v>952</v>
          </cell>
          <cell r="B268" t="str">
            <v>Shimaa Mohamed Aboelsoad</v>
          </cell>
          <cell r="C268" t="str">
            <v>Salma ElSayed Khater</v>
          </cell>
          <cell r="D268" t="str">
            <v>Ibrahim Ali ElAshwah</v>
          </cell>
          <cell r="E268" t="str">
            <v>Ibrahim Ammar</v>
          </cell>
          <cell r="F268" t="str">
            <v>GI Line</v>
          </cell>
          <cell r="G268" t="str">
            <v>Rep176</v>
          </cell>
          <cell r="H268" t="str">
            <v>MR</v>
          </cell>
          <cell r="I268" t="str">
            <v>Alex</v>
          </cell>
          <cell r="J268">
            <v>1027591843</v>
          </cell>
          <cell r="K268">
            <v>44622</v>
          </cell>
        </row>
        <row r="268">
          <cell r="M268">
            <v>952</v>
          </cell>
          <cell r="N268" t="str">
            <v>Kafr El Shiekh</v>
          </cell>
        </row>
        <row r="269">
          <cell r="A269">
            <v>999</v>
          </cell>
          <cell r="B269" t="str">
            <v>Habib Nady Habib</v>
          </cell>
        </row>
        <row r="269">
          <cell r="E269" t="str">
            <v>Ibrahim Ammar</v>
          </cell>
          <cell r="F269" t="str">
            <v>General Line &amp; GI Line</v>
          </cell>
          <cell r="G269" t="str">
            <v>DM_77</v>
          </cell>
          <cell r="H269" t="str">
            <v>AM</v>
          </cell>
          <cell r="I269" t="str">
            <v>Upper Egypt</v>
          </cell>
          <cell r="J269" t="str">
            <v> 01228361150</v>
          </cell>
          <cell r="K269">
            <v>44819</v>
          </cell>
          <cell r="L269" t="str">
            <v>Habib.Nady.Habib@averroes-eg.com</v>
          </cell>
          <cell r="M269">
            <v>999</v>
          </cell>
          <cell r="N269" t="str">
            <v>Malawy</v>
          </cell>
        </row>
        <row r="270">
          <cell r="A270">
            <v>617</v>
          </cell>
          <cell r="B270" t="str">
            <v>Ahmed Gaber Abdelhamid</v>
          </cell>
        </row>
        <row r="270">
          <cell r="D270" t="str">
            <v>Habib Nady Habib</v>
          </cell>
          <cell r="E270" t="str">
            <v>Ibrahim Ammar</v>
          </cell>
          <cell r="F270" t="str">
            <v>General Line</v>
          </cell>
          <cell r="G270" t="str">
            <v>Rep323</v>
          </cell>
          <cell r="H270" t="str">
            <v>DM</v>
          </cell>
          <cell r="I270" t="str">
            <v>Upper Egypt</v>
          </cell>
          <cell r="J270" t="str">
            <v> 1050111554</v>
          </cell>
          <cell r="K270">
            <v>43876</v>
          </cell>
          <cell r="L270" t="str">
            <v>Ahmed.Gaber.Abdelhamid@averroes-eg.com</v>
          </cell>
          <cell r="M270">
            <v>617</v>
          </cell>
          <cell r="N270" t="str">
            <v>Sohag City</v>
          </cell>
        </row>
        <row r="271">
          <cell r="A271">
            <v>1431</v>
          </cell>
          <cell r="B271" t="str">
            <v>Aya AbdElLateef Ghazaly</v>
          </cell>
          <cell r="C271" t="str">
            <v>Ahmed Gaber Abdelhamid</v>
          </cell>
          <cell r="D271" t="str">
            <v>Habib Nady Habib</v>
          </cell>
          <cell r="E271" t="str">
            <v>Ibrahim Ammar</v>
          </cell>
          <cell r="F271" t="str">
            <v>General Line</v>
          </cell>
          <cell r="G271" t="str">
            <v>Rep0060</v>
          </cell>
          <cell r="H271" t="str">
            <v>MR</v>
          </cell>
          <cell r="I271" t="str">
            <v>Upper Egypt</v>
          </cell>
          <cell r="J271">
            <v>1018125725</v>
          </cell>
          <cell r="K271">
            <v>45519</v>
          </cell>
        </row>
        <row r="271">
          <cell r="M271">
            <v>1431</v>
          </cell>
          <cell r="N271" t="str">
            <v>Aswan City</v>
          </cell>
        </row>
        <row r="272">
          <cell r="A272">
            <v>1851</v>
          </cell>
          <cell r="B272" t="str">
            <v>Youstina Magdy Hezkial</v>
          </cell>
          <cell r="C272" t="str">
            <v>Ahmed Gaber Abdelhamid</v>
          </cell>
          <cell r="D272" t="str">
            <v>Habib Nady Habib</v>
          </cell>
          <cell r="E272" t="str">
            <v>Ibrahim Ammar</v>
          </cell>
          <cell r="F272" t="str">
            <v>General Line</v>
          </cell>
          <cell r="G272" t="str">
            <v>Rep0038</v>
          </cell>
          <cell r="H272" t="str">
            <v>MR</v>
          </cell>
          <cell r="I272" t="str">
            <v>Upper Egypt</v>
          </cell>
          <cell r="J272">
            <v>1220078016</v>
          </cell>
          <cell r="K272">
            <v>46054</v>
          </cell>
        </row>
        <row r="272">
          <cell r="M272">
            <v>1851</v>
          </cell>
          <cell r="N272" t="str">
            <v>Sohag City</v>
          </cell>
        </row>
        <row r="273">
          <cell r="A273">
            <v>1026</v>
          </cell>
          <cell r="B273" t="str">
            <v>Maha Magdy Saber Rezk</v>
          </cell>
          <cell r="C273" t="str">
            <v>Ahmed Gaber Abdelhamid</v>
          </cell>
          <cell r="D273" t="str">
            <v>Habib Nady Habib</v>
          </cell>
          <cell r="E273" t="str">
            <v>Ibrahim Ammar</v>
          </cell>
          <cell r="F273" t="str">
            <v>General Line</v>
          </cell>
          <cell r="G273" t="str">
            <v>Rep513</v>
          </cell>
          <cell r="H273" t="str">
            <v>MR</v>
          </cell>
          <cell r="I273" t="str">
            <v>Upper Egypt</v>
          </cell>
          <cell r="J273">
            <v>1098607150</v>
          </cell>
          <cell r="K273">
            <v>44880</v>
          </cell>
        </row>
        <row r="273">
          <cell r="M273">
            <v>1026</v>
          </cell>
          <cell r="N273" t="str">
            <v>Gerga</v>
          </cell>
        </row>
        <row r="274">
          <cell r="A274">
            <v>1581</v>
          </cell>
          <cell r="B274" t="str">
            <v>Mohamed Boughdady Mahmoud</v>
          </cell>
          <cell r="C274" t="str">
            <v>Ahmed Gaber Abdelhamid</v>
          </cell>
          <cell r="D274" t="str">
            <v>Habib Nady Habib</v>
          </cell>
          <cell r="E274" t="str">
            <v>Ibrahim Ammar</v>
          </cell>
          <cell r="F274" t="str">
            <v>General Line</v>
          </cell>
          <cell r="G274" t="str">
            <v>Rep10060</v>
          </cell>
          <cell r="H274" t="str">
            <v>MR</v>
          </cell>
          <cell r="I274" t="str">
            <v>Upper Egypt</v>
          </cell>
          <cell r="J274">
            <v>1152582958</v>
          </cell>
          <cell r="K274">
            <v>45724</v>
          </cell>
        </row>
        <row r="274">
          <cell r="M274">
            <v>1581</v>
          </cell>
          <cell r="N274" t="str">
            <v>Luxor City</v>
          </cell>
        </row>
        <row r="275">
          <cell r="A275">
            <v>1580</v>
          </cell>
          <cell r="B275" t="str">
            <v>Nahla Maghraby AbdElSalam</v>
          </cell>
          <cell r="C275" t="str">
            <v>Ahmed Gaber Abdelhamid</v>
          </cell>
          <cell r="D275" t="str">
            <v>Habib Nady Habib</v>
          </cell>
          <cell r="E275" t="str">
            <v>Ibrahim Ammar</v>
          </cell>
          <cell r="F275" t="str">
            <v>General Line</v>
          </cell>
          <cell r="G275" t="str">
            <v>Rep10059</v>
          </cell>
          <cell r="H275" t="str">
            <v>MR</v>
          </cell>
          <cell r="I275" t="str">
            <v>Upper Egypt</v>
          </cell>
          <cell r="J275">
            <v>1015177409</v>
          </cell>
          <cell r="K275">
            <v>45724</v>
          </cell>
        </row>
        <row r="275">
          <cell r="M275">
            <v>1580</v>
          </cell>
          <cell r="N275" t="str">
            <v>Quena City</v>
          </cell>
        </row>
        <row r="276">
          <cell r="A276">
            <v>1809</v>
          </cell>
          <cell r="B276" t="str">
            <v>Renad Khaled Mohamed</v>
          </cell>
          <cell r="C276" t="str">
            <v>Ahmed Gaber Abdelhamid</v>
          </cell>
          <cell r="D276" t="str">
            <v>Habib Nady Habib</v>
          </cell>
          <cell r="E276" t="str">
            <v>Ibrahim Ammar</v>
          </cell>
          <cell r="F276" t="str">
            <v>General Line</v>
          </cell>
          <cell r="G276" t="str">
            <v>Rep_00125</v>
          </cell>
          <cell r="H276" t="str">
            <v>MR</v>
          </cell>
          <cell r="I276" t="str">
            <v>Upper Egypt</v>
          </cell>
          <cell r="J276">
            <v>1065978606</v>
          </cell>
          <cell r="K276">
            <v>45997</v>
          </cell>
        </row>
        <row r="276">
          <cell r="M276">
            <v>1809</v>
          </cell>
          <cell r="N276" t="str">
            <v>Nagaa Hamady</v>
          </cell>
        </row>
        <row r="277">
          <cell r="A277">
            <v>1428</v>
          </cell>
          <cell r="B277" t="str">
            <v>Shimaa Atef Moussa</v>
          </cell>
          <cell r="C277" t="str">
            <v>Ahmed Gaber Abdelhamid</v>
          </cell>
          <cell r="D277" t="str">
            <v>Habib Nady Habib</v>
          </cell>
          <cell r="E277" t="str">
            <v>Ibrahim Ammar</v>
          </cell>
          <cell r="F277" t="str">
            <v>General Line</v>
          </cell>
          <cell r="G277" t="str">
            <v>Rep10018</v>
          </cell>
          <cell r="H277" t="str">
            <v>MR</v>
          </cell>
          <cell r="I277" t="str">
            <v>Upper Egypt</v>
          </cell>
          <cell r="J277">
            <v>1145077868</v>
          </cell>
          <cell r="K277">
            <v>45505</v>
          </cell>
        </row>
        <row r="277">
          <cell r="M277">
            <v>1428</v>
          </cell>
          <cell r="N277" t="str">
            <v>El Maragha</v>
          </cell>
        </row>
        <row r="278">
          <cell r="A278">
            <v>1585</v>
          </cell>
          <cell r="B278" t="str">
            <v>Mostafa Mahmoud Ali Elkady</v>
          </cell>
        </row>
        <row r="278">
          <cell r="D278" t="str">
            <v>Habib Nady Habib</v>
          </cell>
          <cell r="E278" t="str">
            <v>Ibrahim Ammar</v>
          </cell>
          <cell r="F278" t="str">
            <v>General Line</v>
          </cell>
          <cell r="G278" t="str">
            <v>DM0398</v>
          </cell>
          <cell r="H278" t="str">
            <v>DM</v>
          </cell>
          <cell r="I278" t="str">
            <v>Upper Egypt</v>
          </cell>
          <cell r="J278">
            <v>1062117440</v>
          </cell>
          <cell r="K278">
            <v>45719</v>
          </cell>
          <cell r="L278" t="str">
            <v>Mostafa.Mahmoud.Elkady@averroes-eg.com</v>
          </cell>
          <cell r="M278">
            <v>1585</v>
          </cell>
          <cell r="N278" t="str">
            <v>Assuit City</v>
          </cell>
        </row>
        <row r="279">
          <cell r="A279">
            <v>1584</v>
          </cell>
          <cell r="B279" t="str">
            <v>Alber Alfons Fayek</v>
          </cell>
          <cell r="C279" t="str">
            <v>Mostafa Mahmoud Ali Elkady</v>
          </cell>
          <cell r="D279" t="str">
            <v>Habib Nady Habib</v>
          </cell>
          <cell r="E279" t="str">
            <v>Ibrahim Ammar</v>
          </cell>
          <cell r="F279" t="str">
            <v>General Line</v>
          </cell>
          <cell r="G279" t="str">
            <v>Rep10061</v>
          </cell>
          <cell r="H279" t="str">
            <v>MR</v>
          </cell>
          <cell r="I279" t="str">
            <v>Upper Egypt</v>
          </cell>
          <cell r="J279">
            <v>1143134856</v>
          </cell>
          <cell r="K279">
            <v>45717</v>
          </cell>
        </row>
        <row r="279">
          <cell r="M279">
            <v>1584</v>
          </cell>
          <cell r="N279" t="str">
            <v>Assuit City</v>
          </cell>
        </row>
        <row r="280">
          <cell r="A280">
            <v>1042</v>
          </cell>
          <cell r="B280" t="str">
            <v>Alber Nabil Boshra</v>
          </cell>
          <cell r="C280" t="str">
            <v>Mostafa Mahmoud Ali Elkady</v>
          </cell>
          <cell r="D280" t="str">
            <v>Habib Nady Habib</v>
          </cell>
          <cell r="E280" t="str">
            <v>Ibrahim Ammar</v>
          </cell>
          <cell r="F280" t="str">
            <v>General Line</v>
          </cell>
          <cell r="G280" t="str">
            <v>Rep529</v>
          </cell>
          <cell r="H280" t="str">
            <v>MR</v>
          </cell>
          <cell r="I280" t="str">
            <v>Upper Egypt</v>
          </cell>
          <cell r="J280" t="str">
            <v> 01274256429</v>
          </cell>
          <cell r="K280">
            <v>44931</v>
          </cell>
        </row>
        <row r="280">
          <cell r="M280">
            <v>1042</v>
          </cell>
          <cell r="N280" t="str">
            <v>Dayrout</v>
          </cell>
        </row>
        <row r="281">
          <cell r="A281">
            <v>1864</v>
          </cell>
          <cell r="B281" t="str">
            <v>Yesmeen Kamal Hassan Mohamed</v>
          </cell>
          <cell r="C281" t="str">
            <v>Mostafa Mahmoud Ali Elkady</v>
          </cell>
          <cell r="D281" t="str">
            <v>Habib Nady Habib</v>
          </cell>
          <cell r="E281" t="str">
            <v>Ibrahim Ammar</v>
          </cell>
          <cell r="F281" t="str">
            <v>General Line</v>
          </cell>
          <cell r="G281" t="str">
            <v>Rep6105</v>
          </cell>
          <cell r="H281" t="str">
            <v>MR</v>
          </cell>
          <cell r="I281" t="str">
            <v>Upper Egypt</v>
          </cell>
          <cell r="J281">
            <v>1008352320</v>
          </cell>
          <cell r="K281">
            <v>46056</v>
          </cell>
        </row>
        <row r="281">
          <cell r="M281">
            <v>1864</v>
          </cell>
          <cell r="N281" t="str">
            <v>El Menia City</v>
          </cell>
        </row>
        <row r="282">
          <cell r="A282">
            <v>1475</v>
          </cell>
          <cell r="B282" t="str">
            <v>Nancy Naguib Nashed</v>
          </cell>
          <cell r="C282" t="str">
            <v>Mostafa Mahmoud Ali Elkady</v>
          </cell>
          <cell r="D282" t="str">
            <v>Habib Nady Habib</v>
          </cell>
          <cell r="E282" t="str">
            <v>Ibrahim Ammar</v>
          </cell>
          <cell r="F282" t="str">
            <v>General Line</v>
          </cell>
          <cell r="G282" t="str">
            <v>Rep100058</v>
          </cell>
          <cell r="H282" t="str">
            <v>MR</v>
          </cell>
          <cell r="I282" t="str">
            <v>Upper Egypt</v>
          </cell>
          <cell r="J282">
            <v>1552062824</v>
          </cell>
          <cell r="K282">
            <v>45640</v>
          </cell>
        </row>
        <row r="282">
          <cell r="M282">
            <v>1475</v>
          </cell>
          <cell r="N282" t="str">
            <v>Bani Mazar</v>
          </cell>
        </row>
        <row r="283">
          <cell r="A283">
            <v>1463</v>
          </cell>
          <cell r="B283" t="str">
            <v>Rehab Ramadan AboAlYamin</v>
          </cell>
          <cell r="C283" t="str">
            <v>Mostafa Mahmoud Ali Elkady</v>
          </cell>
          <cell r="D283" t="str">
            <v>Habib Nady Habib</v>
          </cell>
          <cell r="E283" t="str">
            <v>Ibrahim Ammar</v>
          </cell>
          <cell r="F283" t="str">
            <v>General Line</v>
          </cell>
          <cell r="G283" t="str">
            <v>Rep0072</v>
          </cell>
          <cell r="H283" t="str">
            <v>MR</v>
          </cell>
          <cell r="I283" t="str">
            <v>Upper Egypt</v>
          </cell>
          <cell r="J283">
            <v>1211720449</v>
          </cell>
          <cell r="K283">
            <v>45627</v>
          </cell>
        </row>
        <row r="283">
          <cell r="M283">
            <v>1463</v>
          </cell>
          <cell r="N283" t="str">
            <v>Abou Korkas</v>
          </cell>
        </row>
        <row r="284">
          <cell r="A284">
            <v>1224</v>
          </cell>
          <cell r="B284" t="str">
            <v>Mahmoud Sayed Ahmed Galal</v>
          </cell>
        </row>
        <row r="284">
          <cell r="D284" t="str">
            <v>Habib Nady Habib</v>
          </cell>
          <cell r="E284" t="str">
            <v>Ibrahim Ammar</v>
          </cell>
          <cell r="F284" t="str">
            <v>GI Line</v>
          </cell>
          <cell r="G284" t="str">
            <v>DM_118</v>
          </cell>
          <cell r="H284" t="str">
            <v>DM</v>
          </cell>
          <cell r="I284" t="str">
            <v>Upper Egypt</v>
          </cell>
          <cell r="J284">
            <v>1000613861</v>
          </cell>
          <cell r="K284">
            <v>45087</v>
          </cell>
          <cell r="L284" t="str">
            <v>Mahmoud.Sayed.Ahmed@averroes-eg.com</v>
          </cell>
          <cell r="M284">
            <v>1224</v>
          </cell>
          <cell r="N284" t="str">
            <v>Luxor City</v>
          </cell>
        </row>
        <row r="285">
          <cell r="A285">
            <v>1705</v>
          </cell>
          <cell r="B285" t="str">
            <v>Ahmed AbdelSattar Mohamed Ahmed</v>
          </cell>
          <cell r="C285" t="str">
            <v>Mahmoud Sayed Ahmed Galal</v>
          </cell>
          <cell r="D285" t="str">
            <v>Habib Nady Habib</v>
          </cell>
          <cell r="E285" t="str">
            <v>Ibrahim Ammar</v>
          </cell>
          <cell r="F285" t="str">
            <v>GI Line</v>
          </cell>
          <cell r="G285" t="str">
            <v>Rep1025</v>
          </cell>
          <cell r="H285" t="str">
            <v>MR</v>
          </cell>
          <cell r="I285" t="str">
            <v>Upper Egypt</v>
          </cell>
          <cell r="J285">
            <v>1098199449</v>
          </cell>
          <cell r="K285">
            <v>45843</v>
          </cell>
        </row>
        <row r="285">
          <cell r="M285">
            <v>1705</v>
          </cell>
          <cell r="N285" t="str">
            <v>Quena City </v>
          </cell>
        </row>
        <row r="286">
          <cell r="A286">
            <v>1558</v>
          </cell>
          <cell r="B286" t="str">
            <v>Mahmoud Sobhy Sayed</v>
          </cell>
          <cell r="C286" t="str">
            <v>Mahmoud Sayed Ahmed Galal</v>
          </cell>
          <cell r="D286" t="str">
            <v>Habib Nady Habib</v>
          </cell>
          <cell r="E286" t="str">
            <v>Ibrahim Ammar</v>
          </cell>
          <cell r="F286" t="str">
            <v>GI Line</v>
          </cell>
          <cell r="G286" t="str">
            <v>AVR_74</v>
          </cell>
          <cell r="H286" t="str">
            <v>MR</v>
          </cell>
          <cell r="I286" t="str">
            <v>Upper Egypt</v>
          </cell>
          <cell r="J286">
            <v>1021414333</v>
          </cell>
          <cell r="K286">
            <v>45710</v>
          </cell>
        </row>
        <row r="286">
          <cell r="M286">
            <v>1558</v>
          </cell>
          <cell r="N286" t="str">
            <v>Hurghada </v>
          </cell>
        </row>
        <row r="287">
          <cell r="A287">
            <v>1436</v>
          </cell>
          <cell r="B287" t="str">
            <v>Merna Nashaat Nakhla</v>
          </cell>
          <cell r="C287" t="str">
            <v>Mahmoud Sayed Ahmed Galal</v>
          </cell>
          <cell r="D287" t="str">
            <v>Habib Nady Habib</v>
          </cell>
          <cell r="E287" t="str">
            <v>Ibrahim Ammar</v>
          </cell>
          <cell r="F287" t="str">
            <v>GI Line</v>
          </cell>
          <cell r="G287" t="str">
            <v>Rep100034</v>
          </cell>
          <cell r="H287" t="str">
            <v>MR</v>
          </cell>
          <cell r="I287" t="str">
            <v>Upper Egypt</v>
          </cell>
          <cell r="J287">
            <v>1224865172</v>
          </cell>
          <cell r="K287">
            <v>45535</v>
          </cell>
        </row>
        <row r="287">
          <cell r="M287">
            <v>1436</v>
          </cell>
          <cell r="N287" t="str">
            <v>Gerga</v>
          </cell>
        </row>
        <row r="288">
          <cell r="A288">
            <v>1049</v>
          </cell>
          <cell r="B288" t="str">
            <v>Merna Nassan Ryad</v>
          </cell>
          <cell r="C288" t="str">
            <v>Mahmoud Sayed Ahmed Galal</v>
          </cell>
          <cell r="D288" t="str">
            <v>Habib Nady Habib</v>
          </cell>
          <cell r="E288" t="str">
            <v>Ibrahim Ammar</v>
          </cell>
          <cell r="F288" t="str">
            <v>GI Line</v>
          </cell>
          <cell r="G288" t="str">
            <v>Rep530</v>
          </cell>
          <cell r="H288" t="str">
            <v>MR</v>
          </cell>
          <cell r="I288" t="str">
            <v>Upper Egypt</v>
          </cell>
          <cell r="J288" t="str">
            <v> 01282580330</v>
          </cell>
          <cell r="K288">
            <v>44931</v>
          </cell>
        </row>
        <row r="288">
          <cell r="M288">
            <v>1049</v>
          </cell>
          <cell r="N288" t="str">
            <v>Tema</v>
          </cell>
        </row>
        <row r="289">
          <cell r="A289">
            <v>1405</v>
          </cell>
          <cell r="B289" t="str">
            <v>Nader Ahmed Kenawy</v>
          </cell>
          <cell r="C289" t="str">
            <v>Mahmoud Sayed Ahmed Galal</v>
          </cell>
          <cell r="D289" t="str">
            <v>Habib Nady Habib</v>
          </cell>
          <cell r="E289" t="str">
            <v>Ibrahim Ammar</v>
          </cell>
          <cell r="F289" t="str">
            <v>GI Line</v>
          </cell>
          <cell r="G289" t="str">
            <v>Rep0052</v>
          </cell>
          <cell r="H289" t="str">
            <v>MR</v>
          </cell>
          <cell r="I289" t="str">
            <v>Upper Egypt</v>
          </cell>
          <cell r="J289">
            <v>1020403405</v>
          </cell>
          <cell r="K289">
            <v>45479</v>
          </cell>
        </row>
        <row r="289">
          <cell r="M289">
            <v>1405</v>
          </cell>
          <cell r="N289" t="str">
            <v>Luxor City</v>
          </cell>
        </row>
        <row r="290">
          <cell r="A290">
            <v>1313</v>
          </cell>
          <cell r="B290" t="str">
            <v>Omima Hassan Temsah</v>
          </cell>
          <cell r="C290" t="str">
            <v>Mahmoud Sayed Ahmed Galal</v>
          </cell>
          <cell r="D290" t="str">
            <v>Habib Nady Habib</v>
          </cell>
          <cell r="E290" t="str">
            <v>Ibrahim Ammar</v>
          </cell>
          <cell r="F290" t="str">
            <v>GI Line</v>
          </cell>
          <cell r="G290" t="str">
            <v>Rep876</v>
          </cell>
          <cell r="H290" t="str">
            <v>MR</v>
          </cell>
          <cell r="I290" t="str">
            <v>Upper Egypt</v>
          </cell>
          <cell r="J290">
            <v>1142750065</v>
          </cell>
          <cell r="K290">
            <v>45269</v>
          </cell>
        </row>
        <row r="290">
          <cell r="M290">
            <v>1313</v>
          </cell>
          <cell r="N290" t="str">
            <v>Aswan City</v>
          </cell>
        </row>
        <row r="291">
          <cell r="A291">
            <v>1698</v>
          </cell>
          <cell r="B291" t="str">
            <v>Sama Mohamed Metwaly Hefny</v>
          </cell>
          <cell r="C291" t="str">
            <v>Mahmoud Sayed Ahmed Galal</v>
          </cell>
          <cell r="D291" t="str">
            <v>Habib Nady Habib</v>
          </cell>
          <cell r="E291" t="str">
            <v>Ibrahim Ammar</v>
          </cell>
          <cell r="F291" t="str">
            <v>GI Line</v>
          </cell>
          <cell r="G291" t="str">
            <v>Rep100153</v>
          </cell>
          <cell r="H291" t="str">
            <v>MR</v>
          </cell>
          <cell r="I291" t="str">
            <v>Upper Egypt</v>
          </cell>
          <cell r="J291">
            <v>1061847797</v>
          </cell>
          <cell r="K291">
            <v>45836</v>
          </cell>
        </row>
        <row r="291">
          <cell r="M291">
            <v>1698</v>
          </cell>
          <cell r="N291" t="str">
            <v>Naga Hamady </v>
          </cell>
        </row>
        <row r="292">
          <cell r="A292">
            <v>980</v>
          </cell>
          <cell r="B292" t="str">
            <v>Osama Nabil Ahmed</v>
          </cell>
        </row>
        <row r="292">
          <cell r="D292" t="str">
            <v>Habib Nady Habib</v>
          </cell>
          <cell r="E292" t="str">
            <v>Ibrahim Ammar</v>
          </cell>
          <cell r="F292" t="str">
            <v>GI Line</v>
          </cell>
          <cell r="G292" t="str">
            <v>Rep395</v>
          </cell>
          <cell r="H292" t="str">
            <v>DM</v>
          </cell>
          <cell r="I292" t="str">
            <v>Upper Egypt</v>
          </cell>
          <cell r="J292">
            <v>1127568118</v>
          </cell>
          <cell r="K292">
            <v>44774</v>
          </cell>
          <cell r="L292" t="str">
            <v>Osama.Nabil.Ahmed@averroes-eg.com</v>
          </cell>
          <cell r="M292">
            <v>980</v>
          </cell>
          <cell r="N292" t="str">
            <v>El Menia City</v>
          </cell>
        </row>
        <row r="293">
          <cell r="A293">
            <v>1486</v>
          </cell>
          <cell r="B293" t="str">
            <v>Ahmed Nasser Ahmed</v>
          </cell>
          <cell r="C293" t="str">
            <v>Osama Nabil Ahmed</v>
          </cell>
          <cell r="D293" t="str">
            <v>Habib Nady Habib</v>
          </cell>
          <cell r="E293" t="str">
            <v>Ibrahim Ammar</v>
          </cell>
          <cell r="F293" t="str">
            <v>GI Line</v>
          </cell>
          <cell r="G293" t="str">
            <v>Rep100070</v>
          </cell>
          <cell r="H293" t="str">
            <v>MR</v>
          </cell>
          <cell r="I293" t="str">
            <v>Upper Egypt</v>
          </cell>
          <cell r="J293">
            <v>1090818727</v>
          </cell>
          <cell r="K293">
            <v>45640</v>
          </cell>
        </row>
        <row r="293">
          <cell r="M293">
            <v>1486</v>
          </cell>
          <cell r="N293" t="str">
            <v>Bosh</v>
          </cell>
        </row>
        <row r="294">
          <cell r="A294">
            <v>259</v>
          </cell>
          <cell r="B294" t="str">
            <v>Kholoud Badr Ismael</v>
          </cell>
          <cell r="C294" t="str">
            <v>Osama Nabil Ahmed</v>
          </cell>
          <cell r="D294" t="str">
            <v>Habib Nady Habib</v>
          </cell>
          <cell r="E294" t="str">
            <v>Ibrahim Ammar</v>
          </cell>
          <cell r="F294" t="str">
            <v>GI Line</v>
          </cell>
          <cell r="G294" t="str">
            <v>Rep198</v>
          </cell>
          <cell r="H294" t="str">
            <v>MR</v>
          </cell>
          <cell r="I294" t="str">
            <v>Upper Egypt</v>
          </cell>
          <cell r="J294" t="str">
            <v> 1090517953</v>
          </cell>
          <cell r="K294">
            <v>43160</v>
          </cell>
        </row>
        <row r="294">
          <cell r="M294">
            <v>259</v>
          </cell>
          <cell r="N294" t="str">
            <v>Malawy</v>
          </cell>
        </row>
        <row r="295">
          <cell r="A295">
            <v>1850</v>
          </cell>
          <cell r="B295" t="str">
            <v>Kerolos Magdy Zaky</v>
          </cell>
          <cell r="C295" t="str">
            <v>Osama Nabil Ahmed</v>
          </cell>
          <cell r="D295" t="str">
            <v>Habib Nady Habib</v>
          </cell>
          <cell r="E295" t="str">
            <v>Ibrahim Ammar</v>
          </cell>
          <cell r="F295" t="str">
            <v>GI Line</v>
          </cell>
          <cell r="G295" t="str">
            <v>Rep376</v>
          </cell>
          <cell r="H295" t="str">
            <v>MR</v>
          </cell>
          <cell r="I295" t="str">
            <v>Upper Egypt</v>
          </cell>
          <cell r="J295">
            <v>1281416886</v>
          </cell>
          <cell r="K295">
            <v>46054</v>
          </cell>
        </row>
        <row r="295">
          <cell r="M295">
            <v>1850</v>
          </cell>
          <cell r="N295" t="str">
            <v>Manfalout</v>
          </cell>
        </row>
        <row r="296">
          <cell r="A296">
            <v>1849</v>
          </cell>
          <cell r="B296" t="str">
            <v>Michael Metry Wanees</v>
          </cell>
          <cell r="C296" t="str">
            <v>Osama Nabil Ahmed</v>
          </cell>
          <cell r="D296" t="str">
            <v>Habib Nady Habib</v>
          </cell>
          <cell r="E296" t="str">
            <v>Ibrahim Ammar</v>
          </cell>
          <cell r="F296" t="str">
            <v>GI Line</v>
          </cell>
          <cell r="G296" t="str">
            <v>Rep1063</v>
          </cell>
          <cell r="H296" t="str">
            <v>MR</v>
          </cell>
          <cell r="I296" t="str">
            <v>Upper Egypt</v>
          </cell>
          <cell r="J296">
            <v>1221919585</v>
          </cell>
          <cell r="K296">
            <v>46054</v>
          </cell>
        </row>
        <row r="296">
          <cell r="M296">
            <v>1849</v>
          </cell>
          <cell r="N296" t="str">
            <v>Abou Teeg</v>
          </cell>
        </row>
        <row r="297">
          <cell r="A297">
            <v>104</v>
          </cell>
          <cell r="B297" t="str">
            <v>Youstina Nady habib</v>
          </cell>
          <cell r="C297" t="str">
            <v>Osama Nabil Ahmed</v>
          </cell>
          <cell r="D297" t="str">
            <v>Habib Nady Habib</v>
          </cell>
          <cell r="E297" t="str">
            <v>Ibrahim Ammar</v>
          </cell>
          <cell r="F297" t="str">
            <v>GI Line</v>
          </cell>
          <cell r="G297" t="str">
            <v>Rep196</v>
          </cell>
          <cell r="H297" t="str">
            <v>MR</v>
          </cell>
          <cell r="I297" t="str">
            <v>Upper Egypt</v>
          </cell>
          <cell r="J297" t="str">
            <v> 1285899058</v>
          </cell>
          <cell r="K297">
            <v>41314</v>
          </cell>
        </row>
        <row r="297">
          <cell r="M297">
            <v>104</v>
          </cell>
          <cell r="N297" t="str">
            <v>Bani Mazar</v>
          </cell>
        </row>
        <row r="298">
          <cell r="A298">
            <v>69</v>
          </cell>
          <cell r="B298" t="str">
            <v>Karam Belal Mohamed</v>
          </cell>
        </row>
        <row r="298">
          <cell r="E298" t="str">
            <v>Abo El Abbas Samir</v>
          </cell>
          <cell r="F298" t="str">
            <v>CVM Line &amp; DIA Line</v>
          </cell>
          <cell r="G298" t="str">
            <v>ZM_10</v>
          </cell>
          <cell r="H298" t="str">
            <v>AM</v>
          </cell>
          <cell r="I298" t="str">
            <v>Delta</v>
          </cell>
          <cell r="J298" t="str">
            <v> 1028045240</v>
          </cell>
          <cell r="K298">
            <v>41601</v>
          </cell>
          <cell r="L298" t="str">
            <v>karam.belal@averroes-eg.com</v>
          </cell>
          <cell r="M298">
            <v>69</v>
          </cell>
          <cell r="N298" t="str">
            <v>Kafr El Shiekh</v>
          </cell>
        </row>
        <row r="299">
          <cell r="A299">
            <v>1559</v>
          </cell>
          <cell r="B299" t="str">
            <v>Aya Adel ElDeeb</v>
          </cell>
          <cell r="C299" t="str">
            <v>L5_Vacant_Gharbia &amp; Menofia</v>
          </cell>
          <cell r="D299" t="str">
            <v>Karam Belal Mohamed</v>
          </cell>
          <cell r="E299" t="str">
            <v>Abo El Abbas Samir</v>
          </cell>
          <cell r="F299" t="str">
            <v>CVM Line</v>
          </cell>
          <cell r="G299" t="str">
            <v>AVR_81</v>
          </cell>
          <cell r="H299" t="str">
            <v>MR</v>
          </cell>
          <cell r="I299" t="str">
            <v>Delta</v>
          </cell>
          <cell r="J299">
            <v>1028507568</v>
          </cell>
          <cell r="K299">
            <v>45717</v>
          </cell>
        </row>
        <row r="299">
          <cell r="M299">
            <v>1559</v>
          </cell>
          <cell r="N299" t="str">
            <v>El sanata</v>
          </cell>
        </row>
        <row r="300">
          <cell r="A300">
            <v>1248</v>
          </cell>
          <cell r="B300" t="str">
            <v>Aya Ezzat Ismail</v>
          </cell>
          <cell r="C300" t="str">
            <v>L5_Vacant_Gharbia &amp; Menofia</v>
          </cell>
          <cell r="D300" t="str">
            <v>Karam Belal Mohamed</v>
          </cell>
          <cell r="E300" t="str">
            <v>Abo El Abbas Samir</v>
          </cell>
          <cell r="F300" t="str">
            <v>CVM Line</v>
          </cell>
          <cell r="G300" t="str">
            <v>Rep832</v>
          </cell>
          <cell r="H300" t="str">
            <v>MR</v>
          </cell>
          <cell r="I300" t="str">
            <v>Delta</v>
          </cell>
          <cell r="J300">
            <v>1112370702</v>
          </cell>
          <cell r="K300">
            <v>45161</v>
          </cell>
        </row>
        <row r="300">
          <cell r="M300">
            <v>1248</v>
          </cell>
          <cell r="N300" t="str">
            <v>El Bagour</v>
          </cell>
        </row>
        <row r="301">
          <cell r="A301">
            <v>1684</v>
          </cell>
          <cell r="B301" t="str">
            <v>Eman Mohamed Ibrahim</v>
          </cell>
          <cell r="C301" t="str">
            <v>L5_Vacant_Gharbia &amp; Menofia</v>
          </cell>
          <cell r="D301" t="str">
            <v>Karam Belal Mohamed</v>
          </cell>
          <cell r="E301" t="str">
            <v>Abo El Abbas Samir</v>
          </cell>
          <cell r="F301" t="str">
            <v>CVM Line</v>
          </cell>
          <cell r="G301" t="str">
            <v>Rep10072</v>
          </cell>
          <cell r="H301" t="str">
            <v>MR</v>
          </cell>
          <cell r="I301" t="str">
            <v>Delta</v>
          </cell>
          <cell r="J301">
            <v>1069724373</v>
          </cell>
          <cell r="K301">
            <v>45809</v>
          </cell>
        </row>
        <row r="301">
          <cell r="M301">
            <v>1684</v>
          </cell>
          <cell r="N301" t="str">
            <v>Shebien El Kom</v>
          </cell>
        </row>
        <row r="302">
          <cell r="A302">
            <v>1730</v>
          </cell>
          <cell r="B302" t="str">
            <v>Esraa Osama Matter</v>
          </cell>
          <cell r="C302" t="str">
            <v>L5_Vacant_Gharbia &amp; Menofia</v>
          </cell>
          <cell r="D302" t="str">
            <v>Karam Belal Mohamed</v>
          </cell>
          <cell r="E302" t="str">
            <v>Abo El Abbas Samir</v>
          </cell>
          <cell r="F302" t="str">
            <v>CVM Line</v>
          </cell>
          <cell r="G302" t="str">
            <v>Rep10102</v>
          </cell>
          <cell r="H302" t="str">
            <v>MR</v>
          </cell>
          <cell r="I302" t="str">
            <v>Delta</v>
          </cell>
          <cell r="J302">
            <v>1029175007</v>
          </cell>
          <cell r="K302">
            <v>45885</v>
          </cell>
        </row>
        <row r="302">
          <cell r="M302">
            <v>1730</v>
          </cell>
          <cell r="N302" t="str">
            <v>Kfr zayat </v>
          </cell>
        </row>
        <row r="303">
          <cell r="A303">
            <v>1637</v>
          </cell>
          <cell r="B303" t="str">
            <v>Mariam Sherif ElMessery</v>
          </cell>
          <cell r="C303" t="str">
            <v>L5_Vacant_Gharbia &amp; Menofia</v>
          </cell>
          <cell r="D303" t="str">
            <v>Karam Belal Mohamed</v>
          </cell>
          <cell r="E303" t="str">
            <v>Abo El Abbas Samir</v>
          </cell>
          <cell r="F303" t="str">
            <v>CVM Line</v>
          </cell>
          <cell r="G303" t="str">
            <v>Rep100127</v>
          </cell>
          <cell r="H303" t="str">
            <v>MR</v>
          </cell>
          <cell r="I303" t="str">
            <v>Delta</v>
          </cell>
          <cell r="J303">
            <v>1140921800</v>
          </cell>
          <cell r="K303">
            <v>45780</v>
          </cell>
        </row>
        <row r="303">
          <cell r="M303">
            <v>1637</v>
          </cell>
          <cell r="N303" t="str">
            <v>El Mahala El Kobra</v>
          </cell>
        </row>
        <row r="304">
          <cell r="A304">
            <v>1560</v>
          </cell>
          <cell r="B304" t="str">
            <v>Nada Hamdy Fathy</v>
          </cell>
          <cell r="C304" t="str">
            <v>L5_Vacant_Gharbia &amp; Menofia</v>
          </cell>
          <cell r="D304" t="str">
            <v>Karam Belal Mohamed</v>
          </cell>
          <cell r="E304" t="str">
            <v>Abo El Abbas Samir</v>
          </cell>
          <cell r="F304" t="str">
            <v>CVM Line</v>
          </cell>
          <cell r="G304" t="str">
            <v>AVR_82</v>
          </cell>
          <cell r="H304" t="str">
            <v>MR</v>
          </cell>
          <cell r="I304" t="str">
            <v>Delta</v>
          </cell>
          <cell r="J304">
            <v>1202861515</v>
          </cell>
          <cell r="K304">
            <v>45717</v>
          </cell>
        </row>
        <row r="304">
          <cell r="M304">
            <v>1560</v>
          </cell>
          <cell r="N304" t="str">
            <v>Tanta City</v>
          </cell>
        </row>
        <row r="305">
          <cell r="A305">
            <v>591</v>
          </cell>
          <cell r="B305" t="str">
            <v>Nermeen Mabrouk Mahmoud</v>
          </cell>
          <cell r="C305" t="str">
            <v>L5_Vacant_Gharbia &amp; Menofia</v>
          </cell>
          <cell r="D305" t="str">
            <v>Karam Belal Mohamed</v>
          </cell>
          <cell r="E305" t="str">
            <v>Abo El Abbas Samir</v>
          </cell>
          <cell r="F305" t="str">
            <v>CVM Line</v>
          </cell>
          <cell r="G305" t="str">
            <v>Rep288</v>
          </cell>
          <cell r="H305" t="str">
            <v>MR</v>
          </cell>
          <cell r="I305" t="str">
            <v>Delta</v>
          </cell>
          <cell r="J305" t="str">
            <v> 1050111662</v>
          </cell>
          <cell r="K305">
            <v>43863</v>
          </cell>
        </row>
        <row r="305">
          <cell r="M305">
            <v>591</v>
          </cell>
          <cell r="N305" t="str">
            <v>Beket ElSabaa</v>
          </cell>
        </row>
        <row r="306">
          <cell r="A306">
            <v>718</v>
          </cell>
          <cell r="B306" t="str">
            <v>Osama Abdelkader Elsayed</v>
          </cell>
        </row>
        <row r="306">
          <cell r="D306" t="str">
            <v>Karam Belal Mohamed</v>
          </cell>
          <cell r="E306" t="str">
            <v>Abo El Abbas Samir</v>
          </cell>
          <cell r="F306" t="str">
            <v>CVM Line</v>
          </cell>
          <cell r="G306" t="str">
            <v>DM_41</v>
          </cell>
          <cell r="H306" t="str">
            <v>DM</v>
          </cell>
          <cell r="I306" t="str">
            <v>Delta</v>
          </cell>
          <cell r="J306" t="str">
            <v> 1007960128</v>
          </cell>
          <cell r="K306">
            <v>44228</v>
          </cell>
          <cell r="L306" t="str">
            <v>Osama.Abdelkader@averroes-eg.com</v>
          </cell>
          <cell r="M306">
            <v>718</v>
          </cell>
          <cell r="N306" t="str">
            <v>Center</v>
          </cell>
        </row>
        <row r="307">
          <cell r="A307">
            <v>898</v>
          </cell>
          <cell r="B307" t="str">
            <v>Ahmed Wagieh AbdElaziz</v>
          </cell>
          <cell r="C307" t="str">
            <v>Osama Abdelkader Elsayed</v>
          </cell>
          <cell r="D307" t="str">
            <v>Karam Belal Mohamed</v>
          </cell>
          <cell r="E307" t="str">
            <v>Abo El Abbas Samir</v>
          </cell>
          <cell r="F307" t="str">
            <v>CVM Line</v>
          </cell>
          <cell r="G307" t="str">
            <v>Rep285</v>
          </cell>
          <cell r="H307" t="str">
            <v>MR</v>
          </cell>
          <cell r="I307" t="str">
            <v>Delta</v>
          </cell>
          <cell r="J307" t="str">
            <v> 1555838723</v>
          </cell>
          <cell r="K307">
            <v>44593</v>
          </cell>
        </row>
        <row r="307">
          <cell r="M307">
            <v>898</v>
          </cell>
          <cell r="N307" t="str">
            <v>Banha - Atreeb</v>
          </cell>
        </row>
        <row r="308">
          <cell r="A308">
            <v>1472</v>
          </cell>
          <cell r="B308" t="str">
            <v>Asmaa Mohamed AbdElAal</v>
          </cell>
          <cell r="C308" t="str">
            <v>Osama Abdelkader Elsayed</v>
          </cell>
          <cell r="D308" t="str">
            <v>Karam Belal Mohamed</v>
          </cell>
          <cell r="E308" t="str">
            <v>Abo El Abbas Samir</v>
          </cell>
          <cell r="F308" t="str">
            <v>CVM Line</v>
          </cell>
          <cell r="G308" t="str">
            <v>Rep10045</v>
          </cell>
          <cell r="H308" t="str">
            <v>MR</v>
          </cell>
          <cell r="I308" t="str">
            <v>Delta</v>
          </cell>
          <cell r="J308">
            <v>1016372964</v>
          </cell>
          <cell r="K308">
            <v>45636</v>
          </cell>
        </row>
        <row r="308">
          <cell r="M308">
            <v>1472</v>
          </cell>
          <cell r="N308" t="str">
            <v>Shebien El Kanater</v>
          </cell>
        </row>
        <row r="309">
          <cell r="A309">
            <v>1827</v>
          </cell>
          <cell r="B309" t="str">
            <v>Mohamed Osama Elsayed Mohamed</v>
          </cell>
          <cell r="C309" t="str">
            <v>Osama Abdelkader Elsayed</v>
          </cell>
          <cell r="D309" t="str">
            <v>Karam Belal Mohamed</v>
          </cell>
          <cell r="E309" t="str">
            <v>Abo El Abbas Samir</v>
          </cell>
          <cell r="F309" t="str">
            <v>CVM Line</v>
          </cell>
          <cell r="G309" t="str">
            <v>Rep_00157</v>
          </cell>
          <cell r="H309" t="str">
            <v>MR</v>
          </cell>
          <cell r="I309" t="str">
            <v>Delta</v>
          </cell>
          <cell r="J309">
            <v>1096968169</v>
          </cell>
          <cell r="K309">
            <v>46025</v>
          </cell>
        </row>
        <row r="309">
          <cell r="M309">
            <v>1827</v>
          </cell>
          <cell r="N309" t="str">
            <v>Fakoos</v>
          </cell>
        </row>
        <row r="310">
          <cell r="A310">
            <v>1372</v>
          </cell>
          <cell r="B310" t="str">
            <v>Rana Khaled ElMogy</v>
          </cell>
          <cell r="C310" t="str">
            <v>Osama Abdelkader Elsayed</v>
          </cell>
          <cell r="D310" t="str">
            <v>Karam Belal Mohamed</v>
          </cell>
          <cell r="E310" t="str">
            <v>Abo El Abbas Samir</v>
          </cell>
          <cell r="F310" t="str">
            <v>CVM Line</v>
          </cell>
          <cell r="G310" t="str">
            <v>Rep0020</v>
          </cell>
          <cell r="H310" t="str">
            <v>MR</v>
          </cell>
          <cell r="I310" t="str">
            <v>Delta</v>
          </cell>
          <cell r="J310">
            <v>1050215810</v>
          </cell>
          <cell r="K310">
            <v>45444</v>
          </cell>
        </row>
        <row r="310">
          <cell r="M310">
            <v>1372</v>
          </cell>
          <cell r="N310" t="str">
            <v>Belbais</v>
          </cell>
        </row>
        <row r="311">
          <cell r="A311">
            <v>1725</v>
          </cell>
          <cell r="B311" t="str">
            <v>Rawan Ahmed Fathy</v>
          </cell>
          <cell r="C311" t="str">
            <v>Osama Abdelkader Elsayed</v>
          </cell>
          <cell r="D311" t="str">
            <v>Karam Belal Mohamed</v>
          </cell>
          <cell r="E311" t="str">
            <v>Abo El Abbas Samir</v>
          </cell>
          <cell r="F311" t="str">
            <v>CVM Line</v>
          </cell>
          <cell r="G311" t="str">
            <v>Rep1106</v>
          </cell>
          <cell r="H311" t="str">
            <v>MR</v>
          </cell>
          <cell r="I311" t="str">
            <v>Delta</v>
          </cell>
          <cell r="J311">
            <v>1092250404</v>
          </cell>
          <cell r="K311">
            <v>45871</v>
          </cell>
        </row>
        <row r="311">
          <cell r="M311">
            <v>1725</v>
          </cell>
          <cell r="N311" t="str">
            <v>El Zakazik City</v>
          </cell>
        </row>
        <row r="312">
          <cell r="A312">
            <v>1629</v>
          </cell>
          <cell r="B312" t="str">
            <v>Sara Fathi Azam</v>
          </cell>
        </row>
        <row r="312">
          <cell r="D312" t="str">
            <v>Karam Belal Mohamed</v>
          </cell>
          <cell r="E312" t="str">
            <v>Abo El Abbas Samir</v>
          </cell>
          <cell r="F312" t="str">
            <v>CVM Line</v>
          </cell>
          <cell r="G312" t="str">
            <v>AVR_201</v>
          </cell>
          <cell r="H312" t="str">
            <v>DM</v>
          </cell>
          <cell r="I312" t="str">
            <v>Delta</v>
          </cell>
          <cell r="J312">
            <v>1096446526</v>
          </cell>
          <cell r="K312">
            <v>45780</v>
          </cell>
          <cell r="L312" t="str">
            <v>Sara.Fathi.Azam@averroes-eg.com</v>
          </cell>
          <cell r="M312">
            <v>1629</v>
          </cell>
          <cell r="N312" t="str">
            <v>El Mansoura</v>
          </cell>
        </row>
        <row r="313">
          <cell r="A313">
            <v>1392</v>
          </cell>
          <cell r="B313" t="str">
            <v>Adham Sherief AbdElhamid</v>
          </cell>
          <cell r="C313" t="str">
            <v>Sara Fathi Azam</v>
          </cell>
          <cell r="D313" t="str">
            <v>Karam Belal Mohamed</v>
          </cell>
          <cell r="E313" t="str">
            <v>Abo El Abbas Samir</v>
          </cell>
          <cell r="F313" t="str">
            <v>CVM Line</v>
          </cell>
          <cell r="G313" t="str">
            <v>Rep053</v>
          </cell>
          <cell r="H313" t="str">
            <v>MR</v>
          </cell>
          <cell r="I313" t="str">
            <v>Delta</v>
          </cell>
          <cell r="J313">
            <v>1023684432</v>
          </cell>
          <cell r="K313">
            <v>45451</v>
          </cell>
        </row>
        <row r="313">
          <cell r="M313">
            <v>1392</v>
          </cell>
          <cell r="N313" t="str">
            <v>Domiat</v>
          </cell>
        </row>
        <row r="314">
          <cell r="A314">
            <v>1561</v>
          </cell>
          <cell r="B314" t="str">
            <v>Amr Khaled Belal</v>
          </cell>
          <cell r="C314" t="str">
            <v>Sara Fathi Azam</v>
          </cell>
          <cell r="D314" t="str">
            <v>Karam Belal Mohamed</v>
          </cell>
          <cell r="E314" t="str">
            <v>Abo El Abbas Samir</v>
          </cell>
          <cell r="F314" t="str">
            <v>CVM Line</v>
          </cell>
          <cell r="G314" t="str">
            <v>AVR_83</v>
          </cell>
          <cell r="H314" t="str">
            <v>MR</v>
          </cell>
          <cell r="I314" t="str">
            <v>Delta</v>
          </cell>
          <cell r="J314">
            <v>1286052148</v>
          </cell>
          <cell r="K314">
            <v>45717</v>
          </cell>
        </row>
        <row r="314">
          <cell r="M314">
            <v>1561</v>
          </cell>
          <cell r="N314" t="str">
            <v>El Manzala</v>
          </cell>
        </row>
        <row r="315">
          <cell r="A315">
            <v>1617</v>
          </cell>
          <cell r="B315" t="str">
            <v>Kareem Khaled Mohamed Samir</v>
          </cell>
          <cell r="C315" t="str">
            <v>Sara Fathi Azam</v>
          </cell>
          <cell r="D315" t="str">
            <v>Karam Belal Mohamed</v>
          </cell>
          <cell r="E315" t="str">
            <v>Abo El Abbas Samir</v>
          </cell>
          <cell r="F315" t="str">
            <v>CVM Line</v>
          </cell>
          <cell r="G315" t="str">
            <v>Rep100122</v>
          </cell>
          <cell r="H315" t="str">
            <v>MR</v>
          </cell>
          <cell r="I315" t="str">
            <v>Delta</v>
          </cell>
          <cell r="J315">
            <v>1008340456</v>
          </cell>
          <cell r="K315">
            <v>45766</v>
          </cell>
        </row>
        <row r="315">
          <cell r="M315">
            <v>1617</v>
          </cell>
          <cell r="N315" t="str">
            <v>El Mansoura</v>
          </cell>
        </row>
        <row r="316">
          <cell r="A316">
            <v>1810</v>
          </cell>
          <cell r="B316" t="str">
            <v>Marina Ehab Tawfeek</v>
          </cell>
          <cell r="C316" t="str">
            <v>Sara Fathi Azam</v>
          </cell>
          <cell r="D316" t="str">
            <v>Karam Belal Mohamed</v>
          </cell>
          <cell r="E316" t="str">
            <v>Abo El Abbas Samir</v>
          </cell>
          <cell r="F316" t="str">
            <v>CVM Line</v>
          </cell>
          <cell r="G316" t="str">
            <v>Rep_00126</v>
          </cell>
          <cell r="H316" t="str">
            <v>MR</v>
          </cell>
          <cell r="I316" t="str">
            <v>Delta</v>
          </cell>
          <cell r="J316">
            <v>1033028614</v>
          </cell>
          <cell r="K316">
            <v>45997</v>
          </cell>
        </row>
        <row r="316">
          <cell r="M316">
            <v>1810</v>
          </cell>
          <cell r="N316" t="str">
            <v>Mansoura</v>
          </cell>
        </row>
        <row r="317">
          <cell r="A317">
            <v>1562</v>
          </cell>
          <cell r="B317" t="str">
            <v>Nourhan Sherif Mohamed</v>
          </cell>
          <cell r="C317" t="str">
            <v>Sara Fathi Azam</v>
          </cell>
          <cell r="D317" t="str">
            <v>Karam Belal Mohamed</v>
          </cell>
          <cell r="E317" t="str">
            <v>Abo El Abbas Samir</v>
          </cell>
          <cell r="F317" t="str">
            <v>CVM Line</v>
          </cell>
          <cell r="G317" t="str">
            <v>AVR_84</v>
          </cell>
          <cell r="H317" t="str">
            <v>MR</v>
          </cell>
          <cell r="I317" t="str">
            <v>Delta</v>
          </cell>
          <cell r="J317">
            <v>1124830067</v>
          </cell>
          <cell r="K317">
            <v>45717</v>
          </cell>
        </row>
        <row r="317">
          <cell r="M317">
            <v>1562</v>
          </cell>
          <cell r="N317" t="str">
            <v>Meet Ghamr</v>
          </cell>
        </row>
        <row r="318">
          <cell r="A318">
            <v>1612</v>
          </cell>
          <cell r="B318" t="str">
            <v>Omar Ashraf Fekry</v>
          </cell>
          <cell r="C318" t="str">
            <v>Sara Fathi Azam</v>
          </cell>
          <cell r="D318" t="str">
            <v>Karam Belal Mohamed</v>
          </cell>
          <cell r="E318" t="str">
            <v>Abo El Abbas Samir</v>
          </cell>
          <cell r="F318" t="str">
            <v>CVM Line</v>
          </cell>
          <cell r="G318" t="str">
            <v>Rep10066</v>
          </cell>
          <cell r="H318" t="str">
            <v>MR</v>
          </cell>
          <cell r="I318" t="str">
            <v>Delta</v>
          </cell>
          <cell r="J318">
            <v>1018292275</v>
          </cell>
          <cell r="K318">
            <v>45759</v>
          </cell>
        </row>
        <row r="318">
          <cell r="M318">
            <v>1612</v>
          </cell>
          <cell r="N318" t="str">
            <v>Sherbeen</v>
          </cell>
        </row>
        <row r="319">
          <cell r="A319">
            <v>1643</v>
          </cell>
          <cell r="B319" t="str">
            <v>Marwa Taha Ahmed</v>
          </cell>
          <cell r="C319" t="str">
            <v>L11_Vacant_Dakahlia &amp; Domiat &amp; Port Said</v>
          </cell>
          <cell r="D319" t="str">
            <v>Karam Belal Mohamed</v>
          </cell>
          <cell r="E319" t="str">
            <v>Abo El Abbas Samir</v>
          </cell>
          <cell r="F319" t="str">
            <v>DIA Line</v>
          </cell>
          <cell r="G319" t="str">
            <v>MR_1880</v>
          </cell>
          <cell r="H319" t="str">
            <v>MR</v>
          </cell>
          <cell r="I319" t="str">
            <v>Delta</v>
          </cell>
          <cell r="J319">
            <v>1063854197</v>
          </cell>
          <cell r="K319">
            <v>45783</v>
          </cell>
        </row>
        <row r="319">
          <cell r="M319">
            <v>1643</v>
          </cell>
          <cell r="N319" t="str">
            <v>Domiatte</v>
          </cell>
        </row>
        <row r="320">
          <cell r="A320">
            <v>1644</v>
          </cell>
          <cell r="B320" t="str">
            <v>Menna Fakhry Metwally</v>
          </cell>
          <cell r="C320" t="str">
            <v>L11_Vacant_Dakahlia &amp; Domiat &amp; Port Said</v>
          </cell>
          <cell r="D320" t="str">
            <v>Karam Belal Mohamed</v>
          </cell>
          <cell r="E320" t="str">
            <v>Abo El Abbas Samir</v>
          </cell>
          <cell r="F320" t="str">
            <v>DIA Line</v>
          </cell>
          <cell r="G320" t="str">
            <v>MR_1881</v>
          </cell>
          <cell r="H320" t="str">
            <v>MR</v>
          </cell>
          <cell r="I320" t="str">
            <v>Delta</v>
          </cell>
          <cell r="J320">
            <v>1001303361</v>
          </cell>
          <cell r="K320">
            <v>45783</v>
          </cell>
        </row>
        <row r="320">
          <cell r="M320">
            <v>1644</v>
          </cell>
          <cell r="N320" t="str">
            <v>Mansoura</v>
          </cell>
        </row>
        <row r="321">
          <cell r="A321">
            <v>1645</v>
          </cell>
          <cell r="B321" t="str">
            <v>Mohamed Adel Hassan</v>
          </cell>
          <cell r="C321" t="str">
            <v>L11_Vacant_Dakahlia &amp; Domiat &amp; Port Said</v>
          </cell>
          <cell r="D321" t="str">
            <v>Karam Belal Mohamed</v>
          </cell>
          <cell r="E321" t="str">
            <v>Abo El Abbas Samir</v>
          </cell>
          <cell r="F321" t="str">
            <v>DIA Line</v>
          </cell>
          <cell r="G321" t="str">
            <v>MR_1882</v>
          </cell>
          <cell r="H321" t="str">
            <v>MR</v>
          </cell>
          <cell r="I321" t="str">
            <v>Delta</v>
          </cell>
          <cell r="J321">
            <v>1014902948</v>
          </cell>
          <cell r="K321">
            <v>45780</v>
          </cell>
        </row>
        <row r="321">
          <cell r="M321">
            <v>1645</v>
          </cell>
          <cell r="N321" t="str">
            <v>Mit ghamr</v>
          </cell>
        </row>
        <row r="322">
          <cell r="A322">
            <v>1646</v>
          </cell>
          <cell r="B322" t="str">
            <v>Yara Tarek Gaber</v>
          </cell>
          <cell r="C322" t="str">
            <v>L11_Vacant_Dakahlia &amp; Domiat &amp; Port Said</v>
          </cell>
          <cell r="D322" t="str">
            <v>Karam Belal Mohamed</v>
          </cell>
          <cell r="E322" t="str">
            <v>Abo El Abbas Samir</v>
          </cell>
          <cell r="F322" t="str">
            <v>DIA Line</v>
          </cell>
          <cell r="G322" t="str">
            <v>MR_1883</v>
          </cell>
          <cell r="H322" t="str">
            <v>MR</v>
          </cell>
          <cell r="I322" t="str">
            <v>Delta</v>
          </cell>
          <cell r="J322">
            <v>1287860208</v>
          </cell>
          <cell r="K322">
            <v>45780</v>
          </cell>
        </row>
        <row r="322">
          <cell r="M322">
            <v>1646</v>
          </cell>
          <cell r="N322" t="str">
            <v>Manzala</v>
          </cell>
        </row>
        <row r="323">
          <cell r="A323">
            <v>1647</v>
          </cell>
          <cell r="B323" t="str">
            <v>Yousef Mohamed ElSerwi</v>
          </cell>
          <cell r="C323" t="str">
            <v>L11_Vacant_Dakahlia &amp; Domiat &amp; Port Said</v>
          </cell>
          <cell r="D323" t="str">
            <v>Karam Belal Mohamed</v>
          </cell>
          <cell r="E323" t="str">
            <v>Abo El Abbas Samir</v>
          </cell>
          <cell r="F323" t="str">
            <v>DIA Line</v>
          </cell>
          <cell r="G323" t="str">
            <v>MR_1884</v>
          </cell>
          <cell r="H323" t="str">
            <v>MR</v>
          </cell>
          <cell r="I323" t="str">
            <v>Delta</v>
          </cell>
          <cell r="J323">
            <v>1001868967</v>
          </cell>
          <cell r="K323">
            <v>45783</v>
          </cell>
        </row>
        <row r="323">
          <cell r="M323">
            <v>1647</v>
          </cell>
          <cell r="N323" t="str">
            <v>Mansoura</v>
          </cell>
        </row>
        <row r="324">
          <cell r="A324">
            <v>1785</v>
          </cell>
          <cell r="B324" t="str">
            <v>Ahmed Abdelhamid Ali Atallah</v>
          </cell>
          <cell r="C324" t="str">
            <v>L11_Vacant_Gharbia &amp; Menofia</v>
          </cell>
          <cell r="D324" t="str">
            <v>Karam Belal Mohamed</v>
          </cell>
          <cell r="E324" t="str">
            <v>Abo El Abbas Samir</v>
          </cell>
          <cell r="F324" t="str">
            <v>DIA Line</v>
          </cell>
          <cell r="G324" t="str">
            <v>Rep_00089</v>
          </cell>
          <cell r="H324" t="str">
            <v>MR</v>
          </cell>
          <cell r="I324" t="str">
            <v>Delta</v>
          </cell>
          <cell r="J324">
            <v>1007570734</v>
          </cell>
          <cell r="K324">
            <v>45962</v>
          </cell>
        </row>
        <row r="324">
          <cell r="M324">
            <v>1785</v>
          </cell>
          <cell r="N324" t="str">
            <v>Beket ElSabaa</v>
          </cell>
        </row>
        <row r="325">
          <cell r="A325">
            <v>1635</v>
          </cell>
          <cell r="B325" t="str">
            <v>Asala Ahmed Elfeky</v>
          </cell>
          <cell r="C325" t="str">
            <v>L11_Vacant_Gharbia &amp; Menofia</v>
          </cell>
          <cell r="D325" t="str">
            <v>Karam Belal Mohamed</v>
          </cell>
          <cell r="E325" t="str">
            <v>Abo El Abbas Samir</v>
          </cell>
          <cell r="F325" t="str">
            <v>DIA Line</v>
          </cell>
          <cell r="G325" t="str">
            <v>MR_1870</v>
          </cell>
          <cell r="H325" t="str">
            <v>MR</v>
          </cell>
          <cell r="I325" t="str">
            <v>Delta</v>
          </cell>
          <cell r="J325">
            <v>1227067386</v>
          </cell>
          <cell r="K325">
            <v>45780</v>
          </cell>
        </row>
        <row r="325">
          <cell r="M325">
            <v>1635</v>
          </cell>
          <cell r="N325" t="str">
            <v>Kfr zayat </v>
          </cell>
        </row>
        <row r="326">
          <cell r="A326">
            <v>1688</v>
          </cell>
          <cell r="B326" t="str">
            <v>Ibrahim Khalid ElSayed Salama</v>
          </cell>
          <cell r="C326" t="str">
            <v>L11_Vacant_Gharbia &amp; Menofia</v>
          </cell>
          <cell r="D326" t="str">
            <v>Karam Belal Mohamed</v>
          </cell>
          <cell r="E326" t="str">
            <v>Abo El Abbas Samir</v>
          </cell>
          <cell r="F326" t="str">
            <v>DIA Line</v>
          </cell>
          <cell r="G326" t="str">
            <v>Rep10076</v>
          </cell>
          <cell r="H326" t="str">
            <v>MR</v>
          </cell>
          <cell r="I326" t="str">
            <v>Delta</v>
          </cell>
          <cell r="J326">
            <v>1092913323</v>
          </cell>
          <cell r="K326">
            <v>45811</v>
          </cell>
        </row>
        <row r="326">
          <cell r="M326">
            <v>1688</v>
          </cell>
          <cell r="N326" t="str">
            <v>Tanta City</v>
          </cell>
        </row>
        <row r="327">
          <cell r="A327">
            <v>1636</v>
          </cell>
          <cell r="B327" t="str">
            <v>Islam Mosaad Mohamed</v>
          </cell>
          <cell r="C327" t="str">
            <v>L11_Vacant_Gharbia &amp; Menofia</v>
          </cell>
          <cell r="D327" t="str">
            <v>Karam Belal Mohamed</v>
          </cell>
          <cell r="E327" t="str">
            <v>Abo El Abbas Samir</v>
          </cell>
          <cell r="F327" t="str">
            <v>DIA Line</v>
          </cell>
          <cell r="G327" t="str">
            <v>MR_1871</v>
          </cell>
          <cell r="H327" t="str">
            <v>MR</v>
          </cell>
          <cell r="I327" t="str">
            <v>Delta</v>
          </cell>
          <cell r="J327">
            <v>1140921800</v>
          </cell>
          <cell r="K327">
            <v>45780</v>
          </cell>
        </row>
        <row r="327">
          <cell r="M327">
            <v>1636</v>
          </cell>
          <cell r="N327" t="str">
            <v>Zefta</v>
          </cell>
        </row>
        <row r="328">
          <cell r="A328">
            <v>711</v>
          </cell>
          <cell r="B328" t="str">
            <v>Kholoud Mohamed Hashad</v>
          </cell>
          <cell r="C328" t="str">
            <v>L11_Vacant_Gharbia &amp; Menofia</v>
          </cell>
          <cell r="D328" t="str">
            <v>Karam Belal Mohamed</v>
          </cell>
          <cell r="E328" t="str">
            <v>Abo El Abbas Samir</v>
          </cell>
          <cell r="F328" t="str">
            <v>DIA Line</v>
          </cell>
          <cell r="G328" t="str">
            <v>Rep104</v>
          </cell>
          <cell r="H328" t="str">
            <v>MR</v>
          </cell>
          <cell r="I328" t="str">
            <v>Delta</v>
          </cell>
          <cell r="J328">
            <v>1003456648</v>
          </cell>
          <cell r="K328">
            <v>44222</v>
          </cell>
        </row>
        <row r="328">
          <cell r="M328">
            <v>711</v>
          </cell>
          <cell r="N328" t="str">
            <v>Shebien El Kom</v>
          </cell>
        </row>
        <row r="329">
          <cell r="A329">
            <v>1847</v>
          </cell>
          <cell r="B329" t="str">
            <v>Mona Mohamed Elshahat</v>
          </cell>
          <cell r="C329" t="str">
            <v>L11_Vacant_Gharbia &amp; Menofia</v>
          </cell>
          <cell r="D329" t="str">
            <v>Karam Belal Mohamed</v>
          </cell>
          <cell r="E329" t="str">
            <v>Abo El Abbas Samir</v>
          </cell>
          <cell r="F329" t="str">
            <v>DIA Line</v>
          </cell>
          <cell r="G329" t="str">
            <v>Rep_00145</v>
          </cell>
          <cell r="H329" t="str">
            <v>MR</v>
          </cell>
          <cell r="I329" t="str">
            <v>Delta</v>
          </cell>
        </row>
        <row r="329">
          <cell r="K329">
            <v>46054</v>
          </cell>
        </row>
        <row r="329">
          <cell r="M329">
            <v>1847</v>
          </cell>
        </row>
        <row r="330">
          <cell r="A330">
            <v>1638</v>
          </cell>
          <cell r="B330" t="str">
            <v>Ahmed Adel Mohamed</v>
          </cell>
          <cell r="C330" t="str">
            <v>L11_Vacant_Gharbia &amp; Menofia</v>
          </cell>
          <cell r="D330" t="str">
            <v>Karam Belal Mohamed</v>
          </cell>
          <cell r="E330" t="str">
            <v>Abo El Abbas Samir</v>
          </cell>
          <cell r="F330" t="str">
            <v>DIA Line</v>
          </cell>
          <cell r="G330" t="str">
            <v>Rep100001</v>
          </cell>
          <cell r="H330" t="str">
            <v>MR</v>
          </cell>
          <cell r="I330" t="str">
            <v>Delta</v>
          </cell>
          <cell r="J330">
            <v>1097112085</v>
          </cell>
          <cell r="K330">
            <v>45780</v>
          </cell>
        </row>
        <row r="330">
          <cell r="M330">
            <v>1638</v>
          </cell>
          <cell r="N330" t="str">
            <v>El Bagour</v>
          </cell>
        </row>
        <row r="331">
          <cell r="A331">
            <v>1368</v>
          </cell>
          <cell r="B331" t="str">
            <v>Mahmoud AbdElSattar AbdElWahab</v>
          </cell>
        </row>
        <row r="331">
          <cell r="D331" t="str">
            <v>Karam Belal Mohamed</v>
          </cell>
          <cell r="E331" t="str">
            <v>Abo El Abbas Samir</v>
          </cell>
          <cell r="F331" t="str">
            <v>DIA Line</v>
          </cell>
          <cell r="G331" t="str">
            <v>Rep0029</v>
          </cell>
          <cell r="H331" t="str">
            <v>DM</v>
          </cell>
          <cell r="I331" t="str">
            <v>Delta</v>
          </cell>
          <cell r="J331">
            <v>1007037612</v>
          </cell>
          <cell r="K331">
            <v>45444</v>
          </cell>
          <cell r="L331" t="str">
            <v>Mahmoud.AbdElSattar.AbdElWahab@averroes-eg.com</v>
          </cell>
          <cell r="M331">
            <v>1368</v>
          </cell>
          <cell r="N331" t="str">
            <v>Menyet Elkamh</v>
          </cell>
        </row>
        <row r="332">
          <cell r="A332">
            <v>1639</v>
          </cell>
          <cell r="B332" t="str">
            <v>Amany Mohamed El Sayed</v>
          </cell>
          <cell r="C332" t="str">
            <v>Mahmoud AbdElSattar AbdElWahab</v>
          </cell>
          <cell r="D332" t="str">
            <v>Karam Belal Mohamed</v>
          </cell>
          <cell r="E332" t="str">
            <v>Abo El Abbas Samir</v>
          </cell>
          <cell r="F332" t="str">
            <v>DIA Line</v>
          </cell>
          <cell r="G332" t="str">
            <v>MR_1874</v>
          </cell>
          <cell r="H332" t="str">
            <v>MR</v>
          </cell>
          <cell r="I332" t="str">
            <v>Delta</v>
          </cell>
          <cell r="J332">
            <v>1551452530</v>
          </cell>
          <cell r="K332">
            <v>45783</v>
          </cell>
        </row>
        <row r="332">
          <cell r="M332">
            <v>1639</v>
          </cell>
          <cell r="N332" t="str">
            <v>Banha - Atreeb</v>
          </cell>
        </row>
        <row r="333">
          <cell r="A333">
            <v>1641</v>
          </cell>
          <cell r="B333" t="str">
            <v>Amira ElSayed Behkit Saeed</v>
          </cell>
          <cell r="C333" t="str">
            <v>Mahmoud AbdElSattar AbdElWahab</v>
          </cell>
          <cell r="D333" t="str">
            <v>Karam Belal Mohamed</v>
          </cell>
          <cell r="E333" t="str">
            <v>Abo El Abbas Samir</v>
          </cell>
          <cell r="F333" t="str">
            <v>DIA Line</v>
          </cell>
          <cell r="G333" t="str">
            <v>MR_1877</v>
          </cell>
          <cell r="H333" t="str">
            <v>MR</v>
          </cell>
          <cell r="I333" t="str">
            <v>Delta</v>
          </cell>
          <cell r="J333">
            <v>1277040381</v>
          </cell>
          <cell r="K333">
            <v>45780</v>
          </cell>
        </row>
        <row r="333">
          <cell r="M333">
            <v>1641</v>
          </cell>
          <cell r="N333" t="str">
            <v>Hehia</v>
          </cell>
        </row>
        <row r="334">
          <cell r="A334">
            <v>1777</v>
          </cell>
          <cell r="B334" t="str">
            <v>Esraa Shokry Mohamed Gad</v>
          </cell>
          <cell r="C334" t="str">
            <v>Mahmoud AbdElSattar AbdElWahab</v>
          </cell>
          <cell r="D334" t="str">
            <v>Karam Belal Mohamed</v>
          </cell>
          <cell r="E334" t="str">
            <v>Abo El Abbas Samir</v>
          </cell>
          <cell r="F334" t="str">
            <v>DIA Line</v>
          </cell>
          <cell r="G334" t="str">
            <v>Rep_00080</v>
          </cell>
          <cell r="H334" t="str">
            <v>MR</v>
          </cell>
          <cell r="I334" t="str">
            <v>Delta</v>
          </cell>
          <cell r="J334">
            <v>1553246058</v>
          </cell>
          <cell r="K334">
            <v>45962</v>
          </cell>
        </row>
        <row r="334">
          <cell r="M334">
            <v>1777</v>
          </cell>
          <cell r="N334" t="str">
            <v>Belbais</v>
          </cell>
        </row>
        <row r="335">
          <cell r="A335">
            <v>1683</v>
          </cell>
          <cell r="B335" t="str">
            <v>Khaled Ahmed Fathy</v>
          </cell>
          <cell r="C335" t="str">
            <v>Mahmoud AbdElSattar AbdElWahab</v>
          </cell>
          <cell r="D335" t="str">
            <v>Karam Belal Mohamed</v>
          </cell>
          <cell r="E335" t="str">
            <v>Abo El Abbas Samir</v>
          </cell>
          <cell r="F335" t="str">
            <v>DIA Line</v>
          </cell>
          <cell r="G335" t="str">
            <v>Rep10071</v>
          </cell>
          <cell r="H335" t="str">
            <v>MR</v>
          </cell>
          <cell r="I335" t="str">
            <v>Delta</v>
          </cell>
          <cell r="J335">
            <v>1223027139</v>
          </cell>
          <cell r="K335">
            <v>45810</v>
          </cell>
        </row>
        <row r="335">
          <cell r="M335">
            <v>1683</v>
          </cell>
          <cell r="N335" t="str">
            <v>Shebien El Kanater</v>
          </cell>
        </row>
        <row r="336">
          <cell r="A336">
            <v>1838</v>
          </cell>
          <cell r="B336" t="str">
            <v>Moaz Samy Abdelraouf</v>
          </cell>
          <cell r="C336" t="str">
            <v>Mahmoud AbdElSattar AbdElWahab</v>
          </cell>
          <cell r="D336" t="str">
            <v>Karam Belal Mohamed</v>
          </cell>
          <cell r="E336" t="str">
            <v>Abo El Abbas Samir</v>
          </cell>
          <cell r="F336" t="str">
            <v>DIA Line</v>
          </cell>
          <cell r="G336" t="str">
            <v>Rep1034</v>
          </cell>
          <cell r="H336" t="str">
            <v>MR</v>
          </cell>
          <cell r="I336" t="str">
            <v>Delta</v>
          </cell>
          <cell r="J336">
            <v>1068040454</v>
          </cell>
          <cell r="K336">
            <v>46025</v>
          </cell>
        </row>
        <row r="336">
          <cell r="M336">
            <v>1838</v>
          </cell>
          <cell r="N336" t="str">
            <v>El Zakazik City</v>
          </cell>
        </row>
        <row r="337">
          <cell r="A337">
            <v>1825</v>
          </cell>
          <cell r="B337" t="str">
            <v>Mohamed Ibrahim Hamed</v>
          </cell>
          <cell r="C337" t="str">
            <v>Mahmoud AbdElSattar AbdElWahab</v>
          </cell>
          <cell r="D337" t="str">
            <v>Karam Belal Mohamed</v>
          </cell>
          <cell r="E337" t="str">
            <v>Abo El Abbas Samir</v>
          </cell>
          <cell r="F337" t="str">
            <v>DIA Line</v>
          </cell>
          <cell r="G337" t="str">
            <v>Rep_00155</v>
          </cell>
          <cell r="H337" t="str">
            <v>MR</v>
          </cell>
          <cell r="I337" t="str">
            <v>Delta</v>
          </cell>
          <cell r="J337">
            <v>1116336056</v>
          </cell>
          <cell r="K337">
            <v>46025</v>
          </cell>
        </row>
        <row r="337">
          <cell r="M337">
            <v>1825</v>
          </cell>
          <cell r="N337" t="str">
            <v>Fakoos</v>
          </cell>
        </row>
        <row r="338">
          <cell r="A338">
            <v>964</v>
          </cell>
          <cell r="B338" t="str">
            <v>Mohamed Mostafa Osman</v>
          </cell>
        </row>
        <row r="338">
          <cell r="E338" t="str">
            <v>Abo El Abbas Samir</v>
          </cell>
          <cell r="F338" t="str">
            <v>CVM Line &amp; DIA Line</v>
          </cell>
          <cell r="G338" t="str">
            <v>DM_50</v>
          </cell>
          <cell r="H338" t="str">
            <v>AM</v>
          </cell>
          <cell r="I338" t="str">
            <v>Cairo</v>
          </cell>
          <cell r="J338" t="str">
            <v> 1270022536</v>
          </cell>
          <cell r="K338">
            <v>44654</v>
          </cell>
          <cell r="L338" t="str">
            <v>Mohamed.Osman@Averroes-eg.com</v>
          </cell>
          <cell r="M338">
            <v>964</v>
          </cell>
          <cell r="N338" t="str">
            <v>Shobra El Khiema</v>
          </cell>
        </row>
        <row r="339">
          <cell r="A339">
            <v>1080</v>
          </cell>
          <cell r="B339" t="str">
            <v>Ahmed Adel Kasem</v>
          </cell>
        </row>
        <row r="339">
          <cell r="D339" t="str">
            <v>Mohamed Mostafa Osman</v>
          </cell>
          <cell r="E339" t="str">
            <v>Abo El Abbas Samir</v>
          </cell>
          <cell r="F339" t="str">
            <v>CVM Line</v>
          </cell>
          <cell r="G339" t="str">
            <v>DM_94</v>
          </cell>
          <cell r="H339" t="str">
            <v>DM</v>
          </cell>
          <cell r="I339" t="str">
            <v>Cairo</v>
          </cell>
          <cell r="J339" t="str">
            <v> 01121229559</v>
          </cell>
          <cell r="K339">
            <v>44940</v>
          </cell>
          <cell r="L339" t="str">
            <v>Ahmed.Adel.Kasem@averroes-eg.com</v>
          </cell>
          <cell r="M339">
            <v>1080</v>
          </cell>
          <cell r="N339" t="str">
            <v>El Badrashien</v>
          </cell>
        </row>
        <row r="340">
          <cell r="A340">
            <v>1203</v>
          </cell>
          <cell r="B340" t="str">
            <v>AbdelRahman Raafat Helmy</v>
          </cell>
          <cell r="C340" t="str">
            <v>Ahmed Adel Kasem</v>
          </cell>
          <cell r="D340" t="str">
            <v>Mohamed Mostafa Osman</v>
          </cell>
          <cell r="E340" t="str">
            <v>Abo El Abbas Samir</v>
          </cell>
          <cell r="F340" t="str">
            <v>CVM Line</v>
          </cell>
          <cell r="G340" t="str">
            <v>Rep728</v>
          </cell>
          <cell r="H340" t="str">
            <v>MR</v>
          </cell>
          <cell r="I340" t="str">
            <v>Cairo</v>
          </cell>
          <cell r="J340">
            <v>1030086979</v>
          </cell>
          <cell r="K340">
            <v>44982</v>
          </cell>
        </row>
        <row r="340">
          <cell r="M340">
            <v>1203</v>
          </cell>
          <cell r="N340" t="str">
            <v>El Omrania</v>
          </cell>
        </row>
        <row r="341">
          <cell r="A341">
            <v>1420</v>
          </cell>
          <cell r="B341" t="str">
            <v>Esraa ELDesoky Saad</v>
          </cell>
          <cell r="C341" t="str">
            <v>Ahmed Adel Kasem</v>
          </cell>
          <cell r="D341" t="str">
            <v>Mohamed Mostafa Osman</v>
          </cell>
          <cell r="E341" t="str">
            <v>Abo El Abbas Samir</v>
          </cell>
          <cell r="F341" t="str">
            <v>CVM Line</v>
          </cell>
          <cell r="G341" t="str">
            <v>Rep100029</v>
          </cell>
          <cell r="H341" t="str">
            <v>MR</v>
          </cell>
          <cell r="I341" t="str">
            <v>Cairo</v>
          </cell>
          <cell r="J341">
            <v>1128800071</v>
          </cell>
          <cell r="K341">
            <v>45507</v>
          </cell>
        </row>
        <row r="341">
          <cell r="M341">
            <v>1420</v>
          </cell>
          <cell r="N341" t="str">
            <v>El Talbeia (Faisal)</v>
          </cell>
        </row>
        <row r="342">
          <cell r="A342">
            <v>1478</v>
          </cell>
          <cell r="B342" t="str">
            <v>Mohannad Mohamed Salah</v>
          </cell>
          <cell r="C342" t="str">
            <v>Ahmed Adel Kasem</v>
          </cell>
          <cell r="D342" t="str">
            <v>Mohamed Mostafa Osman</v>
          </cell>
          <cell r="E342" t="str">
            <v>Abo El Abbas Samir</v>
          </cell>
          <cell r="F342" t="str">
            <v>CVM Line</v>
          </cell>
          <cell r="G342" t="str">
            <v>Rep100059</v>
          </cell>
          <cell r="H342" t="str">
            <v>MR</v>
          </cell>
          <cell r="I342" t="str">
            <v>Cairo</v>
          </cell>
          <cell r="J342">
            <v>1007877709</v>
          </cell>
          <cell r="K342">
            <v>45643</v>
          </cell>
        </row>
        <row r="342">
          <cell r="M342">
            <v>1478</v>
          </cell>
          <cell r="N342" t="str">
            <v>Fayoum</v>
          </cell>
        </row>
        <row r="343">
          <cell r="A343">
            <v>1820</v>
          </cell>
          <cell r="B343" t="str">
            <v>Nasra Mohamed Maher</v>
          </cell>
          <cell r="C343" t="str">
            <v>Ahmed Adel Kasem</v>
          </cell>
          <cell r="D343" t="str">
            <v>Mohamed Mostafa Osman</v>
          </cell>
          <cell r="E343" t="str">
            <v>Abo El Abbas Samir</v>
          </cell>
          <cell r="F343" t="str">
            <v>CVM Line</v>
          </cell>
          <cell r="G343" t="str">
            <v>Rep_00139</v>
          </cell>
          <cell r="H343" t="str">
            <v>MR</v>
          </cell>
          <cell r="I343" t="str">
            <v>Cairo</v>
          </cell>
          <cell r="J343">
            <v>1503003193</v>
          </cell>
          <cell r="K343">
            <v>46006</v>
          </cell>
        </row>
        <row r="343">
          <cell r="M343">
            <v>1820</v>
          </cell>
          <cell r="N343" t="str">
            <v>6th of October City</v>
          </cell>
        </row>
        <row r="344">
          <cell r="A344">
            <v>919</v>
          </cell>
          <cell r="B344" t="str">
            <v>Moustafa Mohamed Diab</v>
          </cell>
        </row>
        <row r="344">
          <cell r="D344" t="str">
            <v>Mohamed Mostafa Osman</v>
          </cell>
          <cell r="E344" t="str">
            <v>Abo El Abbas Samir</v>
          </cell>
          <cell r="F344" t="str">
            <v>CVM Line</v>
          </cell>
          <cell r="G344" t="str">
            <v>Rep275</v>
          </cell>
          <cell r="H344" t="str">
            <v>DM</v>
          </cell>
          <cell r="I344" t="str">
            <v>Cairo</v>
          </cell>
          <cell r="J344" t="str">
            <v> 1150520440</v>
          </cell>
          <cell r="K344">
            <v>44598</v>
          </cell>
          <cell r="L344" t="str">
            <v>Moustafa.Diab@averroes-eg.com</v>
          </cell>
          <cell r="M344">
            <v>919</v>
          </cell>
          <cell r="N344" t="str">
            <v>El Marg</v>
          </cell>
        </row>
        <row r="345">
          <cell r="A345">
            <v>957</v>
          </cell>
          <cell r="B345" t="str">
            <v>Alaa Sameh Mohamed</v>
          </cell>
          <cell r="C345" t="str">
            <v>Moustafa Mohamed Diab</v>
          </cell>
          <cell r="D345" t="str">
            <v>Mohamed Mostafa Osman</v>
          </cell>
          <cell r="E345" t="str">
            <v>Abo El Abbas Samir</v>
          </cell>
          <cell r="F345" t="str">
            <v>CVM Line</v>
          </cell>
          <cell r="G345" t="str">
            <v>Rep313</v>
          </cell>
          <cell r="H345" t="str">
            <v>MR</v>
          </cell>
          <cell r="I345" t="str">
            <v>Cairo</v>
          </cell>
          <cell r="J345" t="str">
            <v> 1021465722</v>
          </cell>
          <cell r="K345">
            <v>44625</v>
          </cell>
        </row>
        <row r="345">
          <cell r="M345">
            <v>957</v>
          </cell>
          <cell r="N345" t="str">
            <v>Ismaelia City</v>
          </cell>
        </row>
        <row r="346">
          <cell r="A346">
            <v>1575</v>
          </cell>
          <cell r="B346" t="str">
            <v>Asmaa Ahmed Farrag</v>
          </cell>
          <cell r="C346" t="str">
            <v>Moustafa Mohamed Diab</v>
          </cell>
          <cell r="D346" t="str">
            <v>Mohamed Mostafa Osman</v>
          </cell>
          <cell r="E346" t="str">
            <v>Abo El Abbas Samir</v>
          </cell>
          <cell r="F346" t="str">
            <v>CVM Line</v>
          </cell>
          <cell r="G346" t="str">
            <v>Rep10054</v>
          </cell>
          <cell r="H346" t="str">
            <v>MR</v>
          </cell>
          <cell r="I346" t="str">
            <v>Cairo</v>
          </cell>
          <cell r="J346">
            <v>1017334085</v>
          </cell>
          <cell r="K346">
            <v>45717</v>
          </cell>
        </row>
        <row r="346">
          <cell r="M346">
            <v>1575</v>
          </cell>
          <cell r="N346" t="str">
            <v>El Salam</v>
          </cell>
        </row>
        <row r="347">
          <cell r="A347">
            <v>1816</v>
          </cell>
          <cell r="B347" t="str">
            <v>Karim Gaber Abdelsamie</v>
          </cell>
          <cell r="C347" t="str">
            <v>Moustafa Mohamed Diab</v>
          </cell>
          <cell r="D347" t="str">
            <v>Mohamed Mostafa Osman</v>
          </cell>
          <cell r="E347" t="str">
            <v>Abo El Abbas Samir</v>
          </cell>
          <cell r="F347" t="str">
            <v>CVM Line</v>
          </cell>
          <cell r="G347" t="str">
            <v>Rep_00132</v>
          </cell>
          <cell r="H347" t="str">
            <v>MR</v>
          </cell>
          <cell r="I347" t="str">
            <v>Cairo</v>
          </cell>
          <cell r="J347">
            <v>1208379696</v>
          </cell>
          <cell r="K347">
            <v>46004</v>
          </cell>
        </row>
        <row r="347">
          <cell r="M347">
            <v>1816</v>
          </cell>
          <cell r="N347" t="str">
            <v>Hadaek El Kobbah</v>
          </cell>
        </row>
        <row r="348">
          <cell r="A348">
            <v>822</v>
          </cell>
          <cell r="B348" t="str">
            <v>Moustafa AbdElhalim Mohamed Osman</v>
          </cell>
          <cell r="C348" t="str">
            <v>Moustafa Mohamed Diab</v>
          </cell>
          <cell r="D348" t="str">
            <v>Mohamed Mostafa Osman</v>
          </cell>
          <cell r="E348" t="str">
            <v>Abo El Abbas Samir</v>
          </cell>
          <cell r="F348" t="str">
            <v>CVM Line</v>
          </cell>
          <cell r="G348" t="str">
            <v>Rep147</v>
          </cell>
          <cell r="H348" t="str">
            <v>MR</v>
          </cell>
          <cell r="I348" t="str">
            <v>Cairo</v>
          </cell>
          <cell r="J348">
            <v>1113219760</v>
          </cell>
          <cell r="K348">
            <v>44440</v>
          </cell>
        </row>
        <row r="348">
          <cell r="M348">
            <v>822</v>
          </cell>
          <cell r="N348" t="str">
            <v>Roksi</v>
          </cell>
        </row>
        <row r="349">
          <cell r="A349">
            <v>1378</v>
          </cell>
          <cell r="B349" t="str">
            <v>Salma Karem Mahmoud Khalifa</v>
          </cell>
          <cell r="C349" t="str">
            <v>Moustafa Mohamed Diab</v>
          </cell>
          <cell r="D349" t="str">
            <v>Mohamed Mostafa Osman</v>
          </cell>
          <cell r="E349" t="str">
            <v>Abo El Abbas Samir</v>
          </cell>
          <cell r="F349" t="str">
            <v>CVM Line</v>
          </cell>
          <cell r="G349" t="str">
            <v>Rep0030</v>
          </cell>
          <cell r="H349" t="str">
            <v>MR</v>
          </cell>
          <cell r="I349" t="str">
            <v>Cairo</v>
          </cell>
          <cell r="J349">
            <v>1151554870</v>
          </cell>
          <cell r="K349">
            <v>45444</v>
          </cell>
        </row>
        <row r="349">
          <cell r="M349">
            <v>1378</v>
          </cell>
          <cell r="N349" t="str">
            <v>El Marg</v>
          </cell>
        </row>
        <row r="350">
          <cell r="A350">
            <v>902</v>
          </cell>
          <cell r="B350" t="str">
            <v>Nourhan Mohamed Ali</v>
          </cell>
        </row>
        <row r="350">
          <cell r="D350" t="str">
            <v>Mohamed Mostafa Osman</v>
          </cell>
          <cell r="E350" t="str">
            <v>Abo El Abbas Samir</v>
          </cell>
          <cell r="F350" t="str">
            <v>CVM Line</v>
          </cell>
          <cell r="G350" t="str">
            <v>Rep279</v>
          </cell>
          <cell r="H350" t="str">
            <v>DM</v>
          </cell>
          <cell r="I350" t="str">
            <v>Cairo</v>
          </cell>
          <cell r="J350" t="str">
            <v> 1140755966</v>
          </cell>
          <cell r="K350">
            <v>44598</v>
          </cell>
        </row>
        <row r="350">
          <cell r="M350">
            <v>902</v>
          </cell>
          <cell r="N350" t="str">
            <v>Helwan</v>
          </cell>
        </row>
        <row r="351">
          <cell r="A351">
            <v>1423</v>
          </cell>
          <cell r="B351" t="str">
            <v>Ahmed khaled AboNwar</v>
          </cell>
          <cell r="C351" t="str">
            <v>Nourhan Mohamed Ali</v>
          </cell>
          <cell r="D351" t="str">
            <v>Mohamed Mostafa Osman</v>
          </cell>
          <cell r="E351" t="str">
            <v>Abo El Abbas Samir</v>
          </cell>
          <cell r="F351" t="str">
            <v>CVM Line</v>
          </cell>
          <cell r="G351" t="str">
            <v>Rep100027</v>
          </cell>
          <cell r="H351" t="str">
            <v>MR</v>
          </cell>
          <cell r="I351" t="str">
            <v>Cairo</v>
          </cell>
          <cell r="J351">
            <v>1150767238</v>
          </cell>
          <cell r="K351">
            <v>45514</v>
          </cell>
        </row>
        <row r="351">
          <cell r="M351">
            <v>1423</v>
          </cell>
          <cell r="N351" t="str">
            <v>Embaba</v>
          </cell>
        </row>
        <row r="352">
          <cell r="A352">
            <v>1527</v>
          </cell>
          <cell r="B352" t="str">
            <v>Moamen Mohamed Saleh</v>
          </cell>
          <cell r="C352" t="str">
            <v>Nourhan Mohamed Ali</v>
          </cell>
          <cell r="D352" t="str">
            <v>Mohamed Mostafa Osman</v>
          </cell>
          <cell r="E352" t="str">
            <v>Abo El Abbas Samir</v>
          </cell>
          <cell r="F352" t="str">
            <v>CVM Line</v>
          </cell>
          <cell r="G352" t="str">
            <v>AVR_30</v>
          </cell>
          <cell r="H352" t="str">
            <v>MR</v>
          </cell>
          <cell r="I352" t="str">
            <v>Cairo</v>
          </cell>
          <cell r="J352">
            <v>1221429587</v>
          </cell>
          <cell r="K352">
            <v>45689</v>
          </cell>
        </row>
        <row r="352">
          <cell r="M352">
            <v>1527</v>
          </cell>
        </row>
        <row r="353">
          <cell r="A353">
            <v>1402</v>
          </cell>
          <cell r="B353" t="str">
            <v>Sarah Safwat Fadel Mohamed</v>
          </cell>
          <cell r="C353" t="str">
            <v>Nourhan Mohamed Ali</v>
          </cell>
          <cell r="D353" t="str">
            <v>Mohamed Mostafa Osman</v>
          </cell>
          <cell r="E353" t="str">
            <v>Abo El Abbas Samir</v>
          </cell>
          <cell r="F353" t="str">
            <v>CVM Line</v>
          </cell>
          <cell r="G353" t="str">
            <v>Rep10009</v>
          </cell>
          <cell r="H353" t="str">
            <v>MR</v>
          </cell>
          <cell r="I353" t="str">
            <v>Cairo</v>
          </cell>
          <cell r="J353">
            <v>1094978573</v>
          </cell>
          <cell r="K353">
            <v>45465</v>
          </cell>
        </row>
        <row r="353">
          <cell r="M353">
            <v>1402</v>
          </cell>
          <cell r="N353" t="str">
            <v>Shobra El Khiema</v>
          </cell>
        </row>
        <row r="354">
          <cell r="A354">
            <v>1607</v>
          </cell>
          <cell r="B354" t="str">
            <v>Shimaa Esmat Mohamed</v>
          </cell>
          <cell r="C354" t="str">
            <v>Nourhan Mohamed Ali</v>
          </cell>
          <cell r="D354" t="str">
            <v>Mohamed Mostafa Osman</v>
          </cell>
          <cell r="E354" t="str">
            <v>Abo El Abbas Samir</v>
          </cell>
          <cell r="F354" t="str">
            <v>CVM Line</v>
          </cell>
          <cell r="G354" t="str">
            <v>Rep1018</v>
          </cell>
          <cell r="H354" t="str">
            <v>MR</v>
          </cell>
          <cell r="I354" t="str">
            <v>Cairo</v>
          </cell>
          <cell r="J354">
            <v>1155571637</v>
          </cell>
          <cell r="K354">
            <v>45752</v>
          </cell>
        </row>
        <row r="354">
          <cell r="M354">
            <v>1607</v>
          </cell>
          <cell r="N354" t="str">
            <v>El Maasara</v>
          </cell>
        </row>
        <row r="355">
          <cell r="A355">
            <v>1600</v>
          </cell>
          <cell r="B355" t="str">
            <v>Ahmed Mohamed ElSayed Ali</v>
          </cell>
        </row>
        <row r="355">
          <cell r="D355" t="str">
            <v>Mohamed Mostafa Osman</v>
          </cell>
          <cell r="E355" t="str">
            <v>Abo El Abbas Samir</v>
          </cell>
          <cell r="F355" t="str">
            <v>DIA Line</v>
          </cell>
          <cell r="G355" t="str">
            <v>DM1016</v>
          </cell>
          <cell r="H355" t="str">
            <v>DM</v>
          </cell>
          <cell r="I355" t="str">
            <v>Cairo</v>
          </cell>
          <cell r="J355">
            <v>1152596661</v>
          </cell>
          <cell r="K355">
            <v>45752</v>
          </cell>
          <cell r="L355" t="str">
            <v>Ahmed.Mohamed.ElSayed@averroes-eg.com</v>
          </cell>
          <cell r="M355">
            <v>1600</v>
          </cell>
          <cell r="N355" t="str">
            <v>Elmataria</v>
          </cell>
        </row>
        <row r="356">
          <cell r="A356">
            <v>1653</v>
          </cell>
          <cell r="B356" t="str">
            <v>Androw Ayman Gaied Sharmoch</v>
          </cell>
          <cell r="C356" t="str">
            <v>Ahmed Mohamed ElSayed Ali</v>
          </cell>
          <cell r="D356" t="str">
            <v>Mohamed Mostafa Osman</v>
          </cell>
          <cell r="E356" t="str">
            <v>Abo El Abbas Samir</v>
          </cell>
          <cell r="F356" t="str">
            <v>DIA Line</v>
          </cell>
          <cell r="G356" t="str">
            <v>MR_1891</v>
          </cell>
          <cell r="H356" t="str">
            <v>MR</v>
          </cell>
          <cell r="I356" t="str">
            <v>Cairo</v>
          </cell>
          <cell r="J356">
            <v>1278644170</v>
          </cell>
          <cell r="K356">
            <v>45780</v>
          </cell>
        </row>
        <row r="356">
          <cell r="M356">
            <v>1653</v>
          </cell>
          <cell r="N356" t="str">
            <v>Hadayek elkobba</v>
          </cell>
        </row>
        <row r="357">
          <cell r="A357">
            <v>1654</v>
          </cell>
          <cell r="B357" t="str">
            <v>Kerolos Shehata Hakeem</v>
          </cell>
          <cell r="C357" t="str">
            <v>Ahmed Mohamed ElSayed Ali</v>
          </cell>
          <cell r="D357" t="str">
            <v>Mohamed Mostafa Osman</v>
          </cell>
          <cell r="E357" t="str">
            <v>Abo El Abbas Samir</v>
          </cell>
          <cell r="F357" t="str">
            <v>DIA Line</v>
          </cell>
          <cell r="G357" t="str">
            <v>MR_1892</v>
          </cell>
          <cell r="H357" t="str">
            <v>MR</v>
          </cell>
          <cell r="I357" t="str">
            <v>Cairo</v>
          </cell>
          <cell r="J357">
            <v>1208821340</v>
          </cell>
          <cell r="K357">
            <v>45780</v>
          </cell>
        </row>
        <row r="357">
          <cell r="M357">
            <v>1654</v>
          </cell>
          <cell r="N357" t="str">
            <v>Khsos</v>
          </cell>
        </row>
        <row r="358">
          <cell r="A358">
            <v>1818</v>
          </cell>
          <cell r="B358" t="str">
            <v>Lena Kasem Fadel</v>
          </cell>
          <cell r="C358" t="str">
            <v>Ahmed Mohamed ElSayed Ali</v>
          </cell>
          <cell r="D358" t="str">
            <v>Mohamed Mostafa Osman</v>
          </cell>
          <cell r="E358" t="str">
            <v>Abo El Abbas Samir</v>
          </cell>
          <cell r="F358" t="str">
            <v>DIA Line</v>
          </cell>
          <cell r="G358" t="str">
            <v>Rep_00135</v>
          </cell>
          <cell r="H358" t="str">
            <v>MR</v>
          </cell>
          <cell r="I358" t="str">
            <v>Cairo</v>
          </cell>
          <cell r="J358">
            <v>1030761317</v>
          </cell>
          <cell r="K358">
            <v>45997</v>
          </cell>
        </row>
        <row r="358">
          <cell r="M358">
            <v>1818</v>
          </cell>
          <cell r="N358" t="str">
            <v>El Obour City</v>
          </cell>
        </row>
        <row r="359">
          <cell r="A359">
            <v>1655</v>
          </cell>
          <cell r="B359" t="str">
            <v>Nourhan Ahmed Abdelhamed</v>
          </cell>
          <cell r="C359" t="str">
            <v>Ahmed Mohamed ElSayed Ali</v>
          </cell>
          <cell r="D359" t="str">
            <v>Mohamed Mostafa Osman</v>
          </cell>
          <cell r="E359" t="str">
            <v>Abo El Abbas Samir</v>
          </cell>
          <cell r="F359" t="str">
            <v>DIA Line</v>
          </cell>
          <cell r="G359" t="str">
            <v>MR_1890</v>
          </cell>
          <cell r="H359" t="str">
            <v>MR</v>
          </cell>
          <cell r="I359" t="str">
            <v>Cairo</v>
          </cell>
          <cell r="J359">
            <v>1068982036</v>
          </cell>
          <cell r="K359">
            <v>45780</v>
          </cell>
        </row>
        <row r="359">
          <cell r="M359">
            <v>1655</v>
          </cell>
          <cell r="N359" t="str">
            <v>Ismaillia</v>
          </cell>
        </row>
        <row r="360">
          <cell r="A360">
            <v>1807</v>
          </cell>
          <cell r="B360" t="str">
            <v>Mai Mahmoud Hamed</v>
          </cell>
          <cell r="C360" t="str">
            <v>L11_Vacant_Giza &amp; Fayoum</v>
          </cell>
          <cell r="D360" t="str">
            <v>Mohamed Mostafa Osman</v>
          </cell>
          <cell r="E360" t="str">
            <v>Abo El Abbas Samir</v>
          </cell>
          <cell r="F360" t="str">
            <v>DIA Line</v>
          </cell>
          <cell r="G360" t="str">
            <v>Rep_00123</v>
          </cell>
          <cell r="H360" t="str">
            <v>MR</v>
          </cell>
          <cell r="I360" t="str">
            <v>Cairo</v>
          </cell>
          <cell r="J360">
            <v>1143258719</v>
          </cell>
          <cell r="K360">
            <v>45992</v>
          </cell>
        </row>
        <row r="360">
          <cell r="M360">
            <v>1807</v>
          </cell>
          <cell r="N360" t="str">
            <v>El Ayat</v>
          </cell>
        </row>
        <row r="361">
          <cell r="A361">
            <v>1651</v>
          </cell>
          <cell r="B361" t="str">
            <v>Mohamed Yasser Zakaria Mohamed</v>
          </cell>
          <cell r="C361" t="str">
            <v>L11_Vacant_Giza &amp; Fayoum</v>
          </cell>
          <cell r="D361" t="str">
            <v>Mohamed Mostafa Osman</v>
          </cell>
          <cell r="E361" t="str">
            <v>Abo El Abbas Samir</v>
          </cell>
          <cell r="F361" t="str">
            <v>DIA Line</v>
          </cell>
          <cell r="G361" t="str">
            <v>MR_1888</v>
          </cell>
          <cell r="H361" t="str">
            <v>MR</v>
          </cell>
          <cell r="I361" t="str">
            <v>Cairo</v>
          </cell>
          <cell r="J361">
            <v>1060036380</v>
          </cell>
          <cell r="K361">
            <v>45780</v>
          </cell>
        </row>
        <row r="361">
          <cell r="M361">
            <v>1651</v>
          </cell>
          <cell r="N361" t="str">
            <v>October</v>
          </cell>
        </row>
        <row r="362">
          <cell r="A362">
            <v>1753</v>
          </cell>
          <cell r="B362" t="str">
            <v>Mostafa Ekramy Mostafa</v>
          </cell>
          <cell r="C362" t="str">
            <v>L11_Vacant_Giza &amp; Fayoum</v>
          </cell>
          <cell r="D362" t="str">
            <v>Mohamed Mostafa Osman</v>
          </cell>
          <cell r="E362" t="str">
            <v>Abo El Abbas Samir</v>
          </cell>
          <cell r="F362" t="str">
            <v>DIA Line</v>
          </cell>
          <cell r="G362" t="str">
            <v>Rep100009</v>
          </cell>
          <cell r="H362" t="str">
            <v>MR</v>
          </cell>
          <cell r="I362" t="str">
            <v>Cairo</v>
          </cell>
          <cell r="J362">
            <v>1111751972</v>
          </cell>
          <cell r="K362">
            <v>45920</v>
          </cell>
        </row>
        <row r="362">
          <cell r="M362">
            <v>1753</v>
          </cell>
          <cell r="N362" t="str">
            <v>Faisal</v>
          </cell>
        </row>
        <row r="363">
          <cell r="A363">
            <v>1737</v>
          </cell>
          <cell r="B363" t="str">
            <v>Shahd Alaa Zakaria</v>
          </cell>
          <cell r="C363" t="str">
            <v>L11_Vacant_Giza &amp; Fayoum</v>
          </cell>
          <cell r="D363" t="str">
            <v>Mohamed Mostafa Osman</v>
          </cell>
          <cell r="E363" t="str">
            <v>Abo El Abbas Samir</v>
          </cell>
          <cell r="F363" t="str">
            <v>DIA Line</v>
          </cell>
          <cell r="G363" t="str">
            <v>Rep1000009</v>
          </cell>
          <cell r="H363" t="str">
            <v>MR</v>
          </cell>
          <cell r="I363" t="str">
            <v>Cairo</v>
          </cell>
          <cell r="J363">
            <v>1008528492</v>
          </cell>
          <cell r="K363">
            <v>45885</v>
          </cell>
        </row>
        <row r="363">
          <cell r="M363">
            <v>1737</v>
          </cell>
          <cell r="N363" t="str">
            <v>El Warak</v>
          </cell>
        </row>
        <row r="364">
          <cell r="A364">
            <v>1350</v>
          </cell>
          <cell r="B364" t="str">
            <v>Nermeen Zaki AbdElMaseh</v>
          </cell>
        </row>
        <row r="364">
          <cell r="D364" t="str">
            <v>Mohamed Mostafa Osman</v>
          </cell>
          <cell r="E364" t="str">
            <v>Abo El Abbas Samir</v>
          </cell>
          <cell r="F364" t="str">
            <v>DIA Line</v>
          </cell>
          <cell r="G364" t="str">
            <v>DM_143</v>
          </cell>
          <cell r="H364" t="str">
            <v>DM</v>
          </cell>
          <cell r="I364" t="str">
            <v>Cairo</v>
          </cell>
          <cell r="J364">
            <v>1068816736</v>
          </cell>
          <cell r="K364">
            <v>45419</v>
          </cell>
          <cell r="L364" t="str">
            <v>Nermeen.Zaki.AbdElMaseh@averroes-eg.com</v>
          </cell>
          <cell r="M364">
            <v>1350</v>
          </cell>
          <cell r="N364" t="str">
            <v>el sahel</v>
          </cell>
        </row>
        <row r="365">
          <cell r="A365">
            <v>1652</v>
          </cell>
          <cell r="B365" t="str">
            <v>Alaa Ragab Ibrahim Mahran</v>
          </cell>
          <cell r="C365" t="str">
            <v>Nermeen Zaki AbdElMaseh</v>
          </cell>
          <cell r="D365" t="str">
            <v>Mohamed Mostafa Osman</v>
          </cell>
          <cell r="E365" t="str">
            <v>Abo El Abbas Samir</v>
          </cell>
          <cell r="F365" t="str">
            <v>DIA Line</v>
          </cell>
          <cell r="G365" t="str">
            <v>MR_1889</v>
          </cell>
          <cell r="H365" t="str">
            <v>MR</v>
          </cell>
          <cell r="I365" t="str">
            <v>Cairo</v>
          </cell>
          <cell r="J365">
            <v>1012890069</v>
          </cell>
          <cell r="K365">
            <v>45780</v>
          </cell>
        </row>
        <row r="365">
          <cell r="M365">
            <v>1652</v>
          </cell>
          <cell r="N365" t="str">
            <v>Shoubra</v>
          </cell>
        </row>
        <row r="366">
          <cell r="A366">
            <v>1656</v>
          </cell>
          <cell r="B366" t="str">
            <v>Donia Nasry Afandy</v>
          </cell>
          <cell r="C366" t="str">
            <v>Nermeen Zaki AbdElMaseh</v>
          </cell>
          <cell r="D366" t="str">
            <v>Mohamed Mostafa Osman</v>
          </cell>
          <cell r="E366" t="str">
            <v>Abo El Abbas Samir</v>
          </cell>
          <cell r="F366" t="str">
            <v>DIA Line</v>
          </cell>
          <cell r="G366" t="str">
            <v>MR_1894</v>
          </cell>
          <cell r="H366" t="str">
            <v>MR</v>
          </cell>
          <cell r="I366" t="str">
            <v>Cairo</v>
          </cell>
          <cell r="J366">
            <v>1284911947</v>
          </cell>
          <cell r="K366">
            <v>45780</v>
          </cell>
        </row>
        <row r="366">
          <cell r="M366">
            <v>1656</v>
          </cell>
          <cell r="N366" t="str">
            <v>Imbaba</v>
          </cell>
        </row>
        <row r="367">
          <cell r="A367">
            <v>1813</v>
          </cell>
          <cell r="B367" t="str">
            <v>Waleed Mohammed Saad Eldesoky</v>
          </cell>
          <cell r="C367" t="str">
            <v>Nermeen Zaki AbdElMaseh</v>
          </cell>
          <cell r="D367" t="str">
            <v>Mohamed Mostafa Osman</v>
          </cell>
          <cell r="E367" t="str">
            <v>Abo El Abbas Samir</v>
          </cell>
          <cell r="F367" t="str">
            <v>DIA Line</v>
          </cell>
          <cell r="G367" t="str">
            <v>Rep_00129</v>
          </cell>
          <cell r="H367" t="str">
            <v>MR</v>
          </cell>
          <cell r="I367" t="str">
            <v>Cairo</v>
          </cell>
          <cell r="J367">
            <v>1092362363</v>
          </cell>
          <cell r="K367">
            <v>45999</v>
          </cell>
        </row>
        <row r="367">
          <cell r="M367">
            <v>1813</v>
          </cell>
          <cell r="N367" t="str">
            <v>El Maadi</v>
          </cell>
        </row>
        <row r="368">
          <cell r="A368">
            <v>1290</v>
          </cell>
          <cell r="B368" t="str">
            <v>Mostafa Maged Mohamed</v>
          </cell>
        </row>
        <row r="368">
          <cell r="E368" t="str">
            <v>Abo El Abbas Samir</v>
          </cell>
          <cell r="F368" t="str">
            <v>CVM Line &amp; DIA Line</v>
          </cell>
          <cell r="G368" t="str">
            <v>ZM_37</v>
          </cell>
          <cell r="H368" t="str">
            <v>AM</v>
          </cell>
          <cell r="I368" t="str">
            <v>Upper Egypt</v>
          </cell>
          <cell r="J368">
            <v>1092111119</v>
          </cell>
          <cell r="K368">
            <v>45231</v>
          </cell>
          <cell r="L368" t="str">
            <v>Mostafa.Maged.Mohamed@averroes-eg.com</v>
          </cell>
          <cell r="M368">
            <v>1290</v>
          </cell>
          <cell r="N368" t="str">
            <v>Tahta</v>
          </cell>
        </row>
        <row r="369">
          <cell r="A369">
            <v>83</v>
          </cell>
          <cell r="B369" t="str">
            <v>Medhat AbdElnasser Mohamed</v>
          </cell>
        </row>
        <row r="369">
          <cell r="D369" t="str">
            <v>Mostafa Maged Mohamed</v>
          </cell>
          <cell r="E369" t="str">
            <v>Abo El Abbas Samir</v>
          </cell>
          <cell r="F369" t="str">
            <v>CVM Line</v>
          </cell>
          <cell r="G369" t="str">
            <v>DM_38</v>
          </cell>
          <cell r="H369" t="str">
            <v>DM</v>
          </cell>
          <cell r="I369" t="str">
            <v>Upper Egypt</v>
          </cell>
          <cell r="J369" t="str">
            <v> 1030827666</v>
          </cell>
          <cell r="K369">
            <v>41658</v>
          </cell>
          <cell r="L369" t="str">
            <v>medhat.abdelnasser@averroes-eg.com</v>
          </cell>
          <cell r="M369">
            <v>83</v>
          </cell>
          <cell r="N369" t="str">
            <v>Nagaa Hamady</v>
          </cell>
        </row>
        <row r="370">
          <cell r="A370">
            <v>513</v>
          </cell>
          <cell r="B370" t="str">
            <v>Asmaa Nasser Abdelhalim</v>
          </cell>
          <cell r="C370" t="str">
            <v>Medhat AbdElnasser Mohamed</v>
          </cell>
          <cell r="D370" t="str">
            <v>Mostafa Maged Mohamed</v>
          </cell>
          <cell r="E370" t="str">
            <v>Abo El Abbas Samir</v>
          </cell>
          <cell r="F370" t="str">
            <v>CVM Line</v>
          </cell>
          <cell r="G370" t="str">
            <v>Rep203</v>
          </cell>
          <cell r="H370" t="str">
            <v>MR</v>
          </cell>
          <cell r="I370" t="str">
            <v>Upper Egypt</v>
          </cell>
          <cell r="J370">
            <v>1114454222</v>
          </cell>
          <cell r="K370">
            <v>43834</v>
          </cell>
        </row>
        <row r="370">
          <cell r="M370">
            <v>513</v>
          </cell>
          <cell r="N370" t="str">
            <v>Sakalta</v>
          </cell>
        </row>
        <row r="371">
          <cell r="A371">
            <v>916</v>
          </cell>
          <cell r="B371" t="str">
            <v>Aya Mohamed Abo ElMagd</v>
          </cell>
          <cell r="C371" t="str">
            <v>Medhat AbdElnasser Mohamed</v>
          </cell>
          <cell r="D371" t="str">
            <v>Mostafa Maged Mohamed</v>
          </cell>
          <cell r="E371" t="str">
            <v>Abo El Abbas Samir</v>
          </cell>
          <cell r="F371" t="str">
            <v>CVM Line</v>
          </cell>
          <cell r="G371" t="str">
            <v>Rep326</v>
          </cell>
          <cell r="H371" t="str">
            <v>MR</v>
          </cell>
          <cell r="I371" t="str">
            <v>Upper Egypt</v>
          </cell>
          <cell r="J371" t="str">
            <v> 1095144727</v>
          </cell>
          <cell r="K371">
            <v>44593</v>
          </cell>
        </row>
        <row r="371">
          <cell r="M371">
            <v>916</v>
          </cell>
          <cell r="N371" t="str">
            <v>Luxor City</v>
          </cell>
        </row>
        <row r="372">
          <cell r="A372">
            <v>1631</v>
          </cell>
          <cell r="B372" t="str">
            <v>Fatma Mounir Ali</v>
          </cell>
          <cell r="C372" t="str">
            <v>Medhat AbdElnasser Mohamed</v>
          </cell>
          <cell r="D372" t="str">
            <v>Mostafa Maged Mohamed</v>
          </cell>
          <cell r="E372" t="str">
            <v>Abo El Abbas Samir</v>
          </cell>
          <cell r="F372" t="str">
            <v>CVM Line</v>
          </cell>
          <cell r="G372" t="str">
            <v>Rep100129</v>
          </cell>
          <cell r="H372" t="str">
            <v>MR</v>
          </cell>
          <cell r="I372" t="str">
            <v>Upper Egypt</v>
          </cell>
          <cell r="J372">
            <v>1143119675</v>
          </cell>
          <cell r="K372">
            <v>45787</v>
          </cell>
        </row>
        <row r="372">
          <cell r="M372">
            <v>1631</v>
          </cell>
          <cell r="N372" t="str">
            <v>Aswan City</v>
          </cell>
        </row>
        <row r="373">
          <cell r="A373">
            <v>1867</v>
          </cell>
          <cell r="B373" t="str">
            <v>Gakleen Emad Anwer</v>
          </cell>
          <cell r="C373" t="str">
            <v>Medhat AbdElnasser Mohamed</v>
          </cell>
          <cell r="D373" t="str">
            <v>Mostafa Maged Mohamed</v>
          </cell>
          <cell r="E373" t="str">
            <v>Abo El Abbas Samir</v>
          </cell>
          <cell r="F373" t="str">
            <v>CVM Line</v>
          </cell>
          <cell r="G373" t="str">
            <v>Rep_00147</v>
          </cell>
          <cell r="H373" t="str">
            <v>MR</v>
          </cell>
          <cell r="I373" t="str">
            <v>Upper Egypt</v>
          </cell>
          <cell r="J373">
            <v>1227702182</v>
          </cell>
          <cell r="K373">
            <v>46062</v>
          </cell>
        </row>
        <row r="373">
          <cell r="M373">
            <v>1867</v>
          </cell>
          <cell r="N373" t="str">
            <v>Nagaa Hamady</v>
          </cell>
        </row>
        <row r="374">
          <cell r="A374">
            <v>804</v>
          </cell>
          <cell r="B374" t="str">
            <v>Merna Emeel Shokralla</v>
          </cell>
          <cell r="C374" t="str">
            <v>Medhat AbdElnasser Mohamed</v>
          </cell>
          <cell r="D374" t="str">
            <v>Mostafa Maged Mohamed</v>
          </cell>
          <cell r="E374" t="str">
            <v>Abo El Abbas Samir</v>
          </cell>
          <cell r="F374" t="str">
            <v>CVM Line</v>
          </cell>
          <cell r="G374" t="str">
            <v>Rep321</v>
          </cell>
          <cell r="H374" t="str">
            <v>MR</v>
          </cell>
          <cell r="I374" t="str">
            <v>Upper Egypt</v>
          </cell>
          <cell r="J374">
            <v>0</v>
          </cell>
          <cell r="K374">
            <v>44409</v>
          </cell>
        </row>
        <row r="374">
          <cell r="M374">
            <v>804</v>
          </cell>
          <cell r="N374" t="str">
            <v>Gerga</v>
          </cell>
        </row>
        <row r="375">
          <cell r="A375">
            <v>1689</v>
          </cell>
          <cell r="B375" t="str">
            <v>Mream Nashaat Ameen Atya</v>
          </cell>
          <cell r="C375" t="str">
            <v>Medhat AbdElnasser Mohamed</v>
          </cell>
          <cell r="D375" t="str">
            <v>Mostafa Maged Mohamed</v>
          </cell>
          <cell r="E375" t="str">
            <v>Abo El Abbas Samir</v>
          </cell>
          <cell r="F375" t="str">
            <v>CVM Line</v>
          </cell>
          <cell r="G375" t="str">
            <v>Rep10078</v>
          </cell>
          <cell r="H375" t="str">
            <v>MR</v>
          </cell>
          <cell r="I375" t="str">
            <v>Upper Egypt</v>
          </cell>
          <cell r="J375">
            <v>1286199823</v>
          </cell>
          <cell r="K375">
            <v>45822</v>
          </cell>
        </row>
        <row r="375">
          <cell r="M375">
            <v>1689</v>
          </cell>
          <cell r="N375" t="str">
            <v>Quena City</v>
          </cell>
        </row>
        <row r="376">
          <cell r="A376">
            <v>1268</v>
          </cell>
          <cell r="B376" t="str">
            <v>Simon Nageh kamel</v>
          </cell>
          <cell r="C376" t="str">
            <v>Medhat AbdElnasser Mohamed</v>
          </cell>
          <cell r="D376" t="str">
            <v>Mostafa Maged Mohamed</v>
          </cell>
          <cell r="E376" t="str">
            <v>Abo El Abbas Samir</v>
          </cell>
          <cell r="F376" t="str">
            <v>CVM Line</v>
          </cell>
          <cell r="G376" t="str">
            <v>Rep034</v>
          </cell>
          <cell r="H376" t="str">
            <v>MR</v>
          </cell>
          <cell r="I376" t="str">
            <v>Upper Egypt</v>
          </cell>
          <cell r="J376">
            <v>1227048802</v>
          </cell>
          <cell r="K376">
            <v>45185</v>
          </cell>
        </row>
        <row r="376">
          <cell r="M376">
            <v>1268</v>
          </cell>
          <cell r="N376" t="str">
            <v>Tahta</v>
          </cell>
        </row>
        <row r="377">
          <cell r="A377">
            <v>348</v>
          </cell>
          <cell r="B377" t="str">
            <v>Mohamed Saad Sedik</v>
          </cell>
        </row>
        <row r="377">
          <cell r="D377" t="str">
            <v>Mostafa Maged Mohamed</v>
          </cell>
          <cell r="E377" t="str">
            <v>Abo El Abbas Samir</v>
          </cell>
          <cell r="F377" t="str">
            <v>CVM Line</v>
          </cell>
          <cell r="G377" t="str">
            <v>Rep415</v>
          </cell>
          <cell r="H377" t="str">
            <v>DM</v>
          </cell>
          <cell r="I377" t="str">
            <v>Upper Egypt</v>
          </cell>
          <cell r="J377" t="str">
            <v> 1022285517</v>
          </cell>
          <cell r="K377">
            <v>44819</v>
          </cell>
          <cell r="L377" t="str">
            <v>Mohamed.Saad.Sedik@averroes-eg.com</v>
          </cell>
          <cell r="M377">
            <v>348</v>
          </cell>
          <cell r="N377" t="str">
            <v>Manqabad</v>
          </cell>
        </row>
        <row r="378">
          <cell r="A378">
            <v>1526</v>
          </cell>
          <cell r="B378" t="str">
            <v>Ahmed Ramadan Kamal</v>
          </cell>
          <cell r="C378" t="str">
            <v>Mohamed Saad Sedik</v>
          </cell>
          <cell r="D378" t="str">
            <v>Mostafa Maged Mohamed</v>
          </cell>
          <cell r="E378" t="str">
            <v>Abo El Abbas Samir</v>
          </cell>
          <cell r="F378" t="str">
            <v>CVM Line</v>
          </cell>
          <cell r="G378" t="str">
            <v>AVR_29</v>
          </cell>
          <cell r="H378" t="str">
            <v>MR</v>
          </cell>
          <cell r="I378" t="str">
            <v>Upper Egypt</v>
          </cell>
          <cell r="J378">
            <v>1069607055</v>
          </cell>
          <cell r="K378">
            <v>45689</v>
          </cell>
        </row>
        <row r="378">
          <cell r="M378">
            <v>1526</v>
          </cell>
          <cell r="N378" t="str">
            <v>Malawy</v>
          </cell>
        </row>
        <row r="379">
          <cell r="A379">
            <v>1259</v>
          </cell>
          <cell r="B379" t="str">
            <v>Fady Thabet Zakher</v>
          </cell>
          <cell r="C379" t="str">
            <v>Mohamed Saad Sedik</v>
          </cell>
          <cell r="D379" t="str">
            <v>Mostafa Maged Mohamed</v>
          </cell>
          <cell r="E379" t="str">
            <v>Abo El Abbas Samir</v>
          </cell>
          <cell r="F379" t="str">
            <v>CVM Line</v>
          </cell>
          <cell r="G379" t="str">
            <v>Rep834</v>
          </cell>
          <cell r="H379" t="str">
            <v>MR</v>
          </cell>
          <cell r="I379" t="str">
            <v>Upper Egypt</v>
          </cell>
          <cell r="J379">
            <v>1211455979</v>
          </cell>
          <cell r="K379">
            <v>45172</v>
          </cell>
        </row>
        <row r="379">
          <cell r="M379">
            <v>1259</v>
          </cell>
          <cell r="N379" t="str">
            <v>Bani Mazar</v>
          </cell>
        </row>
        <row r="380">
          <cell r="A380">
            <v>1804</v>
          </cell>
          <cell r="B380" t="str">
            <v>Hossam Thabet Abdelshafea</v>
          </cell>
          <cell r="C380" t="str">
            <v>Mohamed Saad Sedik</v>
          </cell>
          <cell r="D380" t="str">
            <v>Mostafa Maged Mohamed</v>
          </cell>
          <cell r="E380" t="str">
            <v>Abo El Abbas Samir</v>
          </cell>
          <cell r="F380" t="str">
            <v>CVM Line</v>
          </cell>
          <cell r="G380" t="str">
            <v>Rep_00102</v>
          </cell>
          <cell r="H380" t="str">
            <v>MR</v>
          </cell>
          <cell r="I380" t="str">
            <v>Upper Egypt</v>
          </cell>
          <cell r="J380">
            <v>1122731323</v>
          </cell>
          <cell r="K380">
            <v>45992</v>
          </cell>
        </row>
        <row r="380">
          <cell r="M380">
            <v>1804</v>
          </cell>
          <cell r="N380" t="str">
            <v>Bani Swaif City</v>
          </cell>
        </row>
        <row r="381">
          <cell r="A381">
            <v>816</v>
          </cell>
          <cell r="B381" t="str">
            <v>Mark Mamdouh Watson</v>
          </cell>
          <cell r="C381" t="str">
            <v>Mohamed Saad Sedik</v>
          </cell>
          <cell r="D381" t="str">
            <v>Mostafa Maged Mohamed</v>
          </cell>
          <cell r="E381" t="str">
            <v>Abo El Abbas Samir</v>
          </cell>
          <cell r="F381" t="str">
            <v>CVM Line</v>
          </cell>
          <cell r="G381" t="str">
            <v>Rep317</v>
          </cell>
          <cell r="H381" t="str">
            <v>MR</v>
          </cell>
          <cell r="I381" t="str">
            <v>Upper Egypt</v>
          </cell>
          <cell r="J381">
            <v>0</v>
          </cell>
          <cell r="K381">
            <v>44440</v>
          </cell>
        </row>
        <row r="381">
          <cell r="M381">
            <v>816</v>
          </cell>
          <cell r="N381" t="str">
            <v>El Menia City</v>
          </cell>
        </row>
        <row r="382">
          <cell r="A382">
            <v>1791</v>
          </cell>
          <cell r="B382" t="str">
            <v>Mohamed Mousa Ahmed</v>
          </cell>
          <cell r="C382" t="str">
            <v>Mohamed Saad Sedik</v>
          </cell>
          <cell r="D382" t="str">
            <v>Mostafa Maged Mohamed</v>
          </cell>
          <cell r="E382" t="str">
            <v>Abo El Abbas Samir</v>
          </cell>
          <cell r="F382" t="str">
            <v>CVM Line</v>
          </cell>
          <cell r="G382" t="str">
            <v>Rep_00091</v>
          </cell>
          <cell r="H382" t="str">
            <v>MR</v>
          </cell>
          <cell r="I382" t="str">
            <v>Upper Egypt</v>
          </cell>
          <cell r="J382">
            <v>1116563423</v>
          </cell>
          <cell r="K382">
            <v>45964</v>
          </cell>
        </row>
        <row r="382">
          <cell r="M382">
            <v>1791</v>
          </cell>
          <cell r="N382" t="str">
            <v>Assiut city</v>
          </cell>
        </row>
        <row r="383">
          <cell r="A383">
            <v>1802</v>
          </cell>
          <cell r="B383" t="str">
            <v>Rahma Nasser Abdlmoatti Mahmoud</v>
          </cell>
          <cell r="C383" t="str">
            <v>Mohamed Saad Sedik</v>
          </cell>
          <cell r="D383" t="str">
            <v>Mostafa Maged Mohamed</v>
          </cell>
          <cell r="E383" t="str">
            <v>Abo El Abbas Samir</v>
          </cell>
          <cell r="F383" t="str">
            <v>CVM Line</v>
          </cell>
          <cell r="G383" t="str">
            <v>Rep_00097</v>
          </cell>
          <cell r="H383" t="str">
            <v>MR</v>
          </cell>
          <cell r="I383" t="str">
            <v>Upper Egypt</v>
          </cell>
          <cell r="J383">
            <v>1095037481</v>
          </cell>
          <cell r="K383">
            <v>45983</v>
          </cell>
        </row>
        <row r="383">
          <cell r="M383">
            <v>1802</v>
          </cell>
          <cell r="N383" t="str">
            <v>Assiut city</v>
          </cell>
        </row>
        <row r="384">
          <cell r="A384">
            <v>1659</v>
          </cell>
          <cell r="B384" t="str">
            <v>AbdelRahman Ibrahim Mahran</v>
          </cell>
        </row>
        <row r="384">
          <cell r="D384" t="str">
            <v>Mostafa Maged Mohamed</v>
          </cell>
          <cell r="E384" t="str">
            <v>Abo El Abbas Samir</v>
          </cell>
          <cell r="F384" t="str">
            <v>DIA Line</v>
          </cell>
          <cell r="G384" t="str">
            <v>AVR_202</v>
          </cell>
          <cell r="H384" t="str">
            <v>DM</v>
          </cell>
          <cell r="I384" t="str">
            <v>Cairo</v>
          </cell>
          <cell r="J384">
            <v>1024670853</v>
          </cell>
          <cell r="K384">
            <v>45783</v>
          </cell>
          <cell r="L384" t="str">
            <v>AbdelRahman.Ibrahim.Mahran@averroes-eg.com</v>
          </cell>
          <cell r="M384">
            <v>1659</v>
          </cell>
          <cell r="N384" t="str">
            <v>el minia city </v>
          </cell>
        </row>
        <row r="385">
          <cell r="A385">
            <v>1694</v>
          </cell>
          <cell r="B385" t="str">
            <v>Basmala Altaher Yehia</v>
          </cell>
          <cell r="C385" t="str">
            <v>AbdelRahman Ibrahim Mahran</v>
          </cell>
          <cell r="D385" t="str">
            <v>Mostafa Maged Mohamed</v>
          </cell>
          <cell r="E385" t="str">
            <v>Abo El Abbas Samir</v>
          </cell>
          <cell r="F385" t="str">
            <v>DIA Line</v>
          </cell>
          <cell r="G385" t="str">
            <v>Rep100090</v>
          </cell>
          <cell r="H385" t="str">
            <v>MR</v>
          </cell>
          <cell r="I385" t="str">
            <v>Upper Egypt</v>
          </cell>
          <cell r="J385">
            <v>1114976499</v>
          </cell>
          <cell r="K385">
            <v>45818</v>
          </cell>
        </row>
        <row r="385">
          <cell r="M385">
            <v>1694</v>
          </cell>
          <cell r="N385" t="str">
            <v>El Menya</v>
          </cell>
        </row>
        <row r="386">
          <cell r="A386">
            <v>1669</v>
          </cell>
          <cell r="B386" t="str">
            <v>Jacqueline Salah Sedhom</v>
          </cell>
          <cell r="C386" t="str">
            <v>AbdelRahman Ibrahim Mahran</v>
          </cell>
          <cell r="D386" t="str">
            <v>Mostafa Maged Mohamed</v>
          </cell>
          <cell r="E386" t="str">
            <v>Abo El Abbas Samir</v>
          </cell>
          <cell r="F386" t="str">
            <v>DIA Line</v>
          </cell>
          <cell r="G386" t="str">
            <v>MR_1906</v>
          </cell>
          <cell r="H386" t="str">
            <v>MR</v>
          </cell>
          <cell r="I386" t="str">
            <v>Upper Egypt</v>
          </cell>
          <cell r="J386">
            <v>1229878146</v>
          </cell>
          <cell r="K386">
            <v>45778</v>
          </cell>
        </row>
        <row r="386">
          <cell r="M386">
            <v>1669</v>
          </cell>
          <cell r="N386" t="str">
            <v>Assiut city</v>
          </cell>
        </row>
        <row r="387">
          <cell r="A387">
            <v>1771</v>
          </cell>
          <cell r="B387" t="str">
            <v>Manal Elsayed Ahmed</v>
          </cell>
          <cell r="C387" t="str">
            <v>AbdelRahman Ibrahim Mahran</v>
          </cell>
          <cell r="D387" t="str">
            <v>Mostafa Maged Mohamed</v>
          </cell>
          <cell r="E387" t="str">
            <v>Abo El Abbas Samir</v>
          </cell>
          <cell r="F387" t="str">
            <v>DIA Line</v>
          </cell>
          <cell r="G387" t="str">
            <v>Rep_0081</v>
          </cell>
          <cell r="H387" t="str">
            <v>MR</v>
          </cell>
          <cell r="I387" t="str">
            <v>Upper Egypt</v>
          </cell>
          <cell r="J387">
            <v>1010670188</v>
          </cell>
          <cell r="K387">
            <v>45950</v>
          </cell>
        </row>
        <row r="387">
          <cell r="M387">
            <v>1771</v>
          </cell>
          <cell r="N387" t="str">
            <v>Dayrout</v>
          </cell>
        </row>
        <row r="388">
          <cell r="A388">
            <v>1660</v>
          </cell>
          <cell r="B388" t="str">
            <v>Mariam Toadros AbdElMalak</v>
          </cell>
          <cell r="C388" t="str">
            <v>AbdelRahman Ibrahim Mahran</v>
          </cell>
          <cell r="D388" t="str">
            <v>Mostafa Maged Mohamed</v>
          </cell>
          <cell r="E388" t="str">
            <v>Abo El Abbas Samir</v>
          </cell>
          <cell r="F388" t="str">
            <v>DIA Line</v>
          </cell>
          <cell r="G388" t="str">
            <v>MR_1897</v>
          </cell>
          <cell r="H388" t="str">
            <v>MR</v>
          </cell>
          <cell r="I388" t="str">
            <v>Upper Egypt</v>
          </cell>
          <cell r="J388">
            <v>1222876437</v>
          </cell>
          <cell r="K388">
            <v>45778</v>
          </cell>
        </row>
        <row r="388">
          <cell r="M388">
            <v>1660</v>
          </cell>
          <cell r="N388" t="str">
            <v>Malawy</v>
          </cell>
        </row>
        <row r="389">
          <cell r="A389">
            <v>1525</v>
          </cell>
          <cell r="B389" t="str">
            <v>Marwa AbdElAty Tammam</v>
          </cell>
          <cell r="C389" t="str">
            <v>AbdelRahman Ibrahim Mahran</v>
          </cell>
          <cell r="D389" t="str">
            <v>Mostafa Maged Mohamed</v>
          </cell>
          <cell r="E389" t="str">
            <v>Abo El Abbas Samir</v>
          </cell>
          <cell r="F389" t="str">
            <v>DIA Line</v>
          </cell>
          <cell r="G389" t="str">
            <v>AVR_28</v>
          </cell>
          <cell r="H389" t="str">
            <v>MR</v>
          </cell>
          <cell r="I389" t="str">
            <v>Upper Egypt</v>
          </cell>
          <cell r="J389">
            <v>109632335</v>
          </cell>
          <cell r="K389">
            <v>45689</v>
          </cell>
        </row>
        <row r="389">
          <cell r="M389">
            <v>1525</v>
          </cell>
          <cell r="N389" t="str">
            <v>beba</v>
          </cell>
        </row>
        <row r="390">
          <cell r="A390">
            <v>1661</v>
          </cell>
          <cell r="B390" t="str">
            <v>Mary Yousef Atya</v>
          </cell>
          <cell r="C390" t="str">
            <v>AbdelRahman Ibrahim Mahran</v>
          </cell>
          <cell r="D390" t="str">
            <v>Mostafa Maged Mohamed</v>
          </cell>
          <cell r="E390" t="str">
            <v>Abo El Abbas Samir</v>
          </cell>
          <cell r="F390" t="str">
            <v>DIA Line</v>
          </cell>
          <cell r="G390" t="str">
            <v>MR_1898</v>
          </cell>
          <cell r="H390" t="str">
            <v>MR</v>
          </cell>
          <cell r="I390" t="str">
            <v>Upper Egypt</v>
          </cell>
          <cell r="J390">
            <v>1223895479</v>
          </cell>
          <cell r="K390">
            <v>45783</v>
          </cell>
        </row>
        <row r="390">
          <cell r="M390">
            <v>1661</v>
          </cell>
          <cell r="N390" t="str">
            <v>Samalout</v>
          </cell>
        </row>
        <row r="391">
          <cell r="A391">
            <v>1792</v>
          </cell>
          <cell r="B391" t="str">
            <v>Merna Safwat Shawky</v>
          </cell>
          <cell r="C391" t="str">
            <v>AbdelRahman Ibrahim Mahran</v>
          </cell>
          <cell r="D391" t="str">
            <v>Mostafa Maged Mohamed</v>
          </cell>
          <cell r="E391" t="str">
            <v>Abo El Abbas Samir</v>
          </cell>
          <cell r="F391" t="str">
            <v>DIA Line</v>
          </cell>
          <cell r="G391" t="str">
            <v>Rep_00090</v>
          </cell>
          <cell r="H391" t="str">
            <v>MR</v>
          </cell>
          <cell r="I391" t="str">
            <v>Upper Egypt</v>
          </cell>
          <cell r="J391">
            <v>1276456348</v>
          </cell>
          <cell r="K391">
            <v>45963</v>
          </cell>
        </row>
        <row r="391">
          <cell r="M391">
            <v>1792</v>
          </cell>
          <cell r="N391" t="str">
            <v>Assiut city</v>
          </cell>
        </row>
        <row r="392">
          <cell r="A392">
            <v>941</v>
          </cell>
          <cell r="B392" t="str">
            <v>Andrew Joseph boules</v>
          </cell>
        </row>
        <row r="392">
          <cell r="D392" t="str">
            <v>Mostafa Maged Mohamed</v>
          </cell>
          <cell r="E392" t="str">
            <v>Abo El Abbas Samir</v>
          </cell>
          <cell r="F392" t="str">
            <v>DIA Line</v>
          </cell>
          <cell r="G392" t="str">
            <v>Rep325</v>
          </cell>
          <cell r="H392" t="str">
            <v>DM</v>
          </cell>
          <cell r="I392" t="str">
            <v>Upper Egypt</v>
          </cell>
          <cell r="J392" t="str">
            <v> 1203325561</v>
          </cell>
          <cell r="K392">
            <v>44621</v>
          </cell>
          <cell r="L392" t="str">
            <v>Andrew.Joseph.boules@averroes-eg.com</v>
          </cell>
          <cell r="M392">
            <v>941</v>
          </cell>
          <cell r="N392" t="str">
            <v>Quena City</v>
          </cell>
        </row>
        <row r="393">
          <cell r="A393">
            <v>1665</v>
          </cell>
          <cell r="B393" t="str">
            <v>Ahmed Osama ElSayed Abudeaf</v>
          </cell>
          <cell r="C393" t="str">
            <v>Andrew Joseph boules</v>
          </cell>
          <cell r="D393" t="str">
            <v>Mostafa Maged Mohamed</v>
          </cell>
          <cell r="E393" t="str">
            <v>Abo El Abbas Samir</v>
          </cell>
          <cell r="F393" t="str">
            <v>DIA Line</v>
          </cell>
          <cell r="G393" t="str">
            <v>MR_1903</v>
          </cell>
          <cell r="H393" t="str">
            <v>MR</v>
          </cell>
          <cell r="I393" t="str">
            <v>Upper Egypt</v>
          </cell>
          <cell r="J393">
            <v>1029279612</v>
          </cell>
          <cell r="K393">
            <v>45780</v>
          </cell>
        </row>
        <row r="393">
          <cell r="M393">
            <v>1665</v>
          </cell>
          <cell r="N393" t="str">
            <v>Sohag City</v>
          </cell>
        </row>
        <row r="394">
          <cell r="A394">
            <v>1666</v>
          </cell>
          <cell r="B394" t="str">
            <v>Fatma Mahmoud Ali AbdElRahman</v>
          </cell>
          <cell r="C394" t="str">
            <v>Andrew Joseph boules</v>
          </cell>
          <cell r="D394" t="str">
            <v>Mostafa Maged Mohamed</v>
          </cell>
          <cell r="E394" t="str">
            <v>Abo El Abbas Samir</v>
          </cell>
          <cell r="F394" t="str">
            <v>DIA Line</v>
          </cell>
          <cell r="G394" t="str">
            <v>MR_1902</v>
          </cell>
          <cell r="H394" t="str">
            <v>MR</v>
          </cell>
          <cell r="I394" t="str">
            <v>Upper Egypt</v>
          </cell>
          <cell r="J394">
            <v>1023720048</v>
          </cell>
          <cell r="K394">
            <v>45780</v>
          </cell>
        </row>
        <row r="394">
          <cell r="M394">
            <v>1666</v>
          </cell>
          <cell r="N394" t="str">
            <v>Sohag City</v>
          </cell>
        </row>
        <row r="395">
          <cell r="A395">
            <v>1667</v>
          </cell>
          <cell r="B395" t="str">
            <v>Mahmoud Ahmed Omar Mohamed</v>
          </cell>
          <cell r="C395" t="str">
            <v>Andrew Joseph boules</v>
          </cell>
          <cell r="D395" t="str">
            <v>Mostafa Maged Mohamed</v>
          </cell>
          <cell r="E395" t="str">
            <v>Abo El Abbas Samir</v>
          </cell>
          <cell r="F395" t="str">
            <v>DIA Line</v>
          </cell>
          <cell r="G395" t="str">
            <v>MR_1904</v>
          </cell>
          <cell r="H395" t="str">
            <v>MR</v>
          </cell>
          <cell r="I395" t="str">
            <v>Upper Egypt</v>
          </cell>
          <cell r="J395">
            <v>1094639007</v>
          </cell>
          <cell r="K395">
            <v>45780</v>
          </cell>
        </row>
        <row r="395">
          <cell r="M395">
            <v>1667</v>
          </cell>
          <cell r="N395" t="str">
            <v>Farshout</v>
          </cell>
        </row>
        <row r="396">
          <cell r="A396">
            <v>1662</v>
          </cell>
          <cell r="B396" t="str">
            <v>Mahmoud Mohamed Gaber Saeed</v>
          </cell>
          <cell r="C396" t="str">
            <v>Andrew Joseph boules</v>
          </cell>
          <cell r="D396" t="str">
            <v>Mostafa Maged Mohamed</v>
          </cell>
          <cell r="E396" t="str">
            <v>Abo El Abbas Samir</v>
          </cell>
          <cell r="F396" t="str">
            <v>DIA Line</v>
          </cell>
          <cell r="G396" t="str">
            <v>MR_1899</v>
          </cell>
          <cell r="H396" t="str">
            <v>MR</v>
          </cell>
          <cell r="I396" t="str">
            <v>Upper Egypt</v>
          </cell>
          <cell r="J396">
            <v>1026493259</v>
          </cell>
          <cell r="K396">
            <v>45780</v>
          </cell>
        </row>
        <row r="396">
          <cell r="M396">
            <v>1662</v>
          </cell>
          <cell r="N396" t="str">
            <v>Quena City</v>
          </cell>
        </row>
        <row r="397">
          <cell r="A397">
            <v>1695</v>
          </cell>
          <cell r="B397" t="str">
            <v>Merna Nasser Adly</v>
          </cell>
          <cell r="C397" t="str">
            <v>Andrew Joseph boules</v>
          </cell>
          <cell r="D397" t="str">
            <v>Mostafa Maged Mohamed</v>
          </cell>
          <cell r="E397" t="str">
            <v>Abo El Abbas Samir</v>
          </cell>
          <cell r="F397" t="str">
            <v>DIA Line</v>
          </cell>
          <cell r="G397" t="str">
            <v>Rep10093</v>
          </cell>
          <cell r="H397" t="str">
            <v>MR</v>
          </cell>
          <cell r="I397" t="str">
            <v>Upper Egypt</v>
          </cell>
          <cell r="J397" t="str">
            <v>1225161169‬</v>
          </cell>
          <cell r="K397">
            <v>45822</v>
          </cell>
        </row>
        <row r="397">
          <cell r="M397">
            <v>1695</v>
          </cell>
          <cell r="N397" t="str">
            <v>Tahta</v>
          </cell>
        </row>
        <row r="398">
          <cell r="A398">
            <v>1663</v>
          </cell>
          <cell r="B398" t="str">
            <v>Yousef AbdElNaeem AboElhamd Ahmed</v>
          </cell>
          <cell r="C398" t="str">
            <v>Andrew Joseph boules</v>
          </cell>
          <cell r="D398" t="str">
            <v>Mostafa Maged Mohamed</v>
          </cell>
          <cell r="E398" t="str">
            <v>Abo El Abbas Samir</v>
          </cell>
          <cell r="F398" t="str">
            <v>DIA Line</v>
          </cell>
          <cell r="G398" t="str">
            <v>MR_1900</v>
          </cell>
          <cell r="H398" t="str">
            <v>MR</v>
          </cell>
          <cell r="I398" t="str">
            <v>Upper Egypt</v>
          </cell>
          <cell r="J398">
            <v>1128798543</v>
          </cell>
          <cell r="K398">
            <v>45780</v>
          </cell>
        </row>
        <row r="398">
          <cell r="M398">
            <v>1663</v>
          </cell>
          <cell r="N398" t="str">
            <v>Aswan City</v>
          </cell>
        </row>
        <row r="399">
          <cell r="A399">
            <v>1664</v>
          </cell>
          <cell r="B399" t="str">
            <v>Yousef Gabra William Gabra</v>
          </cell>
          <cell r="C399" t="str">
            <v>Andrew Joseph boules</v>
          </cell>
          <cell r="D399" t="str">
            <v>Mostafa Maged Mohamed</v>
          </cell>
          <cell r="E399" t="str">
            <v>Abo El Abbas Samir</v>
          </cell>
          <cell r="F399" t="str">
            <v>DIA Line</v>
          </cell>
          <cell r="G399" t="str">
            <v>MR_1901</v>
          </cell>
          <cell r="H399" t="str">
            <v>MR</v>
          </cell>
          <cell r="I399" t="str">
            <v>Upper Egypt</v>
          </cell>
          <cell r="J399">
            <v>1064738945</v>
          </cell>
          <cell r="K399">
            <v>45780</v>
          </cell>
        </row>
        <row r="399">
          <cell r="M399">
            <v>1664</v>
          </cell>
          <cell r="N399" t="str">
            <v>Luxor City</v>
          </cell>
        </row>
        <row r="400">
          <cell r="A400">
            <v>91</v>
          </cell>
          <cell r="B400" t="str">
            <v>Ramy Ahmed Mohamed</v>
          </cell>
        </row>
        <row r="400">
          <cell r="E400" t="str">
            <v>Abo El Abbas Samir</v>
          </cell>
          <cell r="F400" t="str">
            <v>CVM Line &amp; DIA Line</v>
          </cell>
          <cell r="G400" t="str">
            <v>DM_32</v>
          </cell>
          <cell r="H400" t="str">
            <v>AM</v>
          </cell>
          <cell r="I400" t="str">
            <v>Alex</v>
          </cell>
          <cell r="J400" t="str">
            <v> 1030826111</v>
          </cell>
          <cell r="K400">
            <v>42463</v>
          </cell>
          <cell r="L400" t="str">
            <v>ramyahmed@averroes-eg.com</v>
          </cell>
          <cell r="M400">
            <v>91</v>
          </cell>
          <cell r="N400" t="str">
            <v>El Asafra</v>
          </cell>
        </row>
        <row r="401">
          <cell r="A401">
            <v>854</v>
          </cell>
          <cell r="B401" t="str">
            <v>Asmaa AbdElmonem Mohamed Zahran</v>
          </cell>
        </row>
        <row r="401">
          <cell r="D401" t="str">
            <v>Ramy Ahmed Mohamed</v>
          </cell>
          <cell r="E401" t="str">
            <v>Abo El Abbas Samir</v>
          </cell>
          <cell r="F401" t="str">
            <v>CVM Line</v>
          </cell>
          <cell r="G401" t="str">
            <v>Rep192</v>
          </cell>
          <cell r="H401" t="str">
            <v>DM</v>
          </cell>
          <cell r="I401" t="str">
            <v>Alex</v>
          </cell>
          <cell r="J401">
            <v>1065737956</v>
          </cell>
          <cell r="K401">
            <v>44500</v>
          </cell>
        </row>
        <row r="401">
          <cell r="M401">
            <v>854</v>
          </cell>
          <cell r="N401" t="str">
            <v>Kom Hamada</v>
          </cell>
        </row>
        <row r="402">
          <cell r="A402">
            <v>1476</v>
          </cell>
          <cell r="B402" t="str">
            <v>Aml Nashaat Ali Hamed</v>
          </cell>
          <cell r="C402" t="str">
            <v>Asmaa AbdElmonem Mohamed Zahran</v>
          </cell>
          <cell r="D402" t="str">
            <v>Ramy Ahmed Mohamed</v>
          </cell>
          <cell r="E402" t="str">
            <v>Abo El Abbas Samir</v>
          </cell>
          <cell r="F402" t="str">
            <v>CVM Line</v>
          </cell>
          <cell r="G402" t="str">
            <v>Rep100060</v>
          </cell>
          <cell r="H402" t="str">
            <v>MR</v>
          </cell>
          <cell r="I402" t="str">
            <v>Alex</v>
          </cell>
          <cell r="J402">
            <v>1060267938</v>
          </cell>
          <cell r="K402">
            <v>45640</v>
          </cell>
        </row>
        <row r="402">
          <cell r="M402">
            <v>1476</v>
          </cell>
          <cell r="N402" t="str">
            <v>Kafr El Shiekh</v>
          </cell>
        </row>
        <row r="403">
          <cell r="A403">
            <v>1198</v>
          </cell>
          <cell r="B403" t="str">
            <v>Basma Dief ElShemy</v>
          </cell>
          <cell r="C403" t="str">
            <v>Asmaa AbdElmonem Mohamed Zahran</v>
          </cell>
          <cell r="D403" t="str">
            <v>Ramy Ahmed Mohamed</v>
          </cell>
          <cell r="E403" t="str">
            <v>Abo El Abbas Samir</v>
          </cell>
          <cell r="F403" t="str">
            <v>CVM Line</v>
          </cell>
          <cell r="G403" t="str">
            <v>Rep725</v>
          </cell>
          <cell r="H403" t="str">
            <v>MR</v>
          </cell>
          <cell r="I403" t="str">
            <v>Alex</v>
          </cell>
          <cell r="J403">
            <v>1030180007</v>
          </cell>
          <cell r="K403">
            <v>44983</v>
          </cell>
        </row>
        <row r="403">
          <cell r="M403">
            <v>1198</v>
          </cell>
          <cell r="N403" t="str">
            <v>Housh Easa</v>
          </cell>
        </row>
        <row r="404">
          <cell r="A404">
            <v>1589</v>
          </cell>
          <cell r="B404" t="str">
            <v>Engy Ahmed Abass</v>
          </cell>
          <cell r="C404" t="str">
            <v>Asmaa AbdElmonem Mohamed Zahran</v>
          </cell>
          <cell r="D404" t="str">
            <v>Ramy Ahmed Mohamed</v>
          </cell>
          <cell r="E404" t="str">
            <v>Abo El Abbas Samir</v>
          </cell>
          <cell r="F404" t="str">
            <v>CVM Line</v>
          </cell>
          <cell r="G404" t="str">
            <v>AVR_141</v>
          </cell>
          <cell r="H404" t="str">
            <v>MR</v>
          </cell>
          <cell r="I404" t="str">
            <v>Alex</v>
          </cell>
          <cell r="J404">
            <v>1015226684</v>
          </cell>
          <cell r="K404">
            <v>45731</v>
          </cell>
        </row>
        <row r="404">
          <cell r="M404">
            <v>1589</v>
          </cell>
          <cell r="N404" t="str">
            <v>Damanhour</v>
          </cell>
        </row>
        <row r="405">
          <cell r="A405">
            <v>1848</v>
          </cell>
          <cell r="B405" t="str">
            <v>Shehab Ashraf Abdelkader</v>
          </cell>
          <cell r="C405" t="str">
            <v>Asmaa AbdElmonem Mohamed Zahran</v>
          </cell>
          <cell r="D405" t="str">
            <v>Ramy Ahmed Mohamed</v>
          </cell>
          <cell r="E405" t="str">
            <v>Abo El Abbas Samir</v>
          </cell>
          <cell r="F405" t="str">
            <v>CVM Line</v>
          </cell>
          <cell r="G405" t="str">
            <v>Rep_00150</v>
          </cell>
          <cell r="H405" t="str">
            <v>MR</v>
          </cell>
          <cell r="I405" t="str">
            <v>Alex</v>
          </cell>
          <cell r="J405">
            <v>1010612709</v>
          </cell>
          <cell r="K405">
            <v>46054</v>
          </cell>
        </row>
        <row r="405">
          <cell r="M405">
            <v>1848</v>
          </cell>
          <cell r="N405" t="str">
            <v>Kom Hamada</v>
          </cell>
        </row>
        <row r="406">
          <cell r="A406">
            <v>1735</v>
          </cell>
          <cell r="B406" t="str">
            <v>Merna Abdelrahman Elshazly</v>
          </cell>
          <cell r="C406" t="str">
            <v>Asmaa AbdElmonem Mohamed Zahran</v>
          </cell>
          <cell r="D406" t="str">
            <v>Ramy Ahmed Mohamed</v>
          </cell>
          <cell r="E406" t="str">
            <v>Abo El Abbas Samir</v>
          </cell>
          <cell r="F406" t="str">
            <v>CVM Line</v>
          </cell>
          <cell r="G406" t="str">
            <v>Rep1000010</v>
          </cell>
          <cell r="H406" t="str">
            <v>MR</v>
          </cell>
          <cell r="I406" t="str">
            <v>Alex</v>
          </cell>
          <cell r="J406">
            <v>1026755342</v>
          </cell>
          <cell r="K406">
            <v>45901</v>
          </cell>
        </row>
        <row r="406">
          <cell r="M406">
            <v>1735</v>
          </cell>
          <cell r="N406" t="str">
            <v>Fowa</v>
          </cell>
        </row>
        <row r="407">
          <cell r="A407">
            <v>894</v>
          </cell>
          <cell r="B407" t="str">
            <v>Mohamed Shawky Misbah</v>
          </cell>
          <cell r="C407" t="str">
            <v>Asmaa AbdElmonem Mohamed Zahran</v>
          </cell>
          <cell r="D407" t="str">
            <v>Ramy Ahmed Mohamed</v>
          </cell>
          <cell r="E407" t="str">
            <v>Abo El Abbas Samir</v>
          </cell>
          <cell r="F407" t="str">
            <v>CVM Line</v>
          </cell>
          <cell r="G407" t="str">
            <v>Rep309</v>
          </cell>
          <cell r="H407" t="str">
            <v>MR</v>
          </cell>
          <cell r="I407" t="str">
            <v>Alex</v>
          </cell>
          <cell r="J407" t="str">
            <v> 1027473139</v>
          </cell>
          <cell r="K407">
            <v>44593</v>
          </cell>
        </row>
        <row r="407">
          <cell r="M407">
            <v>894</v>
          </cell>
          <cell r="N407" t="str">
            <v>Damanhour</v>
          </cell>
        </row>
        <row r="408">
          <cell r="A408">
            <v>1686</v>
          </cell>
          <cell r="B408" t="str">
            <v>Rana Salah AbdElGhafar</v>
          </cell>
          <cell r="C408" t="str">
            <v>Asmaa AbdElmonem Mohamed Zahran</v>
          </cell>
          <cell r="D408" t="str">
            <v>Ramy Ahmed Mohamed</v>
          </cell>
          <cell r="E408" t="str">
            <v>Abo El Abbas Samir</v>
          </cell>
          <cell r="F408" t="str">
            <v>CVM Line</v>
          </cell>
          <cell r="G408" t="str">
            <v>Rep10074</v>
          </cell>
          <cell r="H408" t="str">
            <v>MR</v>
          </cell>
          <cell r="I408" t="str">
            <v>Alex</v>
          </cell>
          <cell r="J408">
            <v>1024660751</v>
          </cell>
          <cell r="K408">
            <v>45809</v>
          </cell>
        </row>
        <row r="408">
          <cell r="M408">
            <v>1686</v>
          </cell>
          <cell r="N408" t="str">
            <v>Kafr El Dawar</v>
          </cell>
        </row>
        <row r="409">
          <cell r="A409">
            <v>1335</v>
          </cell>
          <cell r="B409" t="str">
            <v>Yasmina Moharam ElNahas</v>
          </cell>
          <cell r="C409" t="str">
            <v>Asmaa AbdElmonem Mohamed Zahran</v>
          </cell>
          <cell r="D409" t="str">
            <v>Ramy Ahmed Mohamed</v>
          </cell>
          <cell r="E409" t="str">
            <v>Abo El Abbas Samir</v>
          </cell>
          <cell r="F409" t="str">
            <v>CVM Line</v>
          </cell>
          <cell r="G409" t="str">
            <v>Rep922</v>
          </cell>
          <cell r="H409" t="str">
            <v>MR</v>
          </cell>
          <cell r="I409" t="str">
            <v>Alex</v>
          </cell>
          <cell r="J409">
            <v>1022565719</v>
          </cell>
          <cell r="K409">
            <v>45318</v>
          </cell>
        </row>
        <row r="409">
          <cell r="M409">
            <v>1335</v>
          </cell>
          <cell r="N409" t="str">
            <v>Kafr El Shiekh</v>
          </cell>
        </row>
        <row r="410">
          <cell r="A410">
            <v>841</v>
          </cell>
          <cell r="B410" t="str">
            <v>Esraa Abdelkader Ahmed Rashwan</v>
          </cell>
        </row>
        <row r="410">
          <cell r="D410" t="str">
            <v>Ramy Ahmed Mohamed</v>
          </cell>
          <cell r="E410" t="str">
            <v>Abo El Abbas Samir</v>
          </cell>
          <cell r="F410" t="str">
            <v>CVM Line</v>
          </cell>
          <cell r="G410" t="str">
            <v>Rep186</v>
          </cell>
          <cell r="H410" t="str">
            <v>DM</v>
          </cell>
          <cell r="I410" t="str">
            <v>Alex</v>
          </cell>
          <cell r="J410">
            <v>1159806707</v>
          </cell>
          <cell r="K410">
            <v>44479</v>
          </cell>
          <cell r="L410" t="str">
            <v>Esraa.Abdelkader.Ahmed.Rashwan@averroes-eg.com</v>
          </cell>
          <cell r="M410">
            <v>841</v>
          </cell>
          <cell r="N410" t="str">
            <v>Smoha - Ezbet Saad</v>
          </cell>
        </row>
        <row r="411">
          <cell r="A411">
            <v>1621</v>
          </cell>
          <cell r="B411" t="str">
            <v>Alaa Wagdy Taha ElQady</v>
          </cell>
          <cell r="C411" t="str">
            <v>Esraa Abdelkader Ahmed Rashwan</v>
          </cell>
          <cell r="D411" t="str">
            <v>Ramy Ahmed Mohamed</v>
          </cell>
          <cell r="E411" t="str">
            <v>Abo El Abbas Samir</v>
          </cell>
          <cell r="F411" t="str">
            <v>CVM Line</v>
          </cell>
          <cell r="G411" t="str">
            <v>Rep1000100</v>
          </cell>
          <cell r="H411" t="str">
            <v>MR</v>
          </cell>
          <cell r="I411" t="str">
            <v>Alex</v>
          </cell>
          <cell r="J411">
            <v>1277421599</v>
          </cell>
          <cell r="K411">
            <v>45780</v>
          </cell>
        </row>
        <row r="411">
          <cell r="M411">
            <v>1621</v>
          </cell>
          <cell r="N411" t="str">
            <v>Betash</v>
          </cell>
        </row>
        <row r="412">
          <cell r="A412">
            <v>1853</v>
          </cell>
          <cell r="B412" t="str">
            <v>Abdelrahman Mohamed Mahmoud</v>
          </cell>
          <cell r="C412" t="str">
            <v>Esraa Abdelkader Ahmed Rashwan</v>
          </cell>
          <cell r="D412" t="str">
            <v>Ramy Ahmed Mohamed</v>
          </cell>
          <cell r="E412" t="str">
            <v>Abo El Abbas Samir</v>
          </cell>
          <cell r="F412" t="str">
            <v>CVM Line</v>
          </cell>
          <cell r="G412" t="str">
            <v>Rep1027</v>
          </cell>
          <cell r="H412" t="str">
            <v>MR</v>
          </cell>
          <cell r="I412" t="str">
            <v>Alex</v>
          </cell>
          <cell r="J412">
            <v>1032612671</v>
          </cell>
          <cell r="K412">
            <v>46054</v>
          </cell>
        </row>
        <row r="412">
          <cell r="M412">
            <v>1853</v>
          </cell>
          <cell r="N412" t="str">
            <v>El Asafra</v>
          </cell>
        </row>
        <row r="413">
          <cell r="A413">
            <v>1852</v>
          </cell>
          <cell r="B413" t="str">
            <v>Barthina Adel Habib</v>
          </cell>
          <cell r="C413" t="str">
            <v>Esraa Abdelkader Ahmed Rashwan</v>
          </cell>
          <cell r="D413" t="str">
            <v>Ramy Ahmed Mohamed</v>
          </cell>
          <cell r="E413" t="str">
            <v>Abo El Abbas Samir</v>
          </cell>
          <cell r="F413" t="str">
            <v>CVM Line</v>
          </cell>
          <cell r="G413" t="str">
            <v>Rep1028</v>
          </cell>
          <cell r="H413" t="str">
            <v>MR</v>
          </cell>
          <cell r="I413" t="str">
            <v>Alex</v>
          </cell>
          <cell r="J413">
            <v>1271990569</v>
          </cell>
          <cell r="K413">
            <v>46054</v>
          </cell>
        </row>
        <row r="413">
          <cell r="M413">
            <v>1852</v>
          </cell>
          <cell r="N413" t="str">
            <v>El Asafra</v>
          </cell>
        </row>
        <row r="414">
          <cell r="A414">
            <v>1574</v>
          </cell>
          <cell r="B414" t="str">
            <v>Mohammed ElSayed Mahmoud</v>
          </cell>
          <cell r="C414" t="str">
            <v>Esraa Abdelkader Ahmed Rashwan</v>
          </cell>
          <cell r="D414" t="str">
            <v>Ramy Ahmed Mohamed</v>
          </cell>
          <cell r="E414" t="str">
            <v>Abo El Abbas Samir</v>
          </cell>
          <cell r="F414" t="str">
            <v>CVM Line</v>
          </cell>
          <cell r="G414" t="str">
            <v>AVR_96</v>
          </cell>
          <cell r="H414" t="str">
            <v>MR</v>
          </cell>
          <cell r="I414" t="str">
            <v>Alex</v>
          </cell>
          <cell r="J414">
            <v>1102158457</v>
          </cell>
          <cell r="K414">
            <v>45718</v>
          </cell>
        </row>
        <row r="414">
          <cell r="M414">
            <v>1574</v>
          </cell>
          <cell r="N414" t="str">
            <v>Moharam Bek</v>
          </cell>
        </row>
        <row r="415">
          <cell r="A415">
            <v>1742</v>
          </cell>
          <cell r="B415" t="str">
            <v>Shady Fares ElFouli</v>
          </cell>
          <cell r="C415" t="str">
            <v>Esraa Abdelkader Ahmed Rashwan</v>
          </cell>
          <cell r="D415" t="str">
            <v>Ramy Ahmed Mohamed</v>
          </cell>
          <cell r="E415" t="str">
            <v>Abo El Abbas Samir</v>
          </cell>
          <cell r="F415" t="str">
            <v>CVM Line</v>
          </cell>
          <cell r="G415" t="str">
            <v>Rep1111</v>
          </cell>
          <cell r="H415" t="str">
            <v>MR</v>
          </cell>
          <cell r="I415" t="str">
            <v>Alex</v>
          </cell>
          <cell r="J415">
            <v>1205591081</v>
          </cell>
          <cell r="K415">
            <v>45907</v>
          </cell>
        </row>
        <row r="415">
          <cell r="M415">
            <v>1742</v>
          </cell>
          <cell r="N415" t="str">
            <v>Hagar El Nwatia</v>
          </cell>
        </row>
        <row r="416">
          <cell r="A416">
            <v>1680</v>
          </cell>
          <cell r="B416" t="str">
            <v>Youstina Ashraf Fransis</v>
          </cell>
          <cell r="C416" t="str">
            <v>Esraa Abdelkader Ahmed Rashwan</v>
          </cell>
          <cell r="D416" t="str">
            <v>Ramy Ahmed Mohamed</v>
          </cell>
          <cell r="E416" t="str">
            <v>Abo El Abbas Samir</v>
          </cell>
          <cell r="F416" t="str">
            <v>CVM Line</v>
          </cell>
          <cell r="G416" t="str">
            <v>Rep100131</v>
          </cell>
          <cell r="H416" t="str">
            <v>MR</v>
          </cell>
          <cell r="I416" t="str">
            <v>Alex</v>
          </cell>
          <cell r="J416">
            <v>1271765629</v>
          </cell>
          <cell r="K416">
            <v>45780</v>
          </cell>
        </row>
        <row r="416">
          <cell r="M416">
            <v>1680</v>
          </cell>
          <cell r="N416" t="str">
            <v>Ragheb</v>
          </cell>
        </row>
        <row r="417">
          <cell r="A417">
            <v>128</v>
          </cell>
          <cell r="B417" t="str">
            <v>Elhoseny Kasem Mohamed</v>
          </cell>
        </row>
        <row r="417">
          <cell r="D417" t="str">
            <v>Ramy Ahmed Mohamed</v>
          </cell>
          <cell r="E417" t="str">
            <v>Abo El Abbas Samir</v>
          </cell>
          <cell r="F417" t="str">
            <v>DIA Line</v>
          </cell>
          <cell r="G417" t="str">
            <v>DM_92</v>
          </cell>
          <cell r="H417" t="str">
            <v>DM</v>
          </cell>
          <cell r="I417" t="str">
            <v>Alex</v>
          </cell>
          <cell r="J417" t="str">
            <v> 01090039538</v>
          </cell>
          <cell r="K417">
            <v>42345</v>
          </cell>
          <cell r="L417" t="str">
            <v>elhusseiny.kassem@averroes-eg.com</v>
          </cell>
          <cell r="M417">
            <v>128</v>
          </cell>
          <cell r="N417" t="str">
            <v>Kafr El Shiekh</v>
          </cell>
        </row>
        <row r="418">
          <cell r="A418">
            <v>1670</v>
          </cell>
          <cell r="B418" t="str">
            <v>Ahmed Hamdy El Hamrawy</v>
          </cell>
          <cell r="C418" t="str">
            <v>Elhoseny Kasem Mohamed</v>
          </cell>
          <cell r="D418" t="str">
            <v>Ramy Ahmed Mohamed</v>
          </cell>
          <cell r="E418" t="str">
            <v>Abo El Abbas Samir</v>
          </cell>
          <cell r="F418" t="str">
            <v>DIA Line</v>
          </cell>
          <cell r="G418" t="str">
            <v>MR_1909</v>
          </cell>
          <cell r="H418" t="str">
            <v>MR</v>
          </cell>
          <cell r="I418" t="str">
            <v>Alex</v>
          </cell>
          <cell r="J418">
            <v>1002525478</v>
          </cell>
          <cell r="K418">
            <v>45780</v>
          </cell>
        </row>
        <row r="418">
          <cell r="M418">
            <v>1670</v>
          </cell>
          <cell r="N418" t="str">
            <v>Kafr El Dawar</v>
          </cell>
        </row>
        <row r="419">
          <cell r="A419">
            <v>1674</v>
          </cell>
          <cell r="B419" t="str">
            <v>Ahmed Niem ElTabakh</v>
          </cell>
          <cell r="C419" t="str">
            <v>Elhoseny Kasem Mohamed</v>
          </cell>
          <cell r="D419" t="str">
            <v>Ramy Ahmed Mohamed</v>
          </cell>
          <cell r="E419" t="str">
            <v>Abo El Abbas Samir</v>
          </cell>
          <cell r="F419" t="str">
            <v>DIA Line</v>
          </cell>
          <cell r="G419" t="str">
            <v>MR_1911</v>
          </cell>
          <cell r="H419" t="str">
            <v>MR</v>
          </cell>
          <cell r="I419" t="str">
            <v>Alex</v>
          </cell>
          <cell r="J419">
            <v>1281450546</v>
          </cell>
          <cell r="K419">
            <v>45780</v>
          </cell>
        </row>
        <row r="419">
          <cell r="M419">
            <v>1674</v>
          </cell>
          <cell r="N419" t="str">
            <v>Itay elbaroud</v>
          </cell>
        </row>
        <row r="420">
          <cell r="A420">
            <v>1675</v>
          </cell>
          <cell r="B420" t="str">
            <v>Donia ElSayed Mahmoud</v>
          </cell>
          <cell r="C420" t="str">
            <v>Elhoseny Kasem Mohamed</v>
          </cell>
          <cell r="D420" t="str">
            <v>Ramy Ahmed Mohamed</v>
          </cell>
          <cell r="E420" t="str">
            <v>Abo El Abbas Samir</v>
          </cell>
          <cell r="F420" t="str">
            <v>DIA Line</v>
          </cell>
          <cell r="G420" t="str">
            <v>MR_1912</v>
          </cell>
          <cell r="H420" t="str">
            <v>MR</v>
          </cell>
          <cell r="I420" t="str">
            <v>Alex</v>
          </cell>
          <cell r="J420">
            <v>1061962082</v>
          </cell>
          <cell r="K420">
            <v>45780</v>
          </cell>
        </row>
        <row r="420">
          <cell r="M420">
            <v>1675</v>
          </cell>
          <cell r="N420" t="str">
            <v>Fowa</v>
          </cell>
        </row>
        <row r="421">
          <cell r="A421">
            <v>1676</v>
          </cell>
          <cell r="B421" t="str">
            <v>Elsayed Hamdallah Elsayed</v>
          </cell>
          <cell r="C421" t="str">
            <v>Elhoseny Kasem Mohamed</v>
          </cell>
          <cell r="D421" t="str">
            <v>Ramy Ahmed Mohamed</v>
          </cell>
          <cell r="E421" t="str">
            <v>Abo El Abbas Samir</v>
          </cell>
          <cell r="F421" t="str">
            <v>DIA Line</v>
          </cell>
          <cell r="G421" t="str">
            <v>Rep814</v>
          </cell>
          <cell r="H421" t="str">
            <v>MR</v>
          </cell>
          <cell r="I421" t="str">
            <v>Alex</v>
          </cell>
          <cell r="J421">
            <v>1093099282</v>
          </cell>
          <cell r="K421">
            <v>45780</v>
          </cell>
        </row>
        <row r="421">
          <cell r="M421">
            <v>1676</v>
          </cell>
          <cell r="N421" t="str">
            <v>Kafr elsheikh</v>
          </cell>
        </row>
        <row r="422">
          <cell r="A422">
            <v>1671</v>
          </cell>
          <cell r="B422" t="str">
            <v>Habiba Hussein Mohamed</v>
          </cell>
          <cell r="C422" t="str">
            <v>Elhoseny Kasem Mohamed</v>
          </cell>
          <cell r="D422" t="str">
            <v>Ramy Ahmed Mohamed</v>
          </cell>
          <cell r="E422" t="str">
            <v>Abo El Abbas Samir</v>
          </cell>
          <cell r="F422" t="str">
            <v>DIA Line</v>
          </cell>
          <cell r="G422" t="str">
            <v>MR_1910</v>
          </cell>
          <cell r="H422" t="str">
            <v>MR</v>
          </cell>
          <cell r="I422" t="str">
            <v>Alex</v>
          </cell>
          <cell r="J422">
            <v>1112336659</v>
          </cell>
          <cell r="K422">
            <v>45780</v>
          </cell>
        </row>
        <row r="422">
          <cell r="M422">
            <v>1671</v>
          </cell>
          <cell r="N422" t="str">
            <v>Damanhour</v>
          </cell>
        </row>
        <row r="423">
          <cell r="A423">
            <v>1858</v>
          </cell>
          <cell r="B423" t="str">
            <v>Nandy Wael Elshirbeny</v>
          </cell>
          <cell r="C423" t="str">
            <v>Elhoseny Kasem Mohamed</v>
          </cell>
          <cell r="D423" t="str">
            <v>Ramy Ahmed Mohamed</v>
          </cell>
          <cell r="E423" t="str">
            <v>Abo El Abbas Samir</v>
          </cell>
          <cell r="F423" t="str">
            <v>DIA Line</v>
          </cell>
          <cell r="G423" t="str">
            <v>Rep1037</v>
          </cell>
          <cell r="H423" t="str">
            <v>MR</v>
          </cell>
          <cell r="I423" t="str">
            <v>Alex</v>
          </cell>
          <cell r="J423">
            <v>1555974405</v>
          </cell>
          <cell r="K423">
            <v>46060</v>
          </cell>
        </row>
        <row r="423">
          <cell r="M423">
            <v>1858</v>
          </cell>
          <cell r="N423" t="str">
            <v>Kafr elsheikh</v>
          </cell>
        </row>
        <row r="424">
          <cell r="A424">
            <v>1672</v>
          </cell>
          <cell r="B424" t="str">
            <v>Safaa Khaled Arkoup</v>
          </cell>
          <cell r="C424" t="str">
            <v>Elhoseny Kasem Mohamed</v>
          </cell>
          <cell r="D424" t="str">
            <v>Ramy Ahmed Mohamed</v>
          </cell>
          <cell r="E424" t="str">
            <v>Abo El Abbas Samir</v>
          </cell>
          <cell r="F424" t="str">
            <v>DIA Line</v>
          </cell>
          <cell r="G424" t="str">
            <v>MR_1907</v>
          </cell>
          <cell r="H424" t="str">
            <v>MR</v>
          </cell>
          <cell r="I424" t="str">
            <v>Alex</v>
          </cell>
          <cell r="J424">
            <v>1009150205</v>
          </cell>
          <cell r="K424">
            <v>45780</v>
          </cell>
        </row>
        <row r="424">
          <cell r="M424">
            <v>1672</v>
          </cell>
          <cell r="N424" t="str">
            <v>Abou El Matameer</v>
          </cell>
        </row>
        <row r="425">
          <cell r="A425">
            <v>1673</v>
          </cell>
          <cell r="B425" t="str">
            <v>Sahar Asran Shahat</v>
          </cell>
          <cell r="C425" t="str">
            <v>Elhoseny Kasem Mohamed</v>
          </cell>
          <cell r="D425" t="str">
            <v>Ramy Ahmed Mohamed</v>
          </cell>
          <cell r="E425" t="str">
            <v>Abo El Abbas Samir</v>
          </cell>
          <cell r="F425" t="str">
            <v>DIA Line</v>
          </cell>
          <cell r="G425" t="str">
            <v>MR_1908</v>
          </cell>
          <cell r="H425" t="str">
            <v>MR</v>
          </cell>
          <cell r="I425" t="str">
            <v>Alex</v>
          </cell>
          <cell r="J425">
            <v>1555784253</v>
          </cell>
          <cell r="K425">
            <v>45780</v>
          </cell>
        </row>
        <row r="425">
          <cell r="M425">
            <v>1673</v>
          </cell>
          <cell r="N425" t="str">
            <v>Abou Homous</v>
          </cell>
        </row>
        <row r="426">
          <cell r="A426">
            <v>1003</v>
          </cell>
          <cell r="B426" t="str">
            <v>Youssef Ashraf Ismail</v>
          </cell>
        </row>
        <row r="426">
          <cell r="D426" t="str">
            <v>Ramy Ahmed Mohamed</v>
          </cell>
          <cell r="E426" t="str">
            <v>Abo El Abbas Samir</v>
          </cell>
          <cell r="F426" t="str">
            <v>DIA Line</v>
          </cell>
          <cell r="G426" t="str">
            <v>Rep436</v>
          </cell>
          <cell r="H426" t="str">
            <v>DM</v>
          </cell>
          <cell r="I426" t="str">
            <v>Alex</v>
          </cell>
          <cell r="J426" t="str">
            <v> 01118583363</v>
          </cell>
          <cell r="K426">
            <v>44829</v>
          </cell>
          <cell r="L426" t="str">
            <v>Youssef.Ashraf.Ismail@averroes-eg.com</v>
          </cell>
          <cell r="M426">
            <v>1003</v>
          </cell>
          <cell r="N426" t="str">
            <v>Moharam Bek</v>
          </cell>
        </row>
        <row r="427">
          <cell r="A427">
            <v>1145</v>
          </cell>
          <cell r="B427" t="str">
            <v>Esraa Ahmed Sayed</v>
          </cell>
          <cell r="C427" t="str">
            <v>Youssef Ashraf Ismail</v>
          </cell>
          <cell r="D427" t="str">
            <v>Ramy Ahmed Mohamed</v>
          </cell>
          <cell r="E427" t="str">
            <v>Abo El Abbas Samir</v>
          </cell>
          <cell r="F427" t="str">
            <v>DIA Line</v>
          </cell>
          <cell r="G427" t="str">
            <v>Rep699</v>
          </cell>
          <cell r="H427" t="str">
            <v>MR</v>
          </cell>
          <cell r="I427" t="str">
            <v>Alex</v>
          </cell>
          <cell r="J427">
            <v>1026130303</v>
          </cell>
          <cell r="K427">
            <v>44968</v>
          </cell>
        </row>
        <row r="427">
          <cell r="M427">
            <v>1145</v>
          </cell>
          <cell r="N427" t="str">
            <v>el Asafra</v>
          </cell>
        </row>
        <row r="428">
          <cell r="A428">
            <v>1677</v>
          </cell>
          <cell r="B428" t="str">
            <v>Esraa Mohamed AbdelMageed</v>
          </cell>
          <cell r="C428" t="str">
            <v>Youssef Ashraf Ismail</v>
          </cell>
          <cell r="D428" t="str">
            <v>Ramy Ahmed Mohamed</v>
          </cell>
          <cell r="E428" t="str">
            <v>Abo El Abbas Samir</v>
          </cell>
          <cell r="F428" t="str">
            <v>DIA Line</v>
          </cell>
          <cell r="G428" t="str">
            <v>MR_1913</v>
          </cell>
          <cell r="H428" t="str">
            <v>MR</v>
          </cell>
          <cell r="I428" t="str">
            <v>Alex</v>
          </cell>
          <cell r="J428">
            <v>1008928549</v>
          </cell>
          <cell r="K428">
            <v>45780</v>
          </cell>
        </row>
        <row r="428">
          <cell r="M428">
            <v>1677</v>
          </cell>
          <cell r="N428" t="str">
            <v>Awaied</v>
          </cell>
        </row>
        <row r="429">
          <cell r="A429">
            <v>1720</v>
          </cell>
          <cell r="B429" t="str">
            <v>Huda Mohamed Amin</v>
          </cell>
          <cell r="C429" t="str">
            <v>Youssef Ashraf Ismail</v>
          </cell>
          <cell r="D429" t="str">
            <v>Ramy Ahmed Mohamed</v>
          </cell>
          <cell r="E429" t="str">
            <v>Abo El Abbas Samir</v>
          </cell>
          <cell r="F429" t="str">
            <v>DIA Line</v>
          </cell>
          <cell r="G429" t="str">
            <v>Rep1096</v>
          </cell>
          <cell r="H429" t="str">
            <v>MR</v>
          </cell>
          <cell r="I429" t="str">
            <v>Alex</v>
          </cell>
          <cell r="J429">
            <v>1063296618</v>
          </cell>
          <cell r="K429">
            <v>45871</v>
          </cell>
        </row>
        <row r="429">
          <cell r="M429">
            <v>1720</v>
          </cell>
          <cell r="N429" t="str">
            <v>Sidi Beshr</v>
          </cell>
        </row>
        <row r="430">
          <cell r="A430">
            <v>1678</v>
          </cell>
          <cell r="B430" t="str">
            <v>Karim Sameh Mustafa</v>
          </cell>
          <cell r="C430" t="str">
            <v>Youssef Ashraf Ismail</v>
          </cell>
          <cell r="D430" t="str">
            <v>Ramy Ahmed Mohamed</v>
          </cell>
          <cell r="E430" t="str">
            <v>Abo El Abbas Samir</v>
          </cell>
          <cell r="F430" t="str">
            <v>DIA Line</v>
          </cell>
          <cell r="G430" t="str">
            <v>MR_1914</v>
          </cell>
          <cell r="H430" t="str">
            <v>MR</v>
          </cell>
          <cell r="I430" t="str">
            <v>Alex</v>
          </cell>
          <cell r="J430">
            <v>1200849672</v>
          </cell>
          <cell r="K430">
            <v>45782</v>
          </cell>
        </row>
        <row r="430">
          <cell r="M430">
            <v>1678</v>
          </cell>
          <cell r="N430" t="str">
            <v>Toson</v>
          </cell>
        </row>
        <row r="431">
          <cell r="A431">
            <v>1776</v>
          </cell>
          <cell r="B431" t="str">
            <v>Mohamed kabbary Mohamed</v>
          </cell>
          <cell r="C431" t="str">
            <v>Youssef Ashraf Ismail</v>
          </cell>
          <cell r="D431" t="str">
            <v>Ramy Ahmed Mohamed</v>
          </cell>
          <cell r="E431" t="str">
            <v>Abo El Abbas Samir</v>
          </cell>
          <cell r="F431" t="str">
            <v>DIA Line</v>
          </cell>
          <cell r="G431" t="str">
            <v>Rep_00079</v>
          </cell>
          <cell r="H431" t="str">
            <v>MR</v>
          </cell>
          <cell r="I431" t="str">
            <v>Alex</v>
          </cell>
          <cell r="J431">
            <v>1096453095</v>
          </cell>
          <cell r="K431">
            <v>45962</v>
          </cell>
        </row>
        <row r="431">
          <cell r="M431">
            <v>1776</v>
          </cell>
          <cell r="N431" t="str">
            <v>El Werdian</v>
          </cell>
        </row>
        <row r="432">
          <cell r="A432">
            <v>1146</v>
          </cell>
          <cell r="B432" t="str">
            <v>Rania Yousri Sedeek</v>
          </cell>
          <cell r="C432" t="str">
            <v>Youssef Ashraf Ismail</v>
          </cell>
          <cell r="D432" t="str">
            <v>Ramy Ahmed Mohamed</v>
          </cell>
          <cell r="E432" t="str">
            <v>Abo El Abbas Samir</v>
          </cell>
          <cell r="F432" t="str">
            <v>DIA Line</v>
          </cell>
          <cell r="G432" t="str">
            <v>Rep697</v>
          </cell>
          <cell r="H432" t="str">
            <v>MR</v>
          </cell>
          <cell r="I432" t="str">
            <v>Alex</v>
          </cell>
          <cell r="J432">
            <v>1285989706</v>
          </cell>
          <cell r="K432">
            <v>44968</v>
          </cell>
        </row>
        <row r="432">
          <cell r="M432">
            <v>1146</v>
          </cell>
          <cell r="N432" t="str">
            <v>Moharam Bek</v>
          </cell>
        </row>
        <row r="433">
          <cell r="A433">
            <v>812</v>
          </cell>
          <cell r="B433" t="str">
            <v>Ahmed Nashaat Mohamed</v>
          </cell>
        </row>
        <row r="433">
          <cell r="E433" t="str">
            <v>Abdallah Gamal Elsayed</v>
          </cell>
          <cell r="F433" t="str">
            <v>P&amp;G Line</v>
          </cell>
          <cell r="G433" t="str">
            <v>DM_15</v>
          </cell>
          <cell r="H433" t="str">
            <v>AM</v>
          </cell>
          <cell r="I433" t="str">
            <v>Delta</v>
          </cell>
          <cell r="J433">
            <v>1285858177</v>
          </cell>
          <cell r="K433">
            <v>44422</v>
          </cell>
          <cell r="L433" t="str">
            <v>Ahmed.Nashaat.Mohamed@averroes-eg.com</v>
          </cell>
          <cell r="M433">
            <v>812</v>
          </cell>
          <cell r="N433" t="str">
            <v>Samanoud</v>
          </cell>
        </row>
        <row r="434">
          <cell r="A434">
            <v>1744</v>
          </cell>
          <cell r="B434" t="str">
            <v>Abdallah Ibrahem Ibrahem Mansour</v>
          </cell>
        </row>
        <row r="434">
          <cell r="D434" t="str">
            <v>Ahmed Nashaat Mohamed</v>
          </cell>
          <cell r="E434" t="str">
            <v>Abdallah Gamal Elsayed</v>
          </cell>
          <cell r="F434" t="str">
            <v>P&amp;G Line</v>
          </cell>
          <cell r="G434" t="str">
            <v>DM_0015</v>
          </cell>
          <cell r="H434" t="str">
            <v>DM</v>
          </cell>
          <cell r="I434" t="str">
            <v>Delta</v>
          </cell>
          <cell r="J434">
            <v>1004340030</v>
          </cell>
          <cell r="K434">
            <v>45906</v>
          </cell>
          <cell r="L434" t="str">
            <v>Abdallah.Ibrahem@averroes-eg.com</v>
          </cell>
          <cell r="M434">
            <v>1744</v>
          </cell>
          <cell r="N434" t="str">
            <v>El Mansoura</v>
          </cell>
        </row>
        <row r="435">
          <cell r="A435">
            <v>755</v>
          </cell>
          <cell r="B435" t="str">
            <v>Aya Yasser Mohamed</v>
          </cell>
        </row>
        <row r="435">
          <cell r="D435" t="str">
            <v>Ahmed Nashaat Mohamed</v>
          </cell>
          <cell r="E435" t="str">
            <v>Abdallah Gamal Elsayed</v>
          </cell>
          <cell r="F435" t="str">
            <v>P&amp;G Line</v>
          </cell>
          <cell r="G435" t="str">
            <v>Rep166</v>
          </cell>
          <cell r="H435" t="str">
            <v>DM</v>
          </cell>
          <cell r="I435" t="str">
            <v>Delta</v>
          </cell>
          <cell r="J435">
            <v>0</v>
          </cell>
          <cell r="K435">
            <v>44258</v>
          </cell>
          <cell r="L435" t="str">
            <v>Aya.Yasser.Mohamed@averroes-eg.com</v>
          </cell>
          <cell r="M435">
            <v>755</v>
          </cell>
          <cell r="N435" t="str">
            <v>El Mahala El Kobra</v>
          </cell>
        </row>
        <row r="436">
          <cell r="A436">
            <v>1327</v>
          </cell>
          <cell r="B436" t="str">
            <v>Bosy Omar Ibrahim</v>
          </cell>
          <cell r="C436" t="str">
            <v>Aya Yasser Mohamed</v>
          </cell>
          <cell r="D436" t="str">
            <v>Ahmed Nashaat Mohamed</v>
          </cell>
          <cell r="E436" t="str">
            <v>Abdallah Gamal Elsayed</v>
          </cell>
          <cell r="F436" t="str">
            <v>P&amp;G Line</v>
          </cell>
          <cell r="G436" t="str">
            <v>Rep0004</v>
          </cell>
          <cell r="H436" t="str">
            <v>MR</v>
          </cell>
          <cell r="I436" t="str">
            <v>Delta</v>
          </cell>
          <cell r="J436">
            <v>1007169205</v>
          </cell>
          <cell r="K436">
            <v>45314</v>
          </cell>
        </row>
        <row r="436">
          <cell r="M436">
            <v>1327</v>
          </cell>
          <cell r="N436" t="str">
            <v>Zefta</v>
          </cell>
        </row>
        <row r="437">
          <cell r="A437">
            <v>1493</v>
          </cell>
          <cell r="B437" t="str">
            <v>Aya Ahmed Helmy</v>
          </cell>
          <cell r="C437" t="str">
            <v>Aya Yasser Mohamed</v>
          </cell>
          <cell r="D437" t="str">
            <v>Ahmed Nashaat Mohamed</v>
          </cell>
          <cell r="E437" t="str">
            <v>Abdallah Gamal Elsayed</v>
          </cell>
          <cell r="F437" t="str">
            <v>P&amp;G Line</v>
          </cell>
          <cell r="G437" t="str">
            <v>Rep100093</v>
          </cell>
          <cell r="H437" t="str">
            <v>MR</v>
          </cell>
          <cell r="I437" t="str">
            <v>Delta</v>
          </cell>
          <cell r="J437">
            <v>1015378062</v>
          </cell>
          <cell r="K437">
            <v>45659</v>
          </cell>
        </row>
        <row r="437">
          <cell r="M437">
            <v>1493</v>
          </cell>
          <cell r="N437" t="str">
            <v>Tookh</v>
          </cell>
        </row>
        <row r="438">
          <cell r="A438">
            <v>1467</v>
          </cell>
          <cell r="B438" t="str">
            <v>Zinab AbdElKader AbdElHameed</v>
          </cell>
          <cell r="C438" t="str">
            <v>Aya Yasser Mohamed</v>
          </cell>
          <cell r="D438" t="str">
            <v>Ahmed Nashaat Mohamed</v>
          </cell>
          <cell r="E438" t="str">
            <v>Abdallah Gamal Elsayed</v>
          </cell>
          <cell r="F438" t="str">
            <v>P&amp;G Line</v>
          </cell>
          <cell r="G438" t="str">
            <v>Rep0076</v>
          </cell>
          <cell r="H438" t="str">
            <v>MR</v>
          </cell>
          <cell r="I438" t="str">
            <v>Delta</v>
          </cell>
          <cell r="J438">
            <v>1016697195</v>
          </cell>
          <cell r="K438">
            <v>45629</v>
          </cell>
        </row>
        <row r="438">
          <cell r="M438">
            <v>1467</v>
          </cell>
          <cell r="N438" t="str">
            <v>Banha - Atreeb</v>
          </cell>
        </row>
        <row r="439">
          <cell r="A439">
            <v>1531</v>
          </cell>
          <cell r="B439" t="str">
            <v>Ehab Mohammed Noureldin</v>
          </cell>
          <cell r="C439" t="str">
            <v>Aya Yasser Mohamed</v>
          </cell>
          <cell r="D439" t="str">
            <v>Ahmed Nashaat Mohamed</v>
          </cell>
          <cell r="E439" t="str">
            <v>Abdallah Gamal Elsayed</v>
          </cell>
          <cell r="F439" t="str">
            <v>P&amp;G Line</v>
          </cell>
          <cell r="G439" t="str">
            <v>AVR_34</v>
          </cell>
          <cell r="H439" t="str">
            <v>MR</v>
          </cell>
          <cell r="I439" t="str">
            <v>Delta</v>
          </cell>
          <cell r="J439">
            <v>1014176582</v>
          </cell>
          <cell r="K439">
            <v>45696</v>
          </cell>
        </row>
        <row r="439">
          <cell r="M439">
            <v>1531</v>
          </cell>
          <cell r="N439" t="str">
            <v>Tanta</v>
          </cell>
        </row>
        <row r="440">
          <cell r="A440">
            <v>1369</v>
          </cell>
          <cell r="B440" t="str">
            <v>Eman Mohamed Ali Aker</v>
          </cell>
          <cell r="C440" t="str">
            <v>Aya Yasser Mohamed</v>
          </cell>
          <cell r="D440" t="str">
            <v>Ahmed Nashaat Mohamed</v>
          </cell>
          <cell r="E440" t="str">
            <v>Abdallah Gamal Elsayed</v>
          </cell>
          <cell r="F440" t="str">
            <v>P&amp;G Line</v>
          </cell>
          <cell r="G440" t="str">
            <v>Rep0031</v>
          </cell>
          <cell r="H440" t="str">
            <v>MR</v>
          </cell>
          <cell r="I440" t="str">
            <v>Delta</v>
          </cell>
          <cell r="J440">
            <v>1028339438</v>
          </cell>
          <cell r="K440">
            <v>45444</v>
          </cell>
        </row>
        <row r="440">
          <cell r="M440">
            <v>1369</v>
          </cell>
          <cell r="N440" t="str">
            <v>Kafr El zayat</v>
          </cell>
        </row>
        <row r="441">
          <cell r="A441">
            <v>1861</v>
          </cell>
          <cell r="B441" t="str">
            <v>Salma Azmy Fathy Hiedar</v>
          </cell>
          <cell r="C441" t="str">
            <v>Aya Yasser Mohamed</v>
          </cell>
          <cell r="D441" t="str">
            <v>Ahmed Nashaat Mohamed</v>
          </cell>
          <cell r="E441" t="str">
            <v>Abdallah Gamal Elsayed</v>
          </cell>
          <cell r="F441" t="str">
            <v>P&amp;G Line</v>
          </cell>
          <cell r="G441" t="str">
            <v>Rep_00144</v>
          </cell>
          <cell r="H441" t="str">
            <v>MR</v>
          </cell>
          <cell r="I441" t="str">
            <v>Delta</v>
          </cell>
          <cell r="J441">
            <v>1003500827</v>
          </cell>
          <cell r="K441">
            <v>46062</v>
          </cell>
        </row>
        <row r="441">
          <cell r="M441">
            <v>1861</v>
          </cell>
          <cell r="N441" t="str">
            <v>Shebien El Kom</v>
          </cell>
        </row>
        <row r="442">
          <cell r="A442">
            <v>1734</v>
          </cell>
          <cell r="B442" t="str">
            <v>Mostafa Samy Fathelbab</v>
          </cell>
          <cell r="C442" t="str">
            <v>Aya Yasser Mohamed</v>
          </cell>
          <cell r="D442" t="str">
            <v>Ahmed Nashaat Mohamed</v>
          </cell>
          <cell r="E442" t="str">
            <v>Abdallah Gamal Elsayed</v>
          </cell>
          <cell r="F442" t="str">
            <v>P&amp;G Line</v>
          </cell>
          <cell r="G442" t="str">
            <v>Rep100006</v>
          </cell>
          <cell r="H442" t="str">
            <v>MR</v>
          </cell>
          <cell r="I442" t="str">
            <v>Delta</v>
          </cell>
          <cell r="J442">
            <v>1096116715</v>
          </cell>
          <cell r="K442">
            <v>45892</v>
          </cell>
        </row>
        <row r="442">
          <cell r="M442">
            <v>1734</v>
          </cell>
          <cell r="N442" t="str">
            <v>El Bagour</v>
          </cell>
        </row>
        <row r="443">
          <cell r="A443">
            <v>1521</v>
          </cell>
          <cell r="B443" t="str">
            <v>Nada Salem Salem Mohamed</v>
          </cell>
          <cell r="C443" t="str">
            <v>Aya Yasser Mohamed</v>
          </cell>
          <cell r="D443" t="str">
            <v>Ahmed Nashaat Mohamed</v>
          </cell>
          <cell r="E443" t="str">
            <v>Abdallah Gamal Elsayed</v>
          </cell>
          <cell r="F443" t="str">
            <v>P&amp;G Line</v>
          </cell>
          <cell r="G443" t="str">
            <v>AVR_23</v>
          </cell>
          <cell r="H443" t="str">
            <v>MR</v>
          </cell>
          <cell r="I443" t="str">
            <v>Delta</v>
          </cell>
          <cell r="J443">
            <v>1003121669</v>
          </cell>
          <cell r="K443">
            <v>45691</v>
          </cell>
        </row>
        <row r="443">
          <cell r="M443">
            <v>1521</v>
          </cell>
          <cell r="N443" t="str">
            <v>Beket ElSabaa</v>
          </cell>
        </row>
        <row r="444">
          <cell r="A444">
            <v>1626</v>
          </cell>
          <cell r="B444" t="str">
            <v>Nourhan Mahmoud Ahmed</v>
          </cell>
          <cell r="C444" t="str">
            <v>Aya Yasser Mohamed</v>
          </cell>
          <cell r="D444" t="str">
            <v>Ahmed Nashaat Mohamed</v>
          </cell>
          <cell r="E444" t="str">
            <v>Abdallah Gamal Elsayed</v>
          </cell>
          <cell r="F444" t="str">
            <v>P&amp;G Line</v>
          </cell>
          <cell r="G444" t="str">
            <v>Rep1000105</v>
          </cell>
          <cell r="H444" t="str">
            <v>MR</v>
          </cell>
          <cell r="I444" t="str">
            <v>Delta</v>
          </cell>
          <cell r="J444">
            <v>1206361691</v>
          </cell>
          <cell r="K444">
            <v>45780</v>
          </cell>
        </row>
        <row r="444">
          <cell r="M444">
            <v>1626</v>
          </cell>
          <cell r="N444" t="str">
            <v>El Mahala El Kobra</v>
          </cell>
        </row>
        <row r="445">
          <cell r="A445">
            <v>899</v>
          </cell>
          <cell r="B445" t="str">
            <v>Sara Ibrahim Mohamed</v>
          </cell>
        </row>
        <row r="445">
          <cell r="D445" t="str">
            <v>Ahmed Nashaat Mohamed</v>
          </cell>
          <cell r="E445" t="str">
            <v>Abdallah Gamal Elsayed</v>
          </cell>
          <cell r="F445" t="str">
            <v>P&amp;G Line</v>
          </cell>
          <cell r="G445" t="str">
            <v>Rep240</v>
          </cell>
          <cell r="H445" t="str">
            <v>DM</v>
          </cell>
          <cell r="I445" t="str">
            <v>Delta</v>
          </cell>
          <cell r="J445" t="str">
            <v> 1212871778</v>
          </cell>
          <cell r="K445">
            <v>44593</v>
          </cell>
        </row>
        <row r="445">
          <cell r="M445">
            <v>899</v>
          </cell>
          <cell r="N445" t="str">
            <v>Hehya</v>
          </cell>
        </row>
        <row r="446">
          <cell r="A446">
            <v>1028</v>
          </cell>
          <cell r="B446" t="str">
            <v>Fatma Ragaee Mahmoud</v>
          </cell>
          <cell r="C446" t="str">
            <v>Sara Ibrahim Mohamed</v>
          </cell>
          <cell r="D446" t="str">
            <v>Ahmed Nashaat Mohamed</v>
          </cell>
          <cell r="E446" t="str">
            <v>Abdallah Gamal Elsayed</v>
          </cell>
          <cell r="F446" t="str">
            <v>P&amp;G Line</v>
          </cell>
          <cell r="G446" t="str">
            <v>Rep515</v>
          </cell>
          <cell r="H446" t="str">
            <v>MR</v>
          </cell>
          <cell r="I446" t="str">
            <v>Delta</v>
          </cell>
          <cell r="J446">
            <v>1275119082</v>
          </cell>
          <cell r="K446">
            <v>44891</v>
          </cell>
        </row>
        <row r="446">
          <cell r="M446">
            <v>1028</v>
          </cell>
          <cell r="N446" t="str">
            <v>Hehya</v>
          </cell>
        </row>
        <row r="447">
          <cell r="A447">
            <v>1488</v>
          </cell>
          <cell r="B447" t="str">
            <v>Bassil Nour ElDin Noaman Gewely</v>
          </cell>
          <cell r="C447" t="str">
            <v>Sara Ibrahim Mohamed</v>
          </cell>
          <cell r="D447" t="str">
            <v>Ahmed Nashaat Mohamed</v>
          </cell>
          <cell r="E447" t="str">
            <v>Abdallah Gamal Elsayed</v>
          </cell>
          <cell r="F447" t="str">
            <v>P&amp;G Line</v>
          </cell>
          <cell r="G447" t="str">
            <v>Rep100083</v>
          </cell>
          <cell r="H447" t="str">
            <v>MR</v>
          </cell>
          <cell r="I447" t="str">
            <v>Delta</v>
          </cell>
          <cell r="J447">
            <v>1018925400</v>
          </cell>
          <cell r="K447">
            <v>45658</v>
          </cell>
        </row>
        <row r="447">
          <cell r="M447">
            <v>1488</v>
          </cell>
        </row>
        <row r="448">
          <cell r="A448">
            <v>1632</v>
          </cell>
          <cell r="B448" t="str">
            <v>Manal ElMetwally ElHoseiny</v>
          </cell>
          <cell r="C448" t="str">
            <v>Sara Ibrahim Mohamed</v>
          </cell>
          <cell r="D448" t="str">
            <v>Ahmed Nashaat Mohamed</v>
          </cell>
          <cell r="E448" t="str">
            <v>Abdallah Gamal Elsayed</v>
          </cell>
          <cell r="F448" t="str">
            <v>P&amp;G Line</v>
          </cell>
          <cell r="G448" t="str">
            <v>Rep100125</v>
          </cell>
          <cell r="H448" t="str">
            <v>MR</v>
          </cell>
          <cell r="I448" t="str">
            <v>Delta</v>
          </cell>
          <cell r="J448">
            <v>1093268228</v>
          </cell>
          <cell r="K448">
            <v>45787</v>
          </cell>
        </row>
        <row r="448">
          <cell r="M448">
            <v>1632</v>
          </cell>
          <cell r="N448" t="str">
            <v>Dekernes</v>
          </cell>
        </row>
        <row r="449">
          <cell r="A449">
            <v>1334</v>
          </cell>
          <cell r="B449" t="str">
            <v>Nayera Tarek Mokhtar</v>
          </cell>
          <cell r="C449" t="str">
            <v>Sara Ibrahim Mohamed</v>
          </cell>
          <cell r="D449" t="str">
            <v>Ahmed Nashaat Mohamed</v>
          </cell>
          <cell r="E449" t="str">
            <v>Abdallah Gamal Elsayed</v>
          </cell>
          <cell r="F449" t="str">
            <v>P&amp;G Line</v>
          </cell>
          <cell r="G449" t="str">
            <v>Rep919</v>
          </cell>
          <cell r="H449" t="str">
            <v>MR</v>
          </cell>
          <cell r="I449" t="str">
            <v>Delta</v>
          </cell>
          <cell r="J449">
            <v>1206232566</v>
          </cell>
          <cell r="K449">
            <v>45325</v>
          </cell>
        </row>
        <row r="449">
          <cell r="M449">
            <v>1334</v>
          </cell>
          <cell r="N449" t="str">
            <v>Meet Ghamr</v>
          </cell>
        </row>
        <row r="450">
          <cell r="A450">
            <v>1709</v>
          </cell>
          <cell r="B450" t="str">
            <v>Walaa Taher Ahmed</v>
          </cell>
          <cell r="C450" t="str">
            <v>Sara Ibrahim Mohamed</v>
          </cell>
          <cell r="D450" t="str">
            <v>Ahmed Nashaat Mohamed</v>
          </cell>
          <cell r="E450" t="str">
            <v>Abdallah Gamal Elsayed</v>
          </cell>
          <cell r="F450" t="str">
            <v>P&amp;G Line</v>
          </cell>
          <cell r="G450" t="str">
            <v>Rep_00059</v>
          </cell>
          <cell r="H450" t="str">
            <v>MR</v>
          </cell>
          <cell r="I450" t="str">
            <v>Delta</v>
          </cell>
          <cell r="J450">
            <v>1200562181</v>
          </cell>
          <cell r="K450">
            <v>45850</v>
          </cell>
        </row>
        <row r="450">
          <cell r="M450">
            <v>1709</v>
          </cell>
          <cell r="N450" t="str">
            <v>El Mansoura</v>
          </cell>
        </row>
        <row r="451">
          <cell r="A451">
            <v>1860</v>
          </cell>
          <cell r="B451" t="str">
            <v>Renad Nabil Shehata</v>
          </cell>
          <cell r="C451" t="str">
            <v>Sara Ibrahim Mohamed</v>
          </cell>
          <cell r="D451" t="str">
            <v>Ahmed Nashaat Mohamed</v>
          </cell>
          <cell r="E451" t="str">
            <v>Abdallah Gamal Elsayed</v>
          </cell>
          <cell r="F451" t="str">
            <v>P&amp;G Line</v>
          </cell>
        </row>
        <row r="451">
          <cell r="H451" t="str">
            <v>MR</v>
          </cell>
          <cell r="I451" t="str">
            <v>Delta</v>
          </cell>
          <cell r="J451">
            <v>1281864556</v>
          </cell>
          <cell r="K451">
            <v>46054</v>
          </cell>
        </row>
        <row r="451">
          <cell r="M451">
            <v>1860</v>
          </cell>
          <cell r="N451" t="str">
            <v>Belbais</v>
          </cell>
        </row>
        <row r="452">
          <cell r="A452">
            <v>1528</v>
          </cell>
          <cell r="B452" t="str">
            <v>Mariam Mohamed Shams</v>
          </cell>
          <cell r="C452" t="str">
            <v>Sara Ibrahim Mohamed</v>
          </cell>
          <cell r="D452" t="str">
            <v>Ahmed Nashaat Mohamed</v>
          </cell>
          <cell r="E452" t="str">
            <v>Abdallah Gamal Elsayed</v>
          </cell>
          <cell r="F452" t="str">
            <v>P&amp;G Line</v>
          </cell>
          <cell r="G452" t="str">
            <v>AVR_31</v>
          </cell>
          <cell r="H452" t="str">
            <v>MR</v>
          </cell>
          <cell r="I452" t="str">
            <v>Delta</v>
          </cell>
          <cell r="J452">
            <v>1278746991</v>
          </cell>
          <cell r="K452">
            <v>45696</v>
          </cell>
        </row>
        <row r="452">
          <cell r="M452">
            <v>1528</v>
          </cell>
          <cell r="N452" t="str">
            <v>Suiz</v>
          </cell>
        </row>
        <row r="453">
          <cell r="A453">
            <v>1449</v>
          </cell>
          <cell r="B453" t="str">
            <v>Menna AbdelRahman Mohamed</v>
          </cell>
          <cell r="C453" t="str">
            <v>Sara Ibrahim Mohamed</v>
          </cell>
          <cell r="D453" t="str">
            <v>Ahmed Nashaat Mohamed</v>
          </cell>
          <cell r="E453" t="str">
            <v>Abdallah Gamal Elsayed</v>
          </cell>
          <cell r="F453" t="str">
            <v>P&amp;G Line</v>
          </cell>
          <cell r="G453" t="str">
            <v>Rep6100</v>
          </cell>
          <cell r="H453" t="str">
            <v>MR</v>
          </cell>
          <cell r="I453" t="str">
            <v>Delta</v>
          </cell>
          <cell r="J453">
            <v>1016775394</v>
          </cell>
          <cell r="K453">
            <v>45566</v>
          </cell>
        </row>
        <row r="453">
          <cell r="M453">
            <v>1449</v>
          </cell>
          <cell r="N453" t="str">
            <v>El Zakazik City</v>
          </cell>
        </row>
        <row r="454">
          <cell r="A454">
            <v>1494</v>
          </cell>
          <cell r="B454" t="str">
            <v>Rahma AbdElbadee Kamel</v>
          </cell>
          <cell r="C454" t="str">
            <v>Sara Ibrahim Mohamed</v>
          </cell>
          <cell r="D454" t="str">
            <v>Ahmed Nashaat Mohamed</v>
          </cell>
          <cell r="E454" t="str">
            <v>Abdallah Gamal Elsayed</v>
          </cell>
          <cell r="F454" t="str">
            <v>P&amp;G Line</v>
          </cell>
          <cell r="G454" t="str">
            <v>Rep100094</v>
          </cell>
          <cell r="H454" t="str">
            <v>MR</v>
          </cell>
          <cell r="I454" t="str">
            <v>Delta</v>
          </cell>
          <cell r="J454">
            <v>1096051829</v>
          </cell>
          <cell r="K454">
            <v>45658</v>
          </cell>
        </row>
        <row r="454">
          <cell r="M454">
            <v>1494</v>
          </cell>
          <cell r="N454" t="str">
            <v>Fakoos</v>
          </cell>
        </row>
        <row r="455">
          <cell r="A455">
            <v>1490</v>
          </cell>
          <cell r="B455" t="str">
            <v>Abdallah ElSayed nasr</v>
          </cell>
          <cell r="C455" t="str">
            <v>L4_Vacant_Alex</v>
          </cell>
          <cell r="D455" t="str">
            <v>L4_Vacant_Alex &amp; Beheira &amp; Kafr ElSheikh</v>
          </cell>
          <cell r="E455" t="str">
            <v>Abdallah Gamal Elsayed</v>
          </cell>
          <cell r="F455" t="str">
            <v>P&amp;G Line</v>
          </cell>
          <cell r="G455" t="str">
            <v>Rep100086</v>
          </cell>
          <cell r="H455" t="str">
            <v>MR</v>
          </cell>
          <cell r="I455" t="str">
            <v>Alex</v>
          </cell>
          <cell r="J455">
            <v>1002078972</v>
          </cell>
          <cell r="K455">
            <v>45661</v>
          </cell>
        </row>
        <row r="455">
          <cell r="M455">
            <v>1490</v>
          </cell>
        </row>
        <row r="456">
          <cell r="A456">
            <v>1462</v>
          </cell>
          <cell r="B456" t="str">
            <v>Asmaa Ali Ali ElSayed</v>
          </cell>
          <cell r="C456" t="str">
            <v>L4_Vacant_Alex</v>
          </cell>
          <cell r="D456" t="str">
            <v>L4_Vacant_Alex &amp; Beheira &amp; Kafr ElSheikh</v>
          </cell>
          <cell r="E456" t="str">
            <v>Abdallah Gamal Elsayed</v>
          </cell>
          <cell r="F456" t="str">
            <v>P&amp;G Line</v>
          </cell>
          <cell r="G456" t="str">
            <v>Rep0077</v>
          </cell>
          <cell r="H456" t="str">
            <v>MR</v>
          </cell>
          <cell r="I456" t="str">
            <v>Alex</v>
          </cell>
          <cell r="J456">
            <v>1094959623</v>
          </cell>
          <cell r="K456">
            <v>45627</v>
          </cell>
        </row>
        <row r="456">
          <cell r="M456">
            <v>1462</v>
          </cell>
        </row>
        <row r="457">
          <cell r="A457">
            <v>1583</v>
          </cell>
          <cell r="B457" t="str">
            <v>Fady Karam Azmy Shenouda</v>
          </cell>
          <cell r="C457" t="str">
            <v>L4_Vacant_Alex</v>
          </cell>
          <cell r="D457" t="str">
            <v>L4_Vacant_Alex &amp; Beheira &amp; Kafr ElSheikh</v>
          </cell>
          <cell r="E457" t="str">
            <v>Abdallah Gamal Elsayed</v>
          </cell>
          <cell r="F457" t="str">
            <v>P&amp;G Line</v>
          </cell>
          <cell r="G457" t="str">
            <v>AVR_148</v>
          </cell>
          <cell r="H457" t="str">
            <v>MR</v>
          </cell>
          <cell r="I457" t="str">
            <v>Alex</v>
          </cell>
          <cell r="J457">
            <v>1203516434</v>
          </cell>
          <cell r="K457">
            <v>45724</v>
          </cell>
        </row>
        <row r="457">
          <cell r="M457">
            <v>1583</v>
          </cell>
          <cell r="N457" t="str">
            <v>Moharam Bek</v>
          </cell>
        </row>
        <row r="458">
          <cell r="A458">
            <v>1862</v>
          </cell>
          <cell r="B458" t="str">
            <v>Mariam Sherief Mahmoud Elsaid</v>
          </cell>
          <cell r="C458" t="str">
            <v>L4_Vacant_Alex</v>
          </cell>
          <cell r="D458" t="str">
            <v>L4_Vacant_Alex &amp; Beheira &amp; Kafr ElSheikh</v>
          </cell>
          <cell r="E458" t="str">
            <v>Abdallah Gamal Elsayed</v>
          </cell>
          <cell r="F458" t="str">
            <v>P&amp;G Line</v>
          </cell>
          <cell r="G458" t="str">
            <v>Rep_00160</v>
          </cell>
          <cell r="H458" t="str">
            <v>MR</v>
          </cell>
          <cell r="I458" t="str">
            <v>Alex</v>
          </cell>
          <cell r="J458">
            <v>1287376818</v>
          </cell>
          <cell r="K458">
            <v>46060</v>
          </cell>
        </row>
        <row r="458">
          <cell r="M458">
            <v>1862</v>
          </cell>
          <cell r="N458" t="str">
            <v>Abo Yousef</v>
          </cell>
        </row>
        <row r="459">
          <cell r="A459">
            <v>983</v>
          </cell>
          <cell r="B459" t="str">
            <v>Triza Eid Samy</v>
          </cell>
          <cell r="C459" t="str">
            <v>L4_Vacant_Alex</v>
          </cell>
          <cell r="D459" t="str">
            <v>L4_Vacant_Alex &amp; Beheira &amp; Kafr ElSheikh</v>
          </cell>
          <cell r="E459" t="str">
            <v>Abdallah Gamal Elsayed</v>
          </cell>
          <cell r="F459" t="str">
            <v>P&amp;G Line</v>
          </cell>
          <cell r="G459" t="str">
            <v>Rep405</v>
          </cell>
          <cell r="H459" t="str">
            <v>MR</v>
          </cell>
          <cell r="I459" t="str">
            <v>Alex</v>
          </cell>
          <cell r="J459" t="str">
            <v> 1210047610</v>
          </cell>
          <cell r="K459">
            <v>44779</v>
          </cell>
        </row>
        <row r="459">
          <cell r="M459">
            <v>983</v>
          </cell>
          <cell r="N459" t="str">
            <v>El Awaied</v>
          </cell>
        </row>
        <row r="460">
          <cell r="A460">
            <v>88</v>
          </cell>
          <cell r="B460" t="str">
            <v>Omnia Sobhy Elgamal</v>
          </cell>
        </row>
        <row r="460">
          <cell r="D460" t="str">
            <v>L4_Vacant_Alex &amp; Beheira &amp; Kafr ElSheikh</v>
          </cell>
          <cell r="E460" t="str">
            <v>Abdallah Gamal Elsayed</v>
          </cell>
          <cell r="F460" t="str">
            <v>P&amp;G Line</v>
          </cell>
          <cell r="G460" t="str">
            <v>Rep45</v>
          </cell>
          <cell r="H460" t="str">
            <v>DM</v>
          </cell>
          <cell r="I460" t="str">
            <v>Alex</v>
          </cell>
          <cell r="J460" t="str">
            <v> 01117908271</v>
          </cell>
          <cell r="K460">
            <v>41856</v>
          </cell>
          <cell r="L460" t="str">
            <v>Omnia.Sobhy.Elgamal@averroes-eg.com</v>
          </cell>
          <cell r="M460">
            <v>88</v>
          </cell>
          <cell r="N460" t="str">
            <v>Fowa</v>
          </cell>
        </row>
        <row r="461">
          <cell r="A461">
            <v>518</v>
          </cell>
          <cell r="B461" t="str">
            <v>Aya Ibrahim Ahmed</v>
          </cell>
          <cell r="C461" t="str">
            <v>Omnia Sobhy Elgamal</v>
          </cell>
          <cell r="D461" t="str">
            <v>L4_Vacant_Alex &amp; Beheira &amp; Kafr ElSheikh</v>
          </cell>
          <cell r="E461" t="str">
            <v>Abdallah Gamal Elsayed</v>
          </cell>
          <cell r="F461" t="str">
            <v>P&amp;G Line</v>
          </cell>
          <cell r="G461" t="str">
            <v>Rep238</v>
          </cell>
          <cell r="H461" t="str">
            <v>MR</v>
          </cell>
          <cell r="I461" t="str">
            <v>Alex</v>
          </cell>
          <cell r="J461" t="str">
            <v> 1050111226</v>
          </cell>
          <cell r="K461">
            <v>43841</v>
          </cell>
        </row>
        <row r="461">
          <cell r="M461">
            <v>518</v>
          </cell>
          <cell r="N461" t="str">
            <v>Desouk</v>
          </cell>
        </row>
        <row r="462">
          <cell r="A462">
            <v>1623</v>
          </cell>
          <cell r="B462" t="str">
            <v>Mohamed Rabea Ali Ali</v>
          </cell>
          <cell r="C462" t="str">
            <v>Omnia Sobhy Elgamal</v>
          </cell>
          <cell r="D462" t="str">
            <v>L4_Vacant_Alex &amp; Beheira &amp; Kafr ElSheikh</v>
          </cell>
          <cell r="E462" t="str">
            <v>Abdallah Gamal Elsayed</v>
          </cell>
          <cell r="F462" t="str">
            <v>P&amp;G Line</v>
          </cell>
          <cell r="G462" t="str">
            <v>Rep1000102</v>
          </cell>
          <cell r="H462" t="str">
            <v>MR</v>
          </cell>
          <cell r="I462" t="str">
            <v>Alex</v>
          </cell>
          <cell r="J462">
            <v>1096544705</v>
          </cell>
          <cell r="K462">
            <v>45780</v>
          </cell>
        </row>
        <row r="462">
          <cell r="M462">
            <v>1623</v>
          </cell>
          <cell r="N462" t="str">
            <v>Kafr Saad</v>
          </cell>
        </row>
        <row r="463">
          <cell r="A463">
            <v>1487</v>
          </cell>
          <cell r="B463" t="str">
            <v>Ahmed Yasser Khedr ElZahar</v>
          </cell>
          <cell r="C463" t="str">
            <v>Omnia Sobhy Elgamal</v>
          </cell>
          <cell r="D463" t="str">
            <v>L4_Vacant_Alex &amp; Beheira &amp; Kafr ElSheikh</v>
          </cell>
          <cell r="E463" t="str">
            <v>Abdallah Gamal Elsayed</v>
          </cell>
          <cell r="F463" t="str">
            <v>P&amp;G Line</v>
          </cell>
          <cell r="G463" t="str">
            <v>Rep100084</v>
          </cell>
          <cell r="H463" t="str">
            <v>MR</v>
          </cell>
          <cell r="I463" t="str">
            <v>Alex</v>
          </cell>
          <cell r="J463">
            <v>1556084070</v>
          </cell>
          <cell r="K463">
            <v>45658</v>
          </cell>
        </row>
        <row r="463">
          <cell r="M463">
            <v>1487</v>
          </cell>
        </row>
        <row r="464">
          <cell r="A464">
            <v>1006</v>
          </cell>
          <cell r="B464" t="str">
            <v>Mahmoud Saeed Elbakly</v>
          </cell>
          <cell r="C464" t="str">
            <v>Omnia Sobhy Elgamal</v>
          </cell>
          <cell r="D464" t="str">
            <v>L4_Vacant_Alex &amp; Beheira &amp; Kafr ElSheikh</v>
          </cell>
          <cell r="E464" t="str">
            <v>Abdallah Gamal Elsayed</v>
          </cell>
          <cell r="F464" t="str">
            <v>P&amp;G Line</v>
          </cell>
          <cell r="G464" t="str">
            <v>Rep438</v>
          </cell>
          <cell r="H464" t="str">
            <v>MR</v>
          </cell>
          <cell r="I464" t="str">
            <v>Alex</v>
          </cell>
          <cell r="J464" t="str">
            <v> 1013457529</v>
          </cell>
          <cell r="K464">
            <v>44835</v>
          </cell>
        </row>
        <row r="464">
          <cell r="M464">
            <v>1006</v>
          </cell>
          <cell r="N464" t="str">
            <v>Etay El Baroud</v>
          </cell>
        </row>
        <row r="465">
          <cell r="A465">
            <v>1761</v>
          </cell>
          <cell r="B465" t="str">
            <v>Mohamed Hassan Mostafa Mohamed</v>
          </cell>
          <cell r="C465" t="str">
            <v>Omnia Sobhy Elgamal</v>
          </cell>
          <cell r="D465" t="str">
            <v>L4_Vacant_Alex &amp; Beheira &amp; Kafr ElSheikh</v>
          </cell>
          <cell r="E465" t="str">
            <v>Abdallah Gamal Elsayed</v>
          </cell>
          <cell r="F465" t="str">
            <v>P&amp;G Line</v>
          </cell>
          <cell r="G465" t="str">
            <v>rep000019</v>
          </cell>
          <cell r="H465" t="str">
            <v>MR</v>
          </cell>
          <cell r="I465" t="str">
            <v>Alex</v>
          </cell>
          <cell r="J465">
            <v>1061109157</v>
          </cell>
          <cell r="K465">
            <v>45934</v>
          </cell>
        </row>
        <row r="465">
          <cell r="M465">
            <v>1761</v>
          </cell>
          <cell r="N465" t="str">
            <v>Kafr ELSheikh</v>
          </cell>
        </row>
        <row r="466">
          <cell r="A466">
            <v>1571</v>
          </cell>
          <cell r="B466" t="str">
            <v>Salma Mohamed ElWekil</v>
          </cell>
          <cell r="C466" t="str">
            <v>Omnia Sobhy Elgamal</v>
          </cell>
          <cell r="D466" t="str">
            <v>L4_Vacant_Alex &amp; Beheira &amp; Kafr ElSheikh</v>
          </cell>
          <cell r="E466" t="str">
            <v>Abdallah Gamal Elsayed</v>
          </cell>
          <cell r="F466" t="str">
            <v>P&amp;G Line</v>
          </cell>
          <cell r="G466" t="str">
            <v>AVR_93</v>
          </cell>
          <cell r="H466" t="str">
            <v>MR</v>
          </cell>
          <cell r="I466" t="str">
            <v>Alex</v>
          </cell>
          <cell r="J466">
            <v>1012533711</v>
          </cell>
          <cell r="K466">
            <v>45715</v>
          </cell>
        </row>
        <row r="466">
          <cell r="M466">
            <v>1571</v>
          </cell>
          <cell r="N466" t="str">
            <v>Damnhour</v>
          </cell>
        </row>
        <row r="467">
          <cell r="A467">
            <v>1746</v>
          </cell>
          <cell r="B467" t="str">
            <v>Shady Abdelnaby Mohamed Abdelnaby</v>
          </cell>
          <cell r="C467" t="str">
            <v>Omnia Sobhy Elgamal</v>
          </cell>
          <cell r="D467" t="str">
            <v>L4_Vacant_Alex &amp; Beheira &amp; Kafr ElSheikh</v>
          </cell>
          <cell r="E467" t="str">
            <v>Abdallah Gamal Elsayed</v>
          </cell>
          <cell r="F467" t="str">
            <v>P&amp;G Line</v>
          </cell>
          <cell r="G467" t="str">
            <v>Rep00081</v>
          </cell>
          <cell r="H467" t="str">
            <v>MR</v>
          </cell>
          <cell r="I467" t="str">
            <v>Alex</v>
          </cell>
          <cell r="J467">
            <v>1004209490</v>
          </cell>
          <cell r="K467">
            <v>45913</v>
          </cell>
        </row>
        <row r="467">
          <cell r="M467">
            <v>1746</v>
          </cell>
          <cell r="N467" t="str">
            <v>Kafr ELSheikh</v>
          </cell>
        </row>
        <row r="468">
          <cell r="A468">
            <v>1741</v>
          </cell>
          <cell r="B468" t="str">
            <v>Abanoub Samy Mounir</v>
          </cell>
        </row>
        <row r="468">
          <cell r="D468" t="str">
            <v>L4_Vacant_Cairo/Giza</v>
          </cell>
          <cell r="E468" t="str">
            <v>Abdallah Gamal Elsayed</v>
          </cell>
          <cell r="F468" t="str">
            <v>P&amp;G Line</v>
          </cell>
          <cell r="G468" t="str">
            <v>DM_1007</v>
          </cell>
          <cell r="H468" t="str">
            <v>DM</v>
          </cell>
          <cell r="I468" t="str">
            <v>Cairo</v>
          </cell>
          <cell r="J468">
            <v>1033889221</v>
          </cell>
          <cell r="K468">
            <v>45901</v>
          </cell>
          <cell r="L468" t="str">
            <v>Abanoub.Samy@averroes-eg.com</v>
          </cell>
          <cell r="M468">
            <v>1741</v>
          </cell>
          <cell r="N468" t="str">
            <v>NASR CITY II</v>
          </cell>
        </row>
        <row r="469">
          <cell r="A469">
            <v>1760</v>
          </cell>
          <cell r="B469" t="str">
            <v>Abdelrahman Yasser Ibrahim</v>
          </cell>
          <cell r="C469" t="str">
            <v>Abanoub Samy Mounir</v>
          </cell>
          <cell r="D469" t="str">
            <v>L4_Vacant_Cairo/Giza</v>
          </cell>
          <cell r="E469" t="str">
            <v>Abdallah Gamal Elsayed</v>
          </cell>
          <cell r="F469" t="str">
            <v>P&amp;G Line</v>
          </cell>
          <cell r="G469" t="str">
            <v>rep000018</v>
          </cell>
          <cell r="H469" t="str">
            <v>MR</v>
          </cell>
          <cell r="I469" t="str">
            <v>Cairo</v>
          </cell>
          <cell r="J469">
            <v>1090275490</v>
          </cell>
          <cell r="K469">
            <v>45931</v>
          </cell>
        </row>
        <row r="469">
          <cell r="M469">
            <v>1760</v>
          </cell>
          <cell r="N469" t="str">
            <v>el marg</v>
          </cell>
        </row>
        <row r="470">
          <cell r="A470">
            <v>1757</v>
          </cell>
          <cell r="B470" t="str">
            <v>Ahmed Essam Taha</v>
          </cell>
          <cell r="C470" t="str">
            <v>Abanoub Samy Mounir</v>
          </cell>
          <cell r="D470" t="str">
            <v>L4_Vacant_Cairo/Giza</v>
          </cell>
          <cell r="E470" t="str">
            <v>Abdallah Gamal Elsayed</v>
          </cell>
          <cell r="F470" t="str">
            <v>P&amp;G Line</v>
          </cell>
          <cell r="G470" t="str">
            <v>rep000015</v>
          </cell>
          <cell r="H470" t="str">
            <v>MR</v>
          </cell>
          <cell r="I470" t="str">
            <v>Cairo</v>
          </cell>
          <cell r="J470" t="str">
            <v>0114 8631822</v>
          </cell>
          <cell r="K470">
            <v>45931</v>
          </cell>
        </row>
        <row r="470">
          <cell r="M470">
            <v>1757</v>
          </cell>
          <cell r="N470" t="str">
            <v>Abbaseya</v>
          </cell>
        </row>
        <row r="471">
          <cell r="A471">
            <v>1465</v>
          </cell>
          <cell r="B471" t="str">
            <v>Eslam Gamal ElSayed</v>
          </cell>
          <cell r="C471" t="str">
            <v>Abanoub Samy Mounir</v>
          </cell>
          <cell r="D471" t="str">
            <v>L4_Vacant_Cairo/Giza</v>
          </cell>
          <cell r="E471" t="str">
            <v>Abdallah Gamal Elsayed</v>
          </cell>
          <cell r="F471" t="str">
            <v>P&amp;G Line</v>
          </cell>
          <cell r="G471" t="str">
            <v>Rep0078</v>
          </cell>
          <cell r="H471" t="str">
            <v>MR</v>
          </cell>
          <cell r="I471" t="str">
            <v>Cairo</v>
          </cell>
          <cell r="J471">
            <v>1004601149</v>
          </cell>
          <cell r="K471">
            <v>45627</v>
          </cell>
        </row>
        <row r="471">
          <cell r="M471">
            <v>1465</v>
          </cell>
          <cell r="N471" t="str">
            <v>ELMATARIA - CAIRO</v>
          </cell>
        </row>
        <row r="472">
          <cell r="A472">
            <v>1625</v>
          </cell>
          <cell r="B472" t="str">
            <v>Ghada Mohammed Nemr Soliman</v>
          </cell>
          <cell r="C472" t="str">
            <v>Abanoub Samy Mounir</v>
          </cell>
          <cell r="D472" t="str">
            <v>L4_Vacant_Cairo/Giza</v>
          </cell>
          <cell r="E472" t="str">
            <v>Abdallah Gamal Elsayed</v>
          </cell>
          <cell r="F472" t="str">
            <v>P&amp;G Line</v>
          </cell>
          <cell r="G472" t="str">
            <v>Rep1000104</v>
          </cell>
          <cell r="H472" t="str">
            <v>MR</v>
          </cell>
          <cell r="I472" t="str">
            <v>Cairo</v>
          </cell>
          <cell r="J472">
            <v>1020545018</v>
          </cell>
          <cell r="K472">
            <v>45780</v>
          </cell>
        </row>
        <row r="472">
          <cell r="M472">
            <v>1625</v>
          </cell>
          <cell r="N472" t="str">
            <v>Madenet El Salam</v>
          </cell>
        </row>
        <row r="473">
          <cell r="A473">
            <v>1819</v>
          </cell>
          <cell r="B473" t="str">
            <v>Nada Ali Ahmed</v>
          </cell>
          <cell r="C473" t="str">
            <v>Abanoub Samy Mounir</v>
          </cell>
          <cell r="D473" t="str">
            <v>L4_Vacant_Cairo/Giza</v>
          </cell>
          <cell r="E473" t="str">
            <v>Abdallah Gamal Elsayed</v>
          </cell>
          <cell r="F473" t="str">
            <v>P&amp;G Line</v>
          </cell>
          <cell r="G473" t="str">
            <v>Rep_00136</v>
          </cell>
          <cell r="H473" t="str">
            <v>MR</v>
          </cell>
          <cell r="I473" t="str">
            <v>Cairo</v>
          </cell>
          <cell r="J473">
            <v>1080692926</v>
          </cell>
          <cell r="K473">
            <v>46025</v>
          </cell>
        </row>
        <row r="473">
          <cell r="M473">
            <v>1819</v>
          </cell>
          <cell r="N473" t="str">
            <v>Roksi</v>
          </cell>
        </row>
        <row r="474">
          <cell r="A474">
            <v>595</v>
          </cell>
          <cell r="B474" t="str">
            <v>Mohamed Ezzat Hassan</v>
          </cell>
        </row>
        <row r="474">
          <cell r="D474" t="str">
            <v>L4_Vacant_Cairo/Giza</v>
          </cell>
          <cell r="E474" t="str">
            <v>Abdallah Gamal Elsayed</v>
          </cell>
          <cell r="F474" t="str">
            <v>P&amp;G Line</v>
          </cell>
          <cell r="G474" t="str">
            <v>Rep223</v>
          </cell>
          <cell r="H474" t="str">
            <v>DM</v>
          </cell>
          <cell r="I474" t="str">
            <v>Cairo</v>
          </cell>
          <cell r="J474" t="str">
            <v> 01030098100</v>
          </cell>
          <cell r="K474">
            <v>43864</v>
          </cell>
          <cell r="L474" t="str">
            <v>mohamed.ezat@averroes-eg.com</v>
          </cell>
          <cell r="M474">
            <v>595</v>
          </cell>
          <cell r="N474" t="str">
            <v>El Sheikh Zayed</v>
          </cell>
        </row>
        <row r="475">
          <cell r="A475">
            <v>1865</v>
          </cell>
          <cell r="B475" t="str">
            <v>Merna Samer Adel Beshay</v>
          </cell>
          <cell r="C475" t="str">
            <v>Mohamed Ezzat Hassan</v>
          </cell>
          <cell r="D475" t="str">
            <v>L4_Vacant_Cairo/Giza</v>
          </cell>
          <cell r="E475" t="str">
            <v>Abdallah Gamal Elsayed</v>
          </cell>
          <cell r="F475" t="str">
            <v>P&amp;G Line</v>
          </cell>
          <cell r="G475" t="str">
            <v>Rep1007</v>
          </cell>
          <cell r="H475" t="str">
            <v>MR</v>
          </cell>
          <cell r="I475" t="str">
            <v>Cairo</v>
          </cell>
          <cell r="J475">
            <v>1273953409</v>
          </cell>
          <cell r="K475">
            <v>46057</v>
          </cell>
        </row>
        <row r="475">
          <cell r="M475">
            <v>1865</v>
          </cell>
          <cell r="N475" t="str">
            <v>Dokki</v>
          </cell>
        </row>
        <row r="476">
          <cell r="A476">
            <v>1519</v>
          </cell>
          <cell r="B476" t="str">
            <v>Warda Arafa Berik</v>
          </cell>
          <cell r="C476" t="str">
            <v>Mohamed Ezzat Hassan</v>
          </cell>
          <cell r="D476" t="str">
            <v>L4_Vacant_Cairo/Giza</v>
          </cell>
          <cell r="E476" t="str">
            <v>Abdallah Gamal Elsayed</v>
          </cell>
          <cell r="F476" t="str">
            <v>P&amp;G Line</v>
          </cell>
          <cell r="G476" t="str">
            <v>AVR_21</v>
          </cell>
          <cell r="H476" t="str">
            <v>MR</v>
          </cell>
          <cell r="I476" t="str">
            <v>Cairo</v>
          </cell>
          <cell r="J476">
            <v>1090567380</v>
          </cell>
          <cell r="K476">
            <v>45690</v>
          </cell>
        </row>
        <row r="476">
          <cell r="M476">
            <v>1519</v>
          </cell>
          <cell r="N476" t="str">
            <v>6th of October City</v>
          </cell>
        </row>
        <row r="477">
          <cell r="A477">
            <v>1517</v>
          </cell>
          <cell r="B477" t="str">
            <v>Yehia Esmail AboDaif</v>
          </cell>
          <cell r="C477" t="str">
            <v>Mohamed Ezzat Hassan</v>
          </cell>
          <cell r="D477" t="str">
            <v>L4_Vacant_Cairo/Giza</v>
          </cell>
          <cell r="E477" t="str">
            <v>Abdallah Gamal Elsayed</v>
          </cell>
          <cell r="F477" t="str">
            <v>P&amp;G Line</v>
          </cell>
          <cell r="G477" t="str">
            <v>AVR_19</v>
          </cell>
          <cell r="H477" t="str">
            <v>MR</v>
          </cell>
          <cell r="I477" t="str">
            <v>Cairo</v>
          </cell>
          <cell r="J477">
            <v>1023854954</v>
          </cell>
          <cell r="K477">
            <v>45690</v>
          </cell>
        </row>
        <row r="477">
          <cell r="M477">
            <v>1517</v>
          </cell>
          <cell r="N477" t="str">
            <v>Abo El Nomros</v>
          </cell>
        </row>
        <row r="478">
          <cell r="A478">
            <v>792</v>
          </cell>
          <cell r="B478" t="str">
            <v>Waleed Nageh AboZeid</v>
          </cell>
        </row>
        <row r="478">
          <cell r="D478" t="str">
            <v>L4_Vacant_Cairo/Giza</v>
          </cell>
          <cell r="E478" t="str">
            <v>Abdallah Gamal Elsayed</v>
          </cell>
          <cell r="F478" t="str">
            <v>P&amp;G Line</v>
          </cell>
          <cell r="G478" t="str">
            <v>Rep12</v>
          </cell>
          <cell r="H478" t="str">
            <v>DM</v>
          </cell>
          <cell r="I478" t="str">
            <v>Cairo</v>
          </cell>
          <cell r="J478">
            <v>1118607892</v>
          </cell>
          <cell r="K478">
            <v>44362</v>
          </cell>
          <cell r="L478" t="str">
            <v>Waleed.Nageh.AboZeid@averroes-eg.com</v>
          </cell>
          <cell r="M478">
            <v>792</v>
          </cell>
          <cell r="N478" t="str">
            <v>DAR ELSALAM - CAIRO</v>
          </cell>
        </row>
        <row r="479">
          <cell r="A479">
            <v>1754</v>
          </cell>
          <cell r="B479" t="str">
            <v>Amira Ashraf Sayed Ahmed</v>
          </cell>
          <cell r="C479" t="str">
            <v>Waleed Nageh AboZeid</v>
          </cell>
          <cell r="D479" t="str">
            <v>L4_Vacant_Cairo/Giza</v>
          </cell>
          <cell r="E479" t="str">
            <v>Abdallah Gamal Elsayed</v>
          </cell>
          <cell r="F479" t="str">
            <v>P&amp;G Line</v>
          </cell>
          <cell r="G479" t="str">
            <v>Rep1000080</v>
          </cell>
          <cell r="H479" t="str">
            <v>MR</v>
          </cell>
          <cell r="I479" t="str">
            <v>Cairo</v>
          </cell>
          <cell r="J479">
            <v>1020424012</v>
          </cell>
          <cell r="K479">
            <v>45901</v>
          </cell>
        </row>
        <row r="479">
          <cell r="M479">
            <v>1754</v>
          </cell>
          <cell r="N479" t="str">
            <v>Helwan</v>
          </cell>
        </row>
        <row r="480">
          <cell r="A480">
            <v>736</v>
          </cell>
          <cell r="B480" t="str">
            <v>Asmaa Ahmed Ismael</v>
          </cell>
          <cell r="C480" t="str">
            <v>Waleed Nageh AboZeid</v>
          </cell>
          <cell r="D480" t="str">
            <v>L4_Vacant_Cairo/Giza</v>
          </cell>
          <cell r="E480" t="str">
            <v>Abdallah Gamal Elsayed</v>
          </cell>
          <cell r="F480" t="str">
            <v>P&amp;G Line</v>
          </cell>
          <cell r="G480" t="str">
            <v>Rep215</v>
          </cell>
          <cell r="H480" t="str">
            <v>MR</v>
          </cell>
          <cell r="I480" t="str">
            <v>Cairo</v>
          </cell>
          <cell r="J480" t="str">
            <v> 1030480507</v>
          </cell>
          <cell r="K480">
            <v>44228</v>
          </cell>
        </row>
        <row r="480">
          <cell r="M480">
            <v>736</v>
          </cell>
          <cell r="N480" t="str">
            <v>DAR ELSALAM - CAIRO</v>
          </cell>
        </row>
        <row r="481">
          <cell r="A481">
            <v>1529</v>
          </cell>
          <cell r="B481" t="str">
            <v>Buthinah Nader Mohamed Azmy</v>
          </cell>
          <cell r="C481" t="str">
            <v>Waleed Nageh AboZeid</v>
          </cell>
          <cell r="D481" t="str">
            <v>L4_Vacant_Cairo/Giza</v>
          </cell>
          <cell r="E481" t="str">
            <v>Abdallah Gamal Elsayed</v>
          </cell>
          <cell r="F481" t="str">
            <v>P&amp;G Line</v>
          </cell>
          <cell r="G481" t="str">
            <v>AVR_32</v>
          </cell>
          <cell r="H481" t="str">
            <v>MR</v>
          </cell>
          <cell r="I481" t="str">
            <v>Cairo</v>
          </cell>
          <cell r="J481">
            <v>1102372504</v>
          </cell>
          <cell r="K481">
            <v>45696</v>
          </cell>
        </row>
        <row r="481">
          <cell r="M481">
            <v>1529</v>
          </cell>
          <cell r="N481" t="str">
            <v>Shobra El Khiema</v>
          </cell>
        </row>
        <row r="482">
          <cell r="A482">
            <v>1839</v>
          </cell>
          <cell r="B482" t="str">
            <v>Madona Lazeim Shafik</v>
          </cell>
          <cell r="C482" t="str">
            <v>Waleed Nageh AboZeid</v>
          </cell>
          <cell r="D482" t="str">
            <v>L4_Vacant_Cairo/Giza</v>
          </cell>
          <cell r="E482" t="str">
            <v>Abdallah Gamal Elsayed</v>
          </cell>
          <cell r="F482" t="str">
            <v>P&amp;G Line</v>
          </cell>
          <cell r="G482" t="str">
            <v>Rep_00161</v>
          </cell>
          <cell r="H482" t="str">
            <v>MR</v>
          </cell>
          <cell r="I482" t="str">
            <v>Cairo</v>
          </cell>
          <cell r="J482">
            <v>1276895847</v>
          </cell>
          <cell r="K482">
            <v>46023</v>
          </cell>
        </row>
        <row r="482">
          <cell r="M482">
            <v>1839</v>
          </cell>
          <cell r="N482" t="str">
            <v>Shobra El Khiema</v>
          </cell>
        </row>
        <row r="483">
          <cell r="A483">
            <v>1450</v>
          </cell>
          <cell r="B483" t="str">
            <v>Toka Maged Ibrahim</v>
          </cell>
          <cell r="C483" t="str">
            <v>Waleed Nageh AboZeid</v>
          </cell>
          <cell r="D483" t="str">
            <v>L4_Vacant_Cairo/Giza</v>
          </cell>
          <cell r="E483" t="str">
            <v>Abdallah Gamal Elsayed</v>
          </cell>
          <cell r="F483" t="str">
            <v>P&amp;G Line</v>
          </cell>
          <cell r="G483" t="str">
            <v>Rep100045</v>
          </cell>
          <cell r="H483" t="str">
            <v>MR</v>
          </cell>
          <cell r="I483" t="str">
            <v>Cairo</v>
          </cell>
          <cell r="J483">
            <v>1552588806</v>
          </cell>
          <cell r="K483">
            <v>45566</v>
          </cell>
        </row>
        <row r="483">
          <cell r="M483">
            <v>1450</v>
          </cell>
          <cell r="N483" t="str">
            <v>Embaba</v>
          </cell>
        </row>
        <row r="484">
          <cell r="A484">
            <v>1113</v>
          </cell>
          <cell r="B484" t="str">
            <v>Mohamed AbdelSabor Madany</v>
          </cell>
        </row>
        <row r="484">
          <cell r="E484" t="str">
            <v>Abdallah Gamal Elsayed</v>
          </cell>
          <cell r="F484" t="str">
            <v>P&amp;G Line</v>
          </cell>
          <cell r="G484" t="str">
            <v>DM_114</v>
          </cell>
          <cell r="H484" t="str">
            <v>AM</v>
          </cell>
          <cell r="I484" t="str">
            <v>Upper Egypt</v>
          </cell>
          <cell r="J484">
            <v>1091332030</v>
          </cell>
          <cell r="K484">
            <v>44958</v>
          </cell>
          <cell r="L484" t="str">
            <v>Mohamed.AbdelSabor.Medany@averroes-eg.com</v>
          </cell>
          <cell r="M484">
            <v>1113</v>
          </cell>
          <cell r="N484" t="str">
            <v>Quena City</v>
          </cell>
        </row>
        <row r="485">
          <cell r="A485">
            <v>1082</v>
          </cell>
          <cell r="B485" t="str">
            <v>David Thabet Mehanni</v>
          </cell>
        </row>
        <row r="485">
          <cell r="D485" t="str">
            <v>Mohamed AbdelSabor Madany</v>
          </cell>
          <cell r="E485" t="str">
            <v>Abdallah Gamal Elsayed</v>
          </cell>
          <cell r="F485" t="str">
            <v>P&amp;G Line</v>
          </cell>
          <cell r="G485" t="str">
            <v>DM_101</v>
          </cell>
          <cell r="H485" t="str">
            <v>DM</v>
          </cell>
          <cell r="I485" t="str">
            <v>Upper Egypt</v>
          </cell>
          <cell r="J485" t="str">
            <v> 01554629292</v>
          </cell>
          <cell r="K485">
            <v>44942</v>
          </cell>
          <cell r="L485" t="str">
            <v>David.Thabet.Mehanni@averroes-eg.com</v>
          </cell>
          <cell r="M485">
            <v>1082</v>
          </cell>
          <cell r="N485" t="str">
            <v>Malawy</v>
          </cell>
        </row>
        <row r="486">
          <cell r="A486">
            <v>470</v>
          </cell>
          <cell r="B486" t="str">
            <v>Ahmed Shaaban AbdElsalam</v>
          </cell>
          <cell r="C486" t="str">
            <v>David Thabet Mehanni</v>
          </cell>
          <cell r="D486" t="str">
            <v>Mohamed AbdelSabor Madany</v>
          </cell>
          <cell r="E486" t="str">
            <v>Abdallah Gamal Elsayed</v>
          </cell>
          <cell r="F486" t="str">
            <v>P&amp;G Line</v>
          </cell>
          <cell r="G486" t="str">
            <v>Rep258</v>
          </cell>
          <cell r="H486" t="str">
            <v>MR</v>
          </cell>
          <cell r="I486" t="str">
            <v>Upper Egypt</v>
          </cell>
          <cell r="J486" t="str">
            <v> 1030814111</v>
          </cell>
          <cell r="K486">
            <v>43694</v>
          </cell>
        </row>
        <row r="486">
          <cell r="M486">
            <v>470</v>
          </cell>
          <cell r="N486" t="str">
            <v>El Menia City</v>
          </cell>
        </row>
        <row r="487">
          <cell r="A487">
            <v>1503</v>
          </cell>
          <cell r="B487" t="str">
            <v>Hamees Yahia AbdElhameed</v>
          </cell>
          <cell r="C487" t="str">
            <v>David Thabet Mehanni</v>
          </cell>
          <cell r="D487" t="str">
            <v>Mohamed AbdelSabor Madany</v>
          </cell>
          <cell r="E487" t="str">
            <v>Abdallah Gamal Elsayed</v>
          </cell>
          <cell r="F487" t="str">
            <v>P&amp;G Line</v>
          </cell>
          <cell r="G487" t="str">
            <v>Rep100103</v>
          </cell>
          <cell r="H487" t="str">
            <v>MR</v>
          </cell>
          <cell r="I487" t="str">
            <v>Upper Egypt</v>
          </cell>
          <cell r="J487">
            <v>1067219806</v>
          </cell>
          <cell r="K487">
            <v>45676</v>
          </cell>
        </row>
        <row r="487">
          <cell r="M487">
            <v>1503</v>
          </cell>
          <cell r="N487" t="str">
            <v>El Menia City</v>
          </cell>
        </row>
        <row r="488">
          <cell r="A488">
            <v>1768</v>
          </cell>
          <cell r="B488" t="str">
            <v>Israa Imad Eldin Mohamed</v>
          </cell>
          <cell r="C488" t="str">
            <v>David Thabet Mehanni</v>
          </cell>
          <cell r="D488" t="str">
            <v>Mohamed AbdelSabor Madany</v>
          </cell>
          <cell r="E488" t="str">
            <v>Abdallah Gamal Elsayed</v>
          </cell>
          <cell r="F488" t="str">
            <v>P&amp;G Line</v>
          </cell>
          <cell r="G488" t="str">
            <v>Rep1110</v>
          </cell>
          <cell r="H488" t="str">
            <v>MR</v>
          </cell>
          <cell r="I488" t="str">
            <v>Upper Egypt</v>
          </cell>
          <cell r="J488">
            <v>1221100717</v>
          </cell>
          <cell r="K488">
            <v>45941</v>
          </cell>
        </row>
        <row r="488">
          <cell r="M488">
            <v>1768</v>
          </cell>
          <cell r="N488" t="str">
            <v>Bani Swaif City</v>
          </cell>
        </row>
        <row r="489">
          <cell r="A489">
            <v>1022</v>
          </cell>
          <cell r="B489" t="str">
            <v>Mariam Ashraf Barty</v>
          </cell>
          <cell r="C489" t="str">
            <v>David Thabet Mehanni</v>
          </cell>
          <cell r="D489" t="str">
            <v>Mohamed AbdelSabor Madany</v>
          </cell>
          <cell r="E489" t="str">
            <v>Abdallah Gamal Elsayed</v>
          </cell>
          <cell r="F489" t="str">
            <v>P&amp;G Line</v>
          </cell>
          <cell r="G489" t="str">
            <v>Rep517</v>
          </cell>
          <cell r="H489" t="str">
            <v>MR</v>
          </cell>
          <cell r="I489" t="str">
            <v>Upper Egypt</v>
          </cell>
          <cell r="J489" t="str">
            <v> 01200919670</v>
          </cell>
          <cell r="K489">
            <v>44877</v>
          </cell>
        </row>
        <row r="489">
          <cell r="M489">
            <v>1022</v>
          </cell>
          <cell r="N489" t="str">
            <v>Assuit City</v>
          </cell>
        </row>
        <row r="490">
          <cell r="A490">
            <v>1401</v>
          </cell>
          <cell r="B490" t="str">
            <v>Hazem Mohamed Kamel</v>
          </cell>
          <cell r="C490" t="str">
            <v>David Thabet Mehanni</v>
          </cell>
          <cell r="D490" t="str">
            <v>Mohamed AbdelSabor Madany</v>
          </cell>
          <cell r="E490" t="str">
            <v>Abdallah Gamal Elsayed</v>
          </cell>
          <cell r="F490" t="str">
            <v>P&amp;G Line</v>
          </cell>
          <cell r="G490" t="str">
            <v>Rep10007</v>
          </cell>
          <cell r="H490" t="str">
            <v>MR</v>
          </cell>
          <cell r="I490" t="str">
            <v>Upper Egypt</v>
          </cell>
          <cell r="J490">
            <v>1032454210</v>
          </cell>
          <cell r="K490">
            <v>45467</v>
          </cell>
        </row>
        <row r="490">
          <cell r="M490">
            <v>1401</v>
          </cell>
          <cell r="N490" t="str">
            <v>Fayoum City</v>
          </cell>
        </row>
        <row r="491">
          <cell r="A491">
            <v>1023</v>
          </cell>
          <cell r="B491" t="str">
            <v>Mariet Atef Shafeak</v>
          </cell>
          <cell r="C491" t="str">
            <v>David Thabet Mehanni</v>
          </cell>
          <cell r="D491" t="str">
            <v>Mohamed AbdelSabor Madany</v>
          </cell>
          <cell r="E491" t="str">
            <v>Abdallah Gamal Elsayed</v>
          </cell>
          <cell r="F491" t="str">
            <v>P&amp;G Line</v>
          </cell>
          <cell r="G491" t="str">
            <v>Rep518</v>
          </cell>
          <cell r="H491" t="str">
            <v>MR</v>
          </cell>
          <cell r="I491" t="str">
            <v>Upper Egypt</v>
          </cell>
          <cell r="J491" t="str">
            <v> 01090936290</v>
          </cell>
          <cell r="K491">
            <v>44878</v>
          </cell>
        </row>
        <row r="491">
          <cell r="M491">
            <v>1023</v>
          </cell>
          <cell r="N491" t="str">
            <v>Assuit City</v>
          </cell>
        </row>
        <row r="492">
          <cell r="A492">
            <v>1504</v>
          </cell>
          <cell r="B492" t="str">
            <v>Mina Adel Zaki</v>
          </cell>
          <cell r="C492" t="str">
            <v>David Thabet Mehanni</v>
          </cell>
          <cell r="D492" t="str">
            <v>Mohamed AbdelSabor Madany</v>
          </cell>
          <cell r="E492" t="str">
            <v>Abdallah Gamal Elsayed</v>
          </cell>
          <cell r="F492" t="str">
            <v>P&amp;G Line</v>
          </cell>
          <cell r="G492" t="str">
            <v>Rep100104</v>
          </cell>
          <cell r="H492" t="str">
            <v>MR</v>
          </cell>
          <cell r="I492" t="str">
            <v>Upper Egypt</v>
          </cell>
          <cell r="J492">
            <v>1228718121</v>
          </cell>
          <cell r="K492">
            <v>45676</v>
          </cell>
        </row>
        <row r="492">
          <cell r="M492">
            <v>1504</v>
          </cell>
          <cell r="N492" t="str">
            <v>Assuit City</v>
          </cell>
        </row>
        <row r="493">
          <cell r="A493">
            <v>1722</v>
          </cell>
          <cell r="B493" t="str">
            <v>Mohamed Ibrahim Abdelrazek</v>
          </cell>
          <cell r="C493" t="str">
            <v>David Thabet Mehanni</v>
          </cell>
          <cell r="D493" t="str">
            <v>Mohamed AbdelSabor Madany</v>
          </cell>
          <cell r="E493" t="str">
            <v>Abdallah Gamal Elsayed</v>
          </cell>
          <cell r="F493" t="str">
            <v>P&amp;G Line</v>
          </cell>
          <cell r="G493" t="str">
            <v>Rep1105</v>
          </cell>
          <cell r="H493" t="str">
            <v>MR</v>
          </cell>
          <cell r="I493" t="str">
            <v>Upper Egypt</v>
          </cell>
          <cell r="J493">
            <v>1551050502</v>
          </cell>
          <cell r="K493">
            <v>45871</v>
          </cell>
        </row>
        <row r="493">
          <cell r="M493">
            <v>1722</v>
          </cell>
          <cell r="N493" t="str">
            <v>Bani Swaif City</v>
          </cell>
        </row>
        <row r="494">
          <cell r="A494">
            <v>1413</v>
          </cell>
          <cell r="B494" t="str">
            <v>Verina Faragallah Shawqi</v>
          </cell>
          <cell r="C494" t="str">
            <v>David Thabet Mehanni</v>
          </cell>
          <cell r="D494" t="str">
            <v>Mohamed AbdelSabor Madany</v>
          </cell>
          <cell r="E494" t="str">
            <v>Abdallah Gamal Elsayed</v>
          </cell>
          <cell r="F494" t="str">
            <v>P&amp;G Line</v>
          </cell>
          <cell r="G494" t="str">
            <v>Rep100014</v>
          </cell>
          <cell r="H494" t="str">
            <v>MR</v>
          </cell>
          <cell r="I494" t="str">
            <v>Upper Egypt</v>
          </cell>
          <cell r="J494">
            <v>1281263048</v>
          </cell>
          <cell r="K494">
            <v>45509</v>
          </cell>
        </row>
        <row r="494">
          <cell r="M494">
            <v>1413</v>
          </cell>
          <cell r="N494" t="str">
            <v>Samalout</v>
          </cell>
        </row>
        <row r="495">
          <cell r="A495">
            <v>1448</v>
          </cell>
          <cell r="B495" t="str">
            <v>Ali Ragab Ahmed</v>
          </cell>
          <cell r="C495" t="str">
            <v>L4_Vacant_Upper Egypt 2</v>
          </cell>
          <cell r="D495" t="str">
            <v>Mohamed AbdelSabor Madany</v>
          </cell>
          <cell r="E495" t="str">
            <v>Abdallah Gamal Elsayed</v>
          </cell>
          <cell r="F495" t="str">
            <v>P&amp;G Line</v>
          </cell>
          <cell r="G495" t="str">
            <v>Rep6101</v>
          </cell>
          <cell r="H495" t="str">
            <v>MR</v>
          </cell>
          <cell r="I495" t="str">
            <v>Upper Egypt</v>
          </cell>
          <cell r="J495">
            <v>1061048527</v>
          </cell>
          <cell r="K495">
            <v>45566</v>
          </cell>
        </row>
        <row r="495">
          <cell r="M495">
            <v>1448</v>
          </cell>
          <cell r="N495" t="str">
            <v>Quena City</v>
          </cell>
        </row>
        <row r="496">
          <cell r="A496">
            <v>1770</v>
          </cell>
          <cell r="B496" t="str">
            <v>Doaa Mohamed Saad Moustafa</v>
          </cell>
          <cell r="C496" t="str">
            <v>L4_Vacant_Upper Egypt 2</v>
          </cell>
          <cell r="D496" t="str">
            <v>Mohamed AbdelSabor Madany</v>
          </cell>
          <cell r="E496" t="str">
            <v>Abdallah Gamal Elsayed</v>
          </cell>
          <cell r="F496" t="str">
            <v>P&amp;G Line</v>
          </cell>
          <cell r="G496" t="str">
            <v>Rep1115</v>
          </cell>
          <cell r="H496" t="str">
            <v>MR</v>
          </cell>
          <cell r="I496" t="str">
            <v>Upper Egypt</v>
          </cell>
          <cell r="J496">
            <v>1095167489</v>
          </cell>
          <cell r="K496">
            <v>45941</v>
          </cell>
        </row>
        <row r="496">
          <cell r="M496">
            <v>1770</v>
          </cell>
          <cell r="N496" t="str">
            <v>Sohag City</v>
          </cell>
        </row>
        <row r="497">
          <cell r="A497">
            <v>1409</v>
          </cell>
          <cell r="B497" t="str">
            <v>Esraa Mohamed AbdelWahab</v>
          </cell>
          <cell r="C497" t="str">
            <v>L4_Vacant_Upper Egypt 2</v>
          </cell>
          <cell r="D497" t="str">
            <v>Mohamed AbdelSabor Madany</v>
          </cell>
          <cell r="E497" t="str">
            <v>Abdallah Gamal Elsayed</v>
          </cell>
          <cell r="F497" t="str">
            <v>P&amp;G Line</v>
          </cell>
          <cell r="G497" t="str">
            <v>Rep10014</v>
          </cell>
          <cell r="H497" t="str">
            <v>MR</v>
          </cell>
          <cell r="I497" t="str">
            <v>Upper Egypt</v>
          </cell>
          <cell r="J497">
            <v>1011260873</v>
          </cell>
          <cell r="K497">
            <v>45493</v>
          </cell>
        </row>
        <row r="497">
          <cell r="M497">
            <v>1409</v>
          </cell>
          <cell r="N497" t="str">
            <v>Luxor City</v>
          </cell>
        </row>
        <row r="498">
          <cell r="A498">
            <v>1414</v>
          </cell>
          <cell r="B498" t="str">
            <v>Felopateer Yousef Melad</v>
          </cell>
          <cell r="C498" t="str">
            <v>L4_Vacant_Upper Egypt 2</v>
          </cell>
          <cell r="D498" t="str">
            <v>Mohamed AbdelSabor Madany</v>
          </cell>
          <cell r="E498" t="str">
            <v>Abdallah Gamal Elsayed</v>
          </cell>
          <cell r="F498" t="str">
            <v>P&amp;G Line</v>
          </cell>
          <cell r="G498" t="str">
            <v>Rep100016</v>
          </cell>
          <cell r="H498" t="str">
            <v>MR</v>
          </cell>
          <cell r="I498" t="str">
            <v>Upper Egypt</v>
          </cell>
          <cell r="J498">
            <v>1282084773</v>
          </cell>
          <cell r="K498">
            <v>45505</v>
          </cell>
        </row>
        <row r="498">
          <cell r="M498">
            <v>1414</v>
          </cell>
          <cell r="N498" t="str">
            <v>Aswan City</v>
          </cell>
        </row>
        <row r="499">
          <cell r="A499">
            <v>1500</v>
          </cell>
          <cell r="B499" t="str">
            <v>Mena Morkos Alfy</v>
          </cell>
          <cell r="C499" t="str">
            <v>L4_Vacant_Upper Egypt 2</v>
          </cell>
          <cell r="D499" t="str">
            <v>Mohamed AbdelSabor Madany</v>
          </cell>
          <cell r="E499" t="str">
            <v>Abdallah Gamal Elsayed</v>
          </cell>
          <cell r="F499" t="str">
            <v>P&amp;G Line</v>
          </cell>
          <cell r="G499" t="str">
            <v>Rep100100</v>
          </cell>
          <cell r="H499" t="str">
            <v>MR</v>
          </cell>
          <cell r="I499" t="str">
            <v>Upper Egypt</v>
          </cell>
          <cell r="J499">
            <v>1552992067</v>
          </cell>
          <cell r="K499">
            <v>45675</v>
          </cell>
        </row>
        <row r="499">
          <cell r="M499">
            <v>1500</v>
          </cell>
          <cell r="N499" t="str">
            <v>Gerga</v>
          </cell>
        </row>
        <row r="500">
          <cell r="A500">
            <v>1333</v>
          </cell>
          <cell r="B500" t="str">
            <v>Poula Makeen Zaki Kadies</v>
          </cell>
          <cell r="C500" t="str">
            <v>L4_Vacant_Upper Egypt 2</v>
          </cell>
          <cell r="D500" t="str">
            <v>Mohamed AbdelSabor Madany</v>
          </cell>
          <cell r="E500" t="str">
            <v>Abdallah Gamal Elsayed</v>
          </cell>
          <cell r="F500" t="str">
            <v>P&amp;G Line</v>
          </cell>
          <cell r="G500" t="str">
            <v>Rep0001</v>
          </cell>
          <cell r="H500" t="str">
            <v>MR</v>
          </cell>
          <cell r="I500" t="str">
            <v>Upper Egypt</v>
          </cell>
          <cell r="J500">
            <v>1281967548</v>
          </cell>
          <cell r="K500">
            <v>45318</v>
          </cell>
        </row>
        <row r="500">
          <cell r="M500">
            <v>1333</v>
          </cell>
          <cell r="N500" t="str">
            <v>Nagaa Hamady</v>
          </cell>
        </row>
        <row r="501">
          <cell r="A501">
            <v>120</v>
          </cell>
          <cell r="B501" t="str">
            <v>Mohamed Sayed Elgendy</v>
          </cell>
        </row>
        <row r="501">
          <cell r="E501" t="str">
            <v>BU7</v>
          </cell>
          <cell r="F501" t="str">
            <v>Mega Account Line</v>
          </cell>
          <cell r="G501" t="str">
            <v>DM_40</v>
          </cell>
          <cell r="H501" t="str">
            <v>Market Access Manager</v>
          </cell>
        </row>
        <row r="501">
          <cell r="J501">
            <v>0</v>
          </cell>
          <cell r="K501">
            <v>42345</v>
          </cell>
          <cell r="L501" t="str">
            <v>mohamed.elgendy@averroes-eg.com</v>
          </cell>
          <cell r="M501">
            <v>120</v>
          </cell>
          <cell r="N501" t="str">
            <v>Badr City</v>
          </cell>
        </row>
        <row r="502">
          <cell r="A502">
            <v>1273</v>
          </cell>
          <cell r="B502" t="str">
            <v>Ahmed Talaat Hussein</v>
          </cell>
          <cell r="C502" t="str">
            <v>L10_Vacant_DM</v>
          </cell>
          <cell r="D502" t="str">
            <v>Mohamed Sayed Elgendy</v>
          </cell>
          <cell r="E502" t="str">
            <v>BU7</v>
          </cell>
          <cell r="F502" t="str">
            <v>Mega Account Line</v>
          </cell>
          <cell r="G502" t="str">
            <v>Rep10011</v>
          </cell>
          <cell r="H502" t="str">
            <v>Key Account Specialist </v>
          </cell>
        </row>
        <row r="502">
          <cell r="J502">
            <v>1553333935</v>
          </cell>
          <cell r="K502">
            <v>45187</v>
          </cell>
        </row>
        <row r="502">
          <cell r="M502">
            <v>1273</v>
          </cell>
        </row>
        <row r="503">
          <cell r="A503">
            <v>334</v>
          </cell>
          <cell r="B503" t="str">
            <v>Kareema Nasser Yousef</v>
          </cell>
          <cell r="C503" t="str">
            <v>L10_Vacant_DM</v>
          </cell>
          <cell r="D503" t="str">
            <v>Mohamed Sayed Elgendy</v>
          </cell>
          <cell r="E503" t="str">
            <v>BU7</v>
          </cell>
          <cell r="F503" t="str">
            <v>Mega Account Line</v>
          </cell>
          <cell r="G503" t="str">
            <v>Rep247</v>
          </cell>
          <cell r="H503" t="str">
            <v>Key Account Specialist </v>
          </cell>
        </row>
        <row r="503">
          <cell r="J503" t="str">
            <v> 1030814333</v>
          </cell>
          <cell r="K503">
            <v>43326</v>
          </cell>
        </row>
        <row r="503">
          <cell r="M503">
            <v>334</v>
          </cell>
          <cell r="N503" t="str">
            <v>El Qabary</v>
          </cell>
        </row>
        <row r="504">
          <cell r="A504">
            <v>1710</v>
          </cell>
          <cell r="B504" t="str">
            <v>Nada Ayman Abdeen</v>
          </cell>
          <cell r="C504" t="str">
            <v>L10_Vacant_DM</v>
          </cell>
          <cell r="D504" t="str">
            <v>Mohamed Sayed Elgendy</v>
          </cell>
          <cell r="E504" t="str">
            <v>BU7</v>
          </cell>
          <cell r="F504" t="str">
            <v>Mega Account Line</v>
          </cell>
          <cell r="G504" t="str">
            <v>Rep_00060</v>
          </cell>
          <cell r="H504" t="str">
            <v>Key Account Specialist </v>
          </cell>
        </row>
        <row r="504">
          <cell r="J504">
            <v>1116696270</v>
          </cell>
          <cell r="K504">
            <v>45852</v>
          </cell>
        </row>
        <row r="504">
          <cell r="M504">
            <v>1710</v>
          </cell>
          <cell r="N504" t="str">
            <v>El Sheikh Zayed</v>
          </cell>
        </row>
        <row r="505">
          <cell r="A505">
            <v>1817</v>
          </cell>
          <cell r="B505" t="str">
            <v>Nour Alaa Mohamed</v>
          </cell>
          <cell r="C505" t="str">
            <v>L10_Vacant_DM</v>
          </cell>
          <cell r="D505" t="str">
            <v>Mohamed Sayed Elgendy</v>
          </cell>
          <cell r="E505" t="str">
            <v>BU7</v>
          </cell>
          <cell r="F505" t="str">
            <v>Mega Account Line</v>
          </cell>
          <cell r="G505" t="str">
            <v>Rep_00134</v>
          </cell>
          <cell r="H505" t="str">
            <v>Key Account Specialist </v>
          </cell>
        </row>
        <row r="505">
          <cell r="J505">
            <v>1121462985</v>
          </cell>
          <cell r="K505">
            <v>45992</v>
          </cell>
        </row>
        <row r="505">
          <cell r="M505">
            <v>1817</v>
          </cell>
          <cell r="N505" t="str">
            <v>El marg</v>
          </cell>
        </row>
        <row r="506">
          <cell r="A506">
            <v>1556</v>
          </cell>
          <cell r="B506" t="str">
            <v>Sara Samir Shouhdy Nagib</v>
          </cell>
          <cell r="C506" t="str">
            <v>L10_Vacant_DM</v>
          </cell>
          <cell r="D506" t="str">
            <v>Mohamed Sayed Elgendy</v>
          </cell>
          <cell r="E506" t="str">
            <v>BU7</v>
          </cell>
          <cell r="F506" t="str">
            <v>Mega Account Line</v>
          </cell>
          <cell r="G506" t="str">
            <v>AVR_52</v>
          </cell>
          <cell r="H506" t="str">
            <v>Key Account Specialist </v>
          </cell>
        </row>
        <row r="506">
          <cell r="J506">
            <v>1221908617</v>
          </cell>
          <cell r="K506">
            <v>45675</v>
          </cell>
        </row>
        <row r="506">
          <cell r="M506">
            <v>1556</v>
          </cell>
          <cell r="N506" t="str">
            <v>Hadaek El Kobbah</v>
          </cell>
        </row>
        <row r="507">
          <cell r="A507">
            <v>1772</v>
          </cell>
          <cell r="B507" t="str">
            <v>Mohamed Essam Ahmed Ali  Behery</v>
          </cell>
          <cell r="C507" t="str">
            <v>L12_Vacant_DM 1</v>
          </cell>
          <cell r="D507" t="str">
            <v>L12_Vacant_AM</v>
          </cell>
          <cell r="E507" t="str">
            <v>Islam Mohamed Elsayed</v>
          </cell>
          <cell r="F507" t="str">
            <v>Distribution Line</v>
          </cell>
          <cell r="G507" t="str">
            <v>Rep_00112</v>
          </cell>
          <cell r="H507" t="str">
            <v>Sales Rep</v>
          </cell>
        </row>
        <row r="507">
          <cell r="J507">
            <v>1505491311</v>
          </cell>
          <cell r="K507">
            <v>45944</v>
          </cell>
        </row>
        <row r="507">
          <cell r="M507">
            <v>1772</v>
          </cell>
        </row>
        <row r="508">
          <cell r="A508">
            <v>1192</v>
          </cell>
          <cell r="B508" t="str">
            <v>Magdy Mahfouz Gendi</v>
          </cell>
          <cell r="C508" t="str">
            <v>L12_Vacant_DM 1</v>
          </cell>
          <cell r="D508" t="str">
            <v>L12_Vacant_AM</v>
          </cell>
          <cell r="E508" t="str">
            <v>Islam Mohamed Elsayed</v>
          </cell>
          <cell r="F508" t="str">
            <v>Distribution Line</v>
          </cell>
        </row>
        <row r="508">
          <cell r="H508" t="str">
            <v>Sales Rep</v>
          </cell>
        </row>
        <row r="508">
          <cell r="J508" t="str">
            <v> 01224741224</v>
          </cell>
          <cell r="K508">
            <v>44966</v>
          </cell>
        </row>
        <row r="508">
          <cell r="M508">
            <v>1192</v>
          </cell>
        </row>
        <row r="509">
          <cell r="A509">
            <v>1831</v>
          </cell>
          <cell r="B509" t="str">
            <v>Bilal Nabil Ghoneim</v>
          </cell>
          <cell r="C509" t="str">
            <v>L12_Vacant_DM 2</v>
          </cell>
          <cell r="D509" t="str">
            <v>L12_Vacant_AM</v>
          </cell>
          <cell r="E509" t="str">
            <v>Islam Mohamed Elsayed</v>
          </cell>
          <cell r="F509" t="str">
            <v>Distribution Line</v>
          </cell>
          <cell r="G509" t="str">
            <v>Rep1029</v>
          </cell>
          <cell r="H509" t="str">
            <v>Sales Rep</v>
          </cell>
        </row>
        <row r="509">
          <cell r="J509">
            <v>1094331617</v>
          </cell>
          <cell r="K509">
            <v>46026</v>
          </cell>
        </row>
        <row r="509">
          <cell r="M509">
            <v>1831</v>
          </cell>
          <cell r="N509" t="str">
            <v>Domiat</v>
          </cell>
        </row>
        <row r="510">
          <cell r="A510">
            <v>1774</v>
          </cell>
          <cell r="B510" t="str">
            <v>Mohamed Abdelmageid Abdallah Abokota</v>
          </cell>
          <cell r="C510" t="str">
            <v>L12_Vacant_DM 2</v>
          </cell>
          <cell r="D510" t="str">
            <v>L12_Vacant_AM</v>
          </cell>
          <cell r="E510" t="str">
            <v>Islam Mohamed Elsayed</v>
          </cell>
          <cell r="F510" t="str">
            <v>Distribution Line</v>
          </cell>
          <cell r="G510" t="str">
            <v>Rep_00108</v>
          </cell>
          <cell r="H510" t="str">
            <v>Sales Rep</v>
          </cell>
        </row>
        <row r="510">
          <cell r="J510">
            <v>1283454778</v>
          </cell>
          <cell r="K510">
            <v>45944</v>
          </cell>
        </row>
        <row r="510">
          <cell r="M510">
            <v>1774</v>
          </cell>
        </row>
        <row r="511">
          <cell r="A511">
            <v>1773</v>
          </cell>
          <cell r="B511" t="str">
            <v>Mahmoud Fathy Hussin moustafa</v>
          </cell>
        </row>
        <row r="511">
          <cell r="D511" t="str">
            <v>L12_Vacant_AM</v>
          </cell>
          <cell r="E511" t="str">
            <v>Islam Mohamed Elsayed</v>
          </cell>
          <cell r="F511" t="str">
            <v>Distribution Line</v>
          </cell>
          <cell r="G511" t="str">
            <v>DM_1028</v>
          </cell>
          <cell r="H511" t="str">
            <v>Sales SV</v>
          </cell>
        </row>
        <row r="511">
          <cell r="J511">
            <v>1069606665</v>
          </cell>
          <cell r="K511">
            <v>45943</v>
          </cell>
        </row>
        <row r="511">
          <cell r="M511">
            <v>1773</v>
          </cell>
        </row>
        <row r="512">
          <cell r="A512">
            <v>1830</v>
          </cell>
          <cell r="B512" t="str">
            <v>Ahmed Mehany Mahmoud</v>
          </cell>
          <cell r="C512" t="str">
            <v>Mahmoud Fathy Hussin moustafa</v>
          </cell>
          <cell r="D512" t="str">
            <v>L12_Vacant_AM</v>
          </cell>
          <cell r="E512" t="str">
            <v>Islam Mohamed Elsayed</v>
          </cell>
          <cell r="F512" t="str">
            <v>Distribution Line</v>
          </cell>
          <cell r="G512" t="str">
            <v>Rep1031</v>
          </cell>
          <cell r="H512" t="str">
            <v>Sales Rep</v>
          </cell>
        </row>
        <row r="512">
          <cell r="J512">
            <v>1119888700</v>
          </cell>
          <cell r="K512">
            <v>46025</v>
          </cell>
        </row>
        <row r="512">
          <cell r="M512">
            <v>1830</v>
          </cell>
          <cell r="N512" t="str">
            <v>Malawy</v>
          </cell>
        </row>
        <row r="513">
          <cell r="A513">
            <v>1788</v>
          </cell>
          <cell r="B513" t="str">
            <v>Mohamed Kadry AbdulAziz Mohamed</v>
          </cell>
          <cell r="C513" t="str">
            <v>Mahmoud Fathy Hussin moustafa</v>
          </cell>
          <cell r="D513" t="str">
            <v>L12_Vacant_AM</v>
          </cell>
          <cell r="E513" t="str">
            <v>Islam Mohamed Elsayed</v>
          </cell>
          <cell r="F513" t="str">
            <v>Distribution Line</v>
          </cell>
          <cell r="G513" t="str">
            <v>Rep_00119</v>
          </cell>
          <cell r="H513" t="str">
            <v>Sales Rep</v>
          </cell>
        </row>
        <row r="513">
          <cell r="J513">
            <v>1066576566</v>
          </cell>
          <cell r="K513">
            <v>45963</v>
          </cell>
        </row>
        <row r="513">
          <cell r="M513">
            <v>1788</v>
          </cell>
        </row>
        <row r="514">
          <cell r="A514">
            <v>1789</v>
          </cell>
          <cell r="B514" t="str">
            <v>Mohamed Mahmoud Ahmed Mohamed</v>
          </cell>
          <cell r="C514" t="str">
            <v>Mahmoud Fathy Hussin moustafa</v>
          </cell>
          <cell r="D514" t="str">
            <v>L12_Vacant_AM</v>
          </cell>
          <cell r="E514" t="str">
            <v>Islam Mohamed Elsayed</v>
          </cell>
          <cell r="F514" t="str">
            <v>Distribution Line</v>
          </cell>
          <cell r="G514" t="str">
            <v>Rep_00114</v>
          </cell>
          <cell r="H514" t="str">
            <v>Sales Rep</v>
          </cell>
        </row>
        <row r="514">
          <cell r="J514">
            <v>1018648886</v>
          </cell>
          <cell r="K514">
            <v>45963</v>
          </cell>
        </row>
        <row r="514">
          <cell r="M514">
            <v>1789</v>
          </cell>
        </row>
        <row r="515">
          <cell r="A515">
            <v>1715</v>
          </cell>
          <cell r="B515" t="str">
            <v>Sameh Salah Shehata</v>
          </cell>
          <cell r="C515" t="str">
            <v>Mahmoud Fathy Hussin moustafa</v>
          </cell>
          <cell r="D515" t="str">
            <v>L12_Vacant_AM</v>
          </cell>
          <cell r="E515" t="str">
            <v>Islam Mohamed Elsayed</v>
          </cell>
          <cell r="F515" t="str">
            <v>Distribution Line</v>
          </cell>
          <cell r="G515" t="str">
            <v>Rep00071</v>
          </cell>
          <cell r="H515" t="str">
            <v>Sales Rep</v>
          </cell>
        </row>
        <row r="515">
          <cell r="J515">
            <v>1212146490</v>
          </cell>
          <cell r="K515">
            <v>45832</v>
          </cell>
        </row>
        <row r="515">
          <cell r="M515">
            <v>1715</v>
          </cell>
        </row>
        <row r="516">
          <cell r="A516">
            <v>1786</v>
          </cell>
          <cell r="B516" t="str">
            <v>Mahmoud Ramadan Abdallah</v>
          </cell>
        </row>
        <row r="516">
          <cell r="D516" t="str">
            <v>L12_Vacant_AM</v>
          </cell>
          <cell r="E516" t="str">
            <v>Islam Mohamed Elsayed</v>
          </cell>
          <cell r="F516" t="str">
            <v>Distribution Line</v>
          </cell>
          <cell r="G516" t="str">
            <v>DM_1027</v>
          </cell>
          <cell r="H516" t="str">
            <v>Sales SV</v>
          </cell>
        </row>
        <row r="516">
          <cell r="J516">
            <v>1033776652</v>
          </cell>
          <cell r="K516">
            <v>45963</v>
          </cell>
        </row>
        <row r="516">
          <cell r="M516">
            <v>1786</v>
          </cell>
        </row>
        <row r="517">
          <cell r="A517">
            <v>1717</v>
          </cell>
          <cell r="B517" t="str">
            <v>Atef Ahmed Mohamed</v>
          </cell>
          <cell r="C517" t="str">
            <v>Mahmoud Ramadan Abdallah</v>
          </cell>
          <cell r="D517" t="str">
            <v>L12_Vacant_AM</v>
          </cell>
          <cell r="E517" t="str">
            <v>Islam Mohamed Elsayed</v>
          </cell>
          <cell r="F517" t="str">
            <v>Distribution Line</v>
          </cell>
          <cell r="G517" t="str">
            <v>Rep00069</v>
          </cell>
          <cell r="H517" t="str">
            <v>Sales Rep</v>
          </cell>
        </row>
        <row r="517">
          <cell r="J517">
            <v>1097697093</v>
          </cell>
          <cell r="K517">
            <v>45832</v>
          </cell>
        </row>
        <row r="517">
          <cell r="M517">
            <v>1717</v>
          </cell>
        </row>
        <row r="518">
          <cell r="A518">
            <v>1799</v>
          </cell>
          <cell r="B518" t="str">
            <v>mekhaiel moheb nageeab</v>
          </cell>
          <cell r="C518" t="str">
            <v>Mahmoud Ramadan Abdallah</v>
          </cell>
          <cell r="D518" t="str">
            <v>L12_Vacant_AM</v>
          </cell>
          <cell r="E518" t="str">
            <v>Islam Mohamed Elsayed</v>
          </cell>
          <cell r="F518" t="str">
            <v>Distribution Line</v>
          </cell>
          <cell r="G518" t="str">
            <v>Rep_00106</v>
          </cell>
          <cell r="H518" t="str">
            <v>Sales Rep</v>
          </cell>
        </row>
        <row r="518">
          <cell r="J518">
            <v>1017898020</v>
          </cell>
          <cell r="K518">
            <v>45963</v>
          </cell>
        </row>
        <row r="518">
          <cell r="M518">
            <v>1799</v>
          </cell>
        </row>
        <row r="519">
          <cell r="A519">
            <v>1803</v>
          </cell>
          <cell r="B519" t="str">
            <v>Mohamed Abbas Helmy</v>
          </cell>
          <cell r="C519" t="str">
            <v>Mahmoud Ramadan Abdallah</v>
          </cell>
          <cell r="D519" t="str">
            <v>L12_Vacant_AM</v>
          </cell>
          <cell r="E519" t="str">
            <v>Islam Mohamed Elsayed</v>
          </cell>
          <cell r="F519" t="str">
            <v>Distribution Line</v>
          </cell>
          <cell r="G519" t="str">
            <v>Rep_00117</v>
          </cell>
          <cell r="H519" t="str">
            <v>Sales Rep</v>
          </cell>
        </row>
        <row r="519">
          <cell r="J519">
            <v>1029951581</v>
          </cell>
          <cell r="K519">
            <v>45983</v>
          </cell>
        </row>
        <row r="519">
          <cell r="M519">
            <v>1803</v>
          </cell>
        </row>
        <row r="520">
          <cell r="A520">
            <v>1787</v>
          </cell>
          <cell r="B520" t="str">
            <v>Mohmmed Abdelnaby Khaled Abdellatief</v>
          </cell>
          <cell r="C520" t="str">
            <v>Mahmoud Ramadan Abdallah</v>
          </cell>
          <cell r="D520" t="str">
            <v>L12_Vacant_AM</v>
          </cell>
          <cell r="E520" t="str">
            <v>Islam Mohamed Elsayed</v>
          </cell>
          <cell r="F520" t="str">
            <v>Distribution Line</v>
          </cell>
          <cell r="G520" t="str">
            <v>Rep_00121</v>
          </cell>
          <cell r="H520" t="str">
            <v>Sales Rep</v>
          </cell>
        </row>
        <row r="520">
          <cell r="J520">
            <v>1281489455</v>
          </cell>
          <cell r="K520">
            <v>45963</v>
          </cell>
        </row>
        <row r="520">
          <cell r="M520">
            <v>1787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>
        <row r="1">
          <cell r="D1" t="str">
            <v>Employee Name</v>
          </cell>
          <cell r="E1" t="str">
            <v>District Manager</v>
          </cell>
          <cell r="F1" t="str">
            <v>Area Manager</v>
          </cell>
          <cell r="G1" t="str">
            <v>BUM</v>
          </cell>
          <cell r="H1" t="str">
            <v>Line</v>
          </cell>
          <cell r="I1" t="str">
            <v>S-Max User</v>
          </cell>
          <cell r="J1" t="str">
            <v>Title</v>
          </cell>
          <cell r="K1" t="str">
            <v>Region Name</v>
          </cell>
          <cell r="L1" t="str">
            <v>Mobile</v>
          </cell>
          <cell r="M1" t="str">
            <v>Hiring Date</v>
          </cell>
          <cell r="N1" t="str">
            <v>Mail</v>
          </cell>
          <cell r="O1" t="str">
            <v>CRM ID</v>
          </cell>
          <cell r="P1" t="str">
            <v>Address as 702 bricks</v>
          </cell>
        </row>
        <row r="2">
          <cell r="D2" t="str">
            <v>Abd Elhameed Elshiekh</v>
          </cell>
          <cell r="E2" t="str">
            <v/>
          </cell>
          <cell r="F2" t="str">
            <v/>
          </cell>
        </row>
        <row r="2">
          <cell r="H2" t="str">
            <v>Unit 1</v>
          </cell>
        </row>
        <row r="2">
          <cell r="J2" t="str">
            <v>BUM</v>
          </cell>
          <cell r="K2" t="str">
            <v>Country</v>
          </cell>
        </row>
        <row r="2">
          <cell r="N2" t="str">
            <v>abdelhameed.elshiekh@averroes-eg.com</v>
          </cell>
          <cell r="O2">
            <v>59</v>
          </cell>
          <cell r="P2" t="str">
            <v>BU_1</v>
          </cell>
        </row>
        <row r="3">
          <cell r="D3" t="str">
            <v>Ibrahim Ammar</v>
          </cell>
          <cell r="E3" t="str">
            <v/>
          </cell>
          <cell r="F3" t="str">
            <v/>
          </cell>
        </row>
        <row r="3">
          <cell r="H3" t="str">
            <v>Unit 2</v>
          </cell>
        </row>
        <row r="3">
          <cell r="J3" t="str">
            <v>BUM</v>
          </cell>
          <cell r="K3" t="str">
            <v>Country</v>
          </cell>
        </row>
        <row r="3">
          <cell r="N3" t="str">
            <v>ibrahim.ammar@averroes-eg.com</v>
          </cell>
          <cell r="O3">
            <v>60</v>
          </cell>
          <cell r="P3" t="str">
            <v>BU_2</v>
          </cell>
        </row>
        <row r="4">
          <cell r="D4" t="str">
            <v>Abo El Abbas Samir</v>
          </cell>
          <cell r="E4" t="str">
            <v/>
          </cell>
          <cell r="F4" t="str">
            <v/>
          </cell>
        </row>
        <row r="4">
          <cell r="H4" t="str">
            <v>Unit 3</v>
          </cell>
        </row>
        <row r="4">
          <cell r="J4" t="str">
            <v>BUM</v>
          </cell>
          <cell r="K4" t="str">
            <v>Country</v>
          </cell>
        </row>
        <row r="4">
          <cell r="N4" t="str">
            <v>aboelabbas.samir@averroes-eg.com</v>
          </cell>
          <cell r="O4">
            <v>61</v>
          </cell>
          <cell r="P4" t="str">
            <v>BU_3</v>
          </cell>
        </row>
        <row r="5">
          <cell r="D5" t="str">
            <v>Abdallah Gamal Elsayed</v>
          </cell>
        </row>
        <row r="5">
          <cell r="H5" t="str">
            <v>Unit 4</v>
          </cell>
        </row>
        <row r="5">
          <cell r="J5" t="str">
            <v>LM</v>
          </cell>
          <cell r="K5" t="str">
            <v>Country</v>
          </cell>
          <cell r="L5">
            <v>1028045242</v>
          </cell>
          <cell r="M5">
            <v>39376</v>
          </cell>
          <cell r="N5" t="str">
            <v>abdallah.gamal@averroes-eg.com</v>
          </cell>
          <cell r="O5">
            <v>160</v>
          </cell>
          <cell r="P5" t="str">
            <v>Menof</v>
          </cell>
        </row>
        <row r="6">
          <cell r="D6" t="str">
            <v>Ahmed Hamdy Ahmed</v>
          </cell>
        </row>
        <row r="6">
          <cell r="G6" t="str">
            <v>Abd Elhameed Elshiekh</v>
          </cell>
          <cell r="H6" t="str">
            <v>Averozolid Line</v>
          </cell>
          <cell r="I6" t="str">
            <v>ZM_2</v>
          </cell>
          <cell r="J6" t="str">
            <v>AM</v>
          </cell>
          <cell r="K6" t="str">
            <v>Alex</v>
          </cell>
          <cell r="L6">
            <v>1097195559</v>
          </cell>
          <cell r="M6">
            <v>44378</v>
          </cell>
          <cell r="N6" t="str">
            <v>Ahmed.Hamdy.Ahmed@averroes-eg.com</v>
          </cell>
          <cell r="O6">
            <v>799</v>
          </cell>
          <cell r="P6" t="str">
            <v>Sidi Beshr Kebly</v>
          </cell>
        </row>
        <row r="7">
          <cell r="D7" t="str">
            <v>Asmaa Ahmed Mohamed</v>
          </cell>
        </row>
        <row r="7">
          <cell r="F7" t="str">
            <v>Ahmed Hamdy Ahmed</v>
          </cell>
          <cell r="G7" t="str">
            <v>Abd Elhameed Elshiekh</v>
          </cell>
          <cell r="H7" t="str">
            <v>Averozolid Line</v>
          </cell>
          <cell r="I7" t="str">
            <v>DM_103</v>
          </cell>
          <cell r="J7" t="str">
            <v>DM</v>
          </cell>
          <cell r="K7" t="str">
            <v>Alex</v>
          </cell>
          <cell r="L7">
            <v>1013426462</v>
          </cell>
          <cell r="M7">
            <v>44927</v>
          </cell>
          <cell r="N7" t="str">
            <v>Asmaa.Ahmed.Mohamed@averroes-eg.com</v>
          </cell>
          <cell r="O7">
            <v>1063</v>
          </cell>
          <cell r="P7" t="str">
            <v>El Agamy</v>
          </cell>
        </row>
        <row r="8">
          <cell r="D8" t="str">
            <v>Ammar Mahmoud Shehata</v>
          </cell>
          <cell r="E8" t="str">
            <v>Asmaa Ahmed Mohamed</v>
          </cell>
          <cell r="F8" t="str">
            <v>Ahmed Hamdy Ahmed</v>
          </cell>
          <cell r="G8" t="str">
            <v>Abd Elhameed Elshiekh</v>
          </cell>
          <cell r="H8" t="str">
            <v>Averozolid Line</v>
          </cell>
          <cell r="I8" t="str">
            <v>Rep1095</v>
          </cell>
          <cell r="J8" t="str">
            <v>MR</v>
          </cell>
          <cell r="K8" t="str">
            <v>Alex</v>
          </cell>
          <cell r="L8">
            <v>1024665225</v>
          </cell>
          <cell r="M8">
            <v>45871</v>
          </cell>
        </row>
        <row r="8">
          <cell r="O8">
            <v>1723</v>
          </cell>
          <cell r="P8" t="str">
            <v>Abo Homos</v>
          </cell>
        </row>
        <row r="9">
          <cell r="D9" t="str">
            <v>Donia Gamal Ahmed</v>
          </cell>
          <cell r="E9" t="str">
            <v>Asmaa Ahmed Mohamed</v>
          </cell>
          <cell r="F9" t="str">
            <v>Ahmed Hamdy Ahmed</v>
          </cell>
          <cell r="G9" t="str">
            <v>Abd Elhameed Elshiekh</v>
          </cell>
          <cell r="H9" t="str">
            <v>Averozolid Line</v>
          </cell>
          <cell r="I9" t="str">
            <v>Rep614</v>
          </cell>
          <cell r="J9" t="str">
            <v>MR</v>
          </cell>
          <cell r="K9" t="str">
            <v>Alex</v>
          </cell>
          <cell r="L9">
            <v>1065290292</v>
          </cell>
          <cell r="M9">
            <v>44927</v>
          </cell>
        </row>
        <row r="9">
          <cell r="O9">
            <v>1064</v>
          </cell>
          <cell r="P9" t="str">
            <v>El Asafra Kebly</v>
          </cell>
        </row>
        <row r="10">
          <cell r="D10" t="str">
            <v>Hossam Elden Weal Ramadan</v>
          </cell>
          <cell r="E10" t="str">
            <v>Asmaa Ahmed Mohamed</v>
          </cell>
          <cell r="F10" t="str">
            <v>Ahmed Hamdy Ahmed</v>
          </cell>
          <cell r="G10" t="str">
            <v>Abd Elhameed Elshiekh</v>
          </cell>
          <cell r="H10" t="str">
            <v>Averozolid Line</v>
          </cell>
          <cell r="I10" t="str">
            <v>Rep_00130</v>
          </cell>
          <cell r="J10" t="str">
            <v>MR</v>
          </cell>
          <cell r="K10" t="str">
            <v>Alex</v>
          </cell>
          <cell r="L10">
            <v>1021405443</v>
          </cell>
          <cell r="M10">
            <v>45998</v>
          </cell>
        </row>
        <row r="10">
          <cell r="O10">
            <v>1814</v>
          </cell>
          <cell r="P10" t="str">
            <v>Abou El Matameer</v>
          </cell>
        </row>
        <row r="11">
          <cell r="D11" t="str">
            <v>Mayada ElSayed Ahmed</v>
          </cell>
          <cell r="E11" t="str">
            <v>Asmaa Ahmed Mohamed</v>
          </cell>
          <cell r="F11" t="str">
            <v>Ahmed Hamdy Ahmed</v>
          </cell>
          <cell r="G11" t="str">
            <v>Abd Elhameed Elshiekh</v>
          </cell>
          <cell r="H11" t="str">
            <v>Averozolid Line</v>
          </cell>
          <cell r="I11" t="str">
            <v>AVR_92</v>
          </cell>
          <cell r="J11" t="str">
            <v>MR</v>
          </cell>
          <cell r="K11" t="str">
            <v>Alex</v>
          </cell>
          <cell r="L11">
            <v>1204775122</v>
          </cell>
          <cell r="M11">
            <v>45718</v>
          </cell>
        </row>
        <row r="11">
          <cell r="O11">
            <v>1570</v>
          </cell>
          <cell r="P11" t="str">
            <v>Sidi Beshr</v>
          </cell>
        </row>
        <row r="12">
          <cell r="D12" t="str">
            <v>Nadin Adel Oun</v>
          </cell>
          <cell r="E12" t="str">
            <v>Asmaa Ahmed Mohamed</v>
          </cell>
          <cell r="F12" t="str">
            <v>Ahmed Hamdy Ahmed</v>
          </cell>
          <cell r="G12" t="str">
            <v>Abd Elhameed Elshiekh</v>
          </cell>
          <cell r="H12" t="str">
            <v>Averozolid Line</v>
          </cell>
          <cell r="I12" t="str">
            <v>DM1021</v>
          </cell>
          <cell r="J12" t="str">
            <v>MR</v>
          </cell>
          <cell r="K12" t="str">
            <v>Alex</v>
          </cell>
          <cell r="L12">
            <v>1200640829</v>
          </cell>
          <cell r="M12">
            <v>45822</v>
          </cell>
        </row>
        <row r="12">
          <cell r="O12">
            <v>1692</v>
          </cell>
          <cell r="P12" t="str">
            <v>El Mahmoudia</v>
          </cell>
        </row>
        <row r="13">
          <cell r="D13" t="str">
            <v>Toka Ahmed Hassan</v>
          </cell>
          <cell r="E13" t="str">
            <v>Asmaa Ahmed Mohamed</v>
          </cell>
          <cell r="F13" t="str">
            <v>Ahmed Hamdy Ahmed</v>
          </cell>
          <cell r="G13" t="str">
            <v>Abd Elhameed Elshiekh</v>
          </cell>
          <cell r="H13" t="str">
            <v>Averozolid Line</v>
          </cell>
          <cell r="I13" t="str">
            <v>Rep52</v>
          </cell>
          <cell r="J13" t="str">
            <v>MR</v>
          </cell>
          <cell r="K13" t="str">
            <v>Alex</v>
          </cell>
          <cell r="L13">
            <v>1143315381</v>
          </cell>
          <cell r="M13">
            <v>43757</v>
          </cell>
        </row>
        <row r="13">
          <cell r="O13">
            <v>484</v>
          </cell>
          <cell r="P13" t="str">
            <v>Gleem - Stanly</v>
          </cell>
        </row>
        <row r="14">
          <cell r="D14" t="str">
            <v>Mai Ahmed Behiry</v>
          </cell>
        </row>
        <row r="14">
          <cell r="F14" t="str">
            <v>Ahmed Hamdy Ahmed</v>
          </cell>
          <cell r="G14" t="str">
            <v>Abd Elhameed Elshiekh</v>
          </cell>
          <cell r="H14" t="str">
            <v>Averozolid Line</v>
          </cell>
          <cell r="I14" t="str">
            <v>Rep62</v>
          </cell>
          <cell r="J14" t="str">
            <v>DM</v>
          </cell>
          <cell r="K14" t="str">
            <v>Alex</v>
          </cell>
          <cell r="L14">
            <v>1065292874</v>
          </cell>
          <cell r="M14">
            <v>44348</v>
          </cell>
          <cell r="N14" t="str">
            <v>Mai.Ahmed.Behiry@averroes-eg.com</v>
          </cell>
          <cell r="O14">
            <v>782</v>
          </cell>
          <cell r="P14" t="str">
            <v>Damanhour</v>
          </cell>
        </row>
        <row r="15">
          <cell r="D15" t="str">
            <v>Ibrahim Shawky Ibrahim Ghazal</v>
          </cell>
          <cell r="E15" t="str">
            <v>Mai Ahmed Behiry</v>
          </cell>
          <cell r="F15" t="str">
            <v>Ahmed Hamdy Ahmed</v>
          </cell>
          <cell r="G15" t="str">
            <v>Abd Elhameed Elshiekh</v>
          </cell>
          <cell r="H15" t="str">
            <v>Averozolid Line</v>
          </cell>
          <cell r="I15" t="str">
            <v>Rep708</v>
          </cell>
          <cell r="J15" t="str">
            <v>MR</v>
          </cell>
          <cell r="K15" t="str">
            <v>Alex</v>
          </cell>
          <cell r="L15">
            <v>1019187658</v>
          </cell>
          <cell r="M15">
            <v>44958</v>
          </cell>
        </row>
        <row r="15">
          <cell r="O15">
            <v>1134</v>
          </cell>
          <cell r="P15" t="str">
            <v>Desouk</v>
          </cell>
        </row>
        <row r="16">
          <cell r="D16" t="str">
            <v>Abdelhakim Ahmed Abdelhamed Mousa</v>
          </cell>
          <cell r="E16" t="str">
            <v>Mai Ahmed Behiry</v>
          </cell>
          <cell r="F16" t="str">
            <v>Ahmed Hamdy Ahmed</v>
          </cell>
          <cell r="G16" t="str">
            <v>Abd Elhameed Elshiekh</v>
          </cell>
          <cell r="H16" t="str">
            <v>Averozolid Line</v>
          </cell>
          <cell r="I16" t="str">
            <v>Rep057</v>
          </cell>
          <cell r="J16" t="str">
            <v>MR</v>
          </cell>
          <cell r="K16" t="str">
            <v>Alex</v>
          </cell>
          <cell r="L16">
            <v>1551154854</v>
          </cell>
          <cell r="M16">
            <v>46113</v>
          </cell>
        </row>
        <row r="16">
          <cell r="O16">
            <v>1913</v>
          </cell>
          <cell r="P16" t="str">
            <v>Damanhour</v>
          </cell>
        </row>
        <row r="17">
          <cell r="D17" t="str">
            <v>Hadeer Ashraf Ibrahim Abdelaziz</v>
          </cell>
          <cell r="E17" t="str">
            <v>Mai Ahmed Behiry</v>
          </cell>
          <cell r="F17" t="str">
            <v>Ahmed Hamdy Ahmed</v>
          </cell>
          <cell r="G17" t="str">
            <v>Abd Elhameed Elshiekh</v>
          </cell>
          <cell r="H17" t="str">
            <v>Averozolid Line</v>
          </cell>
          <cell r="I17" t="str">
            <v>Rep1097</v>
          </cell>
          <cell r="J17" t="str">
            <v>MR</v>
          </cell>
          <cell r="K17" t="str">
            <v>Alex</v>
          </cell>
          <cell r="L17">
            <v>1007908932</v>
          </cell>
          <cell r="M17">
            <v>46126</v>
          </cell>
        </row>
        <row r="17">
          <cell r="O17">
            <v>1937</v>
          </cell>
          <cell r="P17" t="str">
            <v>Kom Hamada</v>
          </cell>
        </row>
        <row r="18">
          <cell r="D18" t="str">
            <v>Mohamed Hisham Mohamed</v>
          </cell>
          <cell r="E18" t="str">
            <v>Mai Ahmed Behiry</v>
          </cell>
          <cell r="F18" t="str">
            <v>Ahmed Hamdy Ahmed</v>
          </cell>
          <cell r="G18" t="str">
            <v>Abd Elhameed Elshiekh</v>
          </cell>
          <cell r="H18" t="str">
            <v>Averozolid Line</v>
          </cell>
          <cell r="I18" t="str">
            <v>Rep807</v>
          </cell>
          <cell r="J18" t="str">
            <v>MR</v>
          </cell>
          <cell r="K18" t="str">
            <v>Alex</v>
          </cell>
          <cell r="L18">
            <v>1027218951</v>
          </cell>
          <cell r="M18">
            <v>45094</v>
          </cell>
        </row>
        <row r="18">
          <cell r="O18">
            <v>1226</v>
          </cell>
          <cell r="P18" t="str">
            <v>Etay El Baroud</v>
          </cell>
        </row>
        <row r="19">
          <cell r="D19" t="str">
            <v>Nora Taha Ahmed</v>
          </cell>
          <cell r="E19" t="str">
            <v>Mai Ahmed Behiry</v>
          </cell>
          <cell r="F19" t="str">
            <v>Ahmed Hamdy Ahmed</v>
          </cell>
          <cell r="G19" t="str">
            <v>Abd Elhameed Elshiekh</v>
          </cell>
          <cell r="H19" t="str">
            <v>Averozolid Line</v>
          </cell>
          <cell r="I19" t="str">
            <v>Rep297</v>
          </cell>
          <cell r="J19" t="str">
            <v>MR</v>
          </cell>
          <cell r="K19" t="str">
            <v>Alex</v>
          </cell>
          <cell r="L19">
            <v>1012117062</v>
          </cell>
          <cell r="M19">
            <v>43892</v>
          </cell>
        </row>
        <row r="19">
          <cell r="O19">
            <v>637</v>
          </cell>
          <cell r="P19" t="str">
            <v>Kafr El Shiekh</v>
          </cell>
        </row>
        <row r="20">
          <cell r="D20" t="str">
            <v>Rahma Mohsen Taha</v>
          </cell>
          <cell r="E20" t="str">
            <v>Mai Ahmed Behiry</v>
          </cell>
          <cell r="F20" t="str">
            <v>Ahmed Hamdy Ahmed</v>
          </cell>
          <cell r="G20" t="str">
            <v>Abd Elhameed Elshiekh</v>
          </cell>
          <cell r="H20" t="str">
            <v>Averozolid Line</v>
          </cell>
          <cell r="I20" t="str">
            <v>Rep44</v>
          </cell>
          <cell r="J20" t="str">
            <v>MR</v>
          </cell>
          <cell r="K20" t="str">
            <v>Alex</v>
          </cell>
          <cell r="L20">
            <v>1064834835</v>
          </cell>
          <cell r="M20">
            <v>43852</v>
          </cell>
        </row>
        <row r="20">
          <cell r="O20">
            <v>551</v>
          </cell>
          <cell r="P20" t="str">
            <v>Kafr El Shiekh</v>
          </cell>
        </row>
        <row r="21">
          <cell r="D21" t="str">
            <v>Marina Adel Samy</v>
          </cell>
        </row>
        <row r="21">
          <cell r="F21" t="str">
            <v>Ahmed Hamdy Ahmed</v>
          </cell>
          <cell r="G21" t="str">
            <v>Abd Elhameed Elshiekh</v>
          </cell>
          <cell r="H21" t="str">
            <v>Averozolid Line</v>
          </cell>
          <cell r="I21" t="str">
            <v>DM_168</v>
          </cell>
          <cell r="J21" t="str">
            <v>DM</v>
          </cell>
          <cell r="K21" t="str">
            <v>Alex</v>
          </cell>
          <cell r="L21">
            <v>1277121908</v>
          </cell>
          <cell r="M21">
            <v>44758</v>
          </cell>
          <cell r="N21" t="str">
            <v>Marina.Adel.Samy@averroes-eg.com</v>
          </cell>
          <cell r="O21">
            <v>974</v>
          </cell>
          <cell r="P21" t="str">
            <v>Moharam Bek</v>
          </cell>
        </row>
        <row r="22">
          <cell r="D22" t="str">
            <v>Gamila Shinoda Shawky</v>
          </cell>
          <cell r="E22" t="str">
            <v>Marina Adel Samy</v>
          </cell>
          <cell r="F22" t="str">
            <v>Ahmed Hamdy Ahmed</v>
          </cell>
          <cell r="G22" t="str">
            <v>Abd Elhameed Elshiekh</v>
          </cell>
          <cell r="H22" t="str">
            <v>Averozolid Line</v>
          </cell>
          <cell r="I22" t="str">
            <v>Rep100043</v>
          </cell>
          <cell r="J22" t="str">
            <v>MR</v>
          </cell>
          <cell r="K22" t="str">
            <v>Alex</v>
          </cell>
          <cell r="L22">
            <v>1211159906</v>
          </cell>
          <cell r="M22">
            <v>45577</v>
          </cell>
        </row>
        <row r="22">
          <cell r="O22">
            <v>1451</v>
          </cell>
          <cell r="P22" t="str">
            <v>El Qabary</v>
          </cell>
        </row>
        <row r="23">
          <cell r="D23" t="str">
            <v>Habiba Mohamed Ahmed</v>
          </cell>
          <cell r="E23" t="str">
            <v>Marina Adel Samy</v>
          </cell>
          <cell r="F23" t="str">
            <v>Ahmed Hamdy Ahmed</v>
          </cell>
          <cell r="G23" t="str">
            <v>Abd Elhameed Elshiekh</v>
          </cell>
          <cell r="H23" t="str">
            <v>Averozolid Line</v>
          </cell>
          <cell r="I23" t="str">
            <v>AVR_147</v>
          </cell>
          <cell r="J23" t="str">
            <v>MR</v>
          </cell>
          <cell r="K23" t="str">
            <v>Alex</v>
          </cell>
          <cell r="L23">
            <v>1009692686</v>
          </cell>
          <cell r="M23">
            <v>45725</v>
          </cell>
        </row>
        <row r="23">
          <cell r="O23">
            <v>1582</v>
          </cell>
          <cell r="P23" t="str">
            <v>El Ebrahimia</v>
          </cell>
        </row>
        <row r="24">
          <cell r="D24" t="str">
            <v>L1_Vacant_Alex Center 1</v>
          </cell>
          <cell r="E24" t="str">
            <v>Marina Adel Samy</v>
          </cell>
          <cell r="F24" t="str">
            <v>Ahmed Hamdy Ahmed</v>
          </cell>
          <cell r="G24" t="str">
            <v>Abd Elhameed Elshiekh</v>
          </cell>
          <cell r="H24" t="str">
            <v>Averozolid Line</v>
          </cell>
          <cell r="I24" t="str">
            <v>Rep997</v>
          </cell>
          <cell r="J24" t="str">
            <v>MR</v>
          </cell>
          <cell r="K24" t="str">
            <v>Alex</v>
          </cell>
        </row>
        <row r="24">
          <cell r="O24">
            <v>0</v>
          </cell>
        </row>
        <row r="25">
          <cell r="D25" t="str">
            <v>Mariam Mohamed Ammar</v>
          </cell>
          <cell r="E25" t="str">
            <v>Marina Adel Samy</v>
          </cell>
          <cell r="F25" t="str">
            <v>Ahmed Hamdy Ahmed</v>
          </cell>
          <cell r="G25" t="str">
            <v>Abd Elhameed Elshiekh</v>
          </cell>
          <cell r="H25" t="str">
            <v>Averozolid Line</v>
          </cell>
          <cell r="I25" t="str">
            <v>Rep1033</v>
          </cell>
          <cell r="J25" t="str">
            <v>MR</v>
          </cell>
          <cell r="K25" t="str">
            <v>Alex</v>
          </cell>
          <cell r="L25">
            <v>1212271646</v>
          </cell>
          <cell r="M25">
            <v>46011</v>
          </cell>
        </row>
        <row r="25">
          <cell r="O25">
            <v>1834</v>
          </cell>
          <cell r="P25" t="str">
            <v>Victoria</v>
          </cell>
        </row>
        <row r="26">
          <cell r="D26" t="str">
            <v>Mohamed ElSayed Mohamed Mohamed</v>
          </cell>
          <cell r="E26" t="str">
            <v>Marina Adel Samy</v>
          </cell>
          <cell r="F26" t="str">
            <v>Ahmed Hamdy Ahmed</v>
          </cell>
          <cell r="G26" t="str">
            <v>Abd Elhameed Elshiekh</v>
          </cell>
          <cell r="H26" t="str">
            <v>Averozolid Line</v>
          </cell>
          <cell r="I26" t="str">
            <v>Rep008</v>
          </cell>
          <cell r="J26" t="str">
            <v>MR</v>
          </cell>
          <cell r="K26" t="str">
            <v>Alex</v>
          </cell>
          <cell r="L26">
            <v>1122177715</v>
          </cell>
          <cell r="M26">
            <v>45185</v>
          </cell>
        </row>
        <row r="26">
          <cell r="O26">
            <v>1267</v>
          </cell>
          <cell r="P26" t="str">
            <v>El Dekhiala</v>
          </cell>
        </row>
        <row r="27">
          <cell r="D27" t="str">
            <v>Omar Hassan Elmohamady</v>
          </cell>
          <cell r="E27" t="str">
            <v>Marina Adel Samy</v>
          </cell>
          <cell r="F27" t="str">
            <v>Ahmed Hamdy Ahmed</v>
          </cell>
          <cell r="G27" t="str">
            <v>Abd Elhameed Elshiekh</v>
          </cell>
          <cell r="H27" t="str">
            <v>Averozolid Line</v>
          </cell>
          <cell r="I27" t="str">
            <v>Rep100154</v>
          </cell>
          <cell r="J27" t="str">
            <v>MR</v>
          </cell>
          <cell r="K27" t="str">
            <v>Alex</v>
          </cell>
          <cell r="L27">
            <v>1222218132</v>
          </cell>
          <cell r="M27">
            <v>45839</v>
          </cell>
        </row>
        <row r="27">
          <cell r="O27">
            <v>1699</v>
          </cell>
          <cell r="P27" t="str">
            <v>Abo Yousef</v>
          </cell>
        </row>
        <row r="28">
          <cell r="D28" t="str">
            <v>Ahmed Shawky Adawy</v>
          </cell>
        </row>
        <row r="28">
          <cell r="G28" t="str">
            <v>Abd Elhameed Elshiekh</v>
          </cell>
          <cell r="H28" t="str">
            <v>Averozolid Line</v>
          </cell>
          <cell r="I28" t="str">
            <v>DM_4</v>
          </cell>
          <cell r="J28" t="str">
            <v>AM</v>
          </cell>
          <cell r="K28" t="str">
            <v>Delta</v>
          </cell>
          <cell r="L28">
            <v>1000720221</v>
          </cell>
          <cell r="M28">
            <v>43876</v>
          </cell>
          <cell r="N28" t="str">
            <v>ahmed.shawky@averroes-eg.com</v>
          </cell>
          <cell r="O28">
            <v>618</v>
          </cell>
          <cell r="P28" t="str">
            <v>10th Of Ramadan</v>
          </cell>
        </row>
        <row r="29">
          <cell r="D29" t="str">
            <v>Mayada Ahmed Rashad</v>
          </cell>
        </row>
        <row r="29">
          <cell r="F29" t="str">
            <v>Ahmed Shawky Adawy</v>
          </cell>
          <cell r="G29" t="str">
            <v>Abd Elhameed Elshiekh</v>
          </cell>
          <cell r="H29" t="str">
            <v>Averozolid Line</v>
          </cell>
          <cell r="I29" t="str">
            <v>Rep0024</v>
          </cell>
          <cell r="J29" t="str">
            <v>DM</v>
          </cell>
          <cell r="K29" t="str">
            <v>Delta</v>
          </cell>
          <cell r="L29">
            <v>1067226786</v>
          </cell>
          <cell r="M29">
            <v>45444</v>
          </cell>
          <cell r="N29" t="str">
            <v>Mayada.Rashad@averroes-eg.com</v>
          </cell>
          <cell r="O29">
            <v>1375</v>
          </cell>
          <cell r="P29" t="str">
            <v>Talkha</v>
          </cell>
        </row>
        <row r="30">
          <cell r="D30" t="str">
            <v>Ahmed Mohamed Morsy</v>
          </cell>
          <cell r="E30" t="str">
            <v>Mayada Ahmed Rashad</v>
          </cell>
          <cell r="F30" t="str">
            <v>Ahmed Shawky Adawy</v>
          </cell>
          <cell r="G30" t="str">
            <v>Abd Elhameed Elshiekh</v>
          </cell>
          <cell r="H30" t="str">
            <v>Averozolid Line</v>
          </cell>
          <cell r="I30" t="str">
            <v>Rep_00077</v>
          </cell>
          <cell r="J30" t="str">
            <v>MR</v>
          </cell>
          <cell r="K30" t="str">
            <v>Delta</v>
          </cell>
          <cell r="L30">
            <v>1098474522</v>
          </cell>
          <cell r="M30">
            <v>45963</v>
          </cell>
        </row>
        <row r="30">
          <cell r="O30">
            <v>1781</v>
          </cell>
          <cell r="P30" t="str">
            <v>El Mansoura</v>
          </cell>
        </row>
        <row r="31">
          <cell r="D31" t="str">
            <v>Amira GamalEldin Hassan</v>
          </cell>
          <cell r="E31" t="str">
            <v>Mayada Ahmed Rashad</v>
          </cell>
          <cell r="F31" t="str">
            <v>Ahmed Shawky Adawy</v>
          </cell>
          <cell r="G31" t="str">
            <v>Abd Elhameed Elshiekh</v>
          </cell>
          <cell r="H31" t="str">
            <v>Averozolid Line</v>
          </cell>
          <cell r="I31" t="str">
            <v>Rep39</v>
          </cell>
          <cell r="J31" t="str">
            <v>MR</v>
          </cell>
          <cell r="K31" t="str">
            <v>Delta</v>
          </cell>
          <cell r="L31" t="str">
            <v> 01005677611</v>
          </cell>
          <cell r="M31">
            <v>43163</v>
          </cell>
        </row>
        <row r="31">
          <cell r="O31">
            <v>227</v>
          </cell>
          <cell r="P31" t="str">
            <v>Meet Ghamr</v>
          </cell>
        </row>
        <row r="32">
          <cell r="D32" t="str">
            <v>Aya Elsayed Mahmoud Hafez</v>
          </cell>
          <cell r="E32" t="str">
            <v>Mayada Ahmed Rashad</v>
          </cell>
          <cell r="F32" t="str">
            <v>Ahmed Shawky Adawy</v>
          </cell>
          <cell r="G32" t="str">
            <v>Abd Elhameed Elshiekh</v>
          </cell>
          <cell r="H32" t="str">
            <v>Averozolid Line</v>
          </cell>
          <cell r="I32" t="str">
            <v>Rep047</v>
          </cell>
          <cell r="J32" t="str">
            <v>MR</v>
          </cell>
          <cell r="K32" t="str">
            <v>Delta</v>
          </cell>
          <cell r="L32">
            <v>1013304176</v>
          </cell>
          <cell r="M32">
            <v>45444</v>
          </cell>
        </row>
        <row r="32">
          <cell r="O32">
            <v>1386</v>
          </cell>
          <cell r="P32" t="str">
            <v>Dekernes</v>
          </cell>
        </row>
        <row r="33">
          <cell r="D33" t="str">
            <v>Esraa Ramadan Anis</v>
          </cell>
          <cell r="E33" t="str">
            <v>Mayada Ahmed Rashad</v>
          </cell>
          <cell r="F33" t="str">
            <v>Ahmed Shawky Adawy</v>
          </cell>
          <cell r="G33" t="str">
            <v>Abd Elhameed Elshiekh</v>
          </cell>
          <cell r="H33" t="str">
            <v>Averozolid Line</v>
          </cell>
          <cell r="I33" t="str">
            <v>Rep1114</v>
          </cell>
          <cell r="J33" t="str">
            <v>MR</v>
          </cell>
          <cell r="K33" t="str">
            <v>Delta</v>
          </cell>
          <cell r="L33">
            <v>1063682374</v>
          </cell>
          <cell r="M33">
            <v>45945</v>
          </cell>
        </row>
        <row r="33">
          <cell r="O33">
            <v>1769</v>
          </cell>
          <cell r="P33" t="str">
            <v>El Mansoura</v>
          </cell>
        </row>
        <row r="34">
          <cell r="D34" t="str">
            <v>Maha Wafiq ElSayed</v>
          </cell>
          <cell r="E34" t="str">
            <v>Mayada Ahmed Rashad</v>
          </cell>
          <cell r="F34" t="str">
            <v>Ahmed Shawky Adawy</v>
          </cell>
          <cell r="G34" t="str">
            <v>Abd Elhameed Elshiekh</v>
          </cell>
          <cell r="H34" t="str">
            <v>Averozolid Line</v>
          </cell>
          <cell r="I34" t="str">
            <v>AVR_143</v>
          </cell>
          <cell r="J34" t="str">
            <v>MR</v>
          </cell>
          <cell r="K34" t="str">
            <v>Delta</v>
          </cell>
          <cell r="L34">
            <v>1033505211</v>
          </cell>
          <cell r="M34">
            <v>45731</v>
          </cell>
        </row>
        <row r="34">
          <cell r="O34">
            <v>1592</v>
          </cell>
          <cell r="P34" t="str">
            <v>Menyet El Nasr</v>
          </cell>
        </row>
        <row r="35">
          <cell r="D35" t="str">
            <v>Mahmoud Mohamed Elgbas</v>
          </cell>
          <cell r="E35" t="str">
            <v>Mayada Ahmed Rashad</v>
          </cell>
          <cell r="F35" t="str">
            <v>Ahmed Shawky Adawy</v>
          </cell>
          <cell r="G35" t="str">
            <v>Abd Elhameed Elshiekh</v>
          </cell>
          <cell r="H35" t="str">
            <v>Averozolid Line</v>
          </cell>
          <cell r="I35" t="str">
            <v>Rep175</v>
          </cell>
          <cell r="J35" t="str">
            <v>MR</v>
          </cell>
          <cell r="K35" t="str">
            <v>Delta</v>
          </cell>
          <cell r="L35">
            <v>1146692254</v>
          </cell>
          <cell r="M35">
            <v>43850</v>
          </cell>
        </row>
        <row r="35">
          <cell r="O35">
            <v>549</v>
          </cell>
          <cell r="P35" t="str">
            <v>Port Saed</v>
          </cell>
        </row>
        <row r="36">
          <cell r="D36" t="str">
            <v>Mohamed Yahia Abuelenin</v>
          </cell>
          <cell r="E36" t="str">
            <v>Mayada Ahmed Rashad</v>
          </cell>
          <cell r="F36" t="str">
            <v>Ahmed Shawky Adawy</v>
          </cell>
          <cell r="G36" t="str">
            <v>Abd Elhameed Elshiekh</v>
          </cell>
          <cell r="H36" t="str">
            <v>Averozolid Line</v>
          </cell>
          <cell r="I36" t="str">
            <v>Rep1000011</v>
          </cell>
          <cell r="J36" t="str">
            <v>MR</v>
          </cell>
          <cell r="K36" t="str">
            <v>Delta</v>
          </cell>
          <cell r="L36">
            <v>1227974997</v>
          </cell>
          <cell r="M36">
            <v>45901</v>
          </cell>
        </row>
        <row r="36">
          <cell r="O36">
            <v>1736</v>
          </cell>
          <cell r="P36" t="str">
            <v>Domiat</v>
          </cell>
        </row>
        <row r="37">
          <cell r="D37" t="str">
            <v>Sara Samir Ali</v>
          </cell>
          <cell r="E37" t="str">
            <v>Mayada Ahmed Rashad</v>
          </cell>
          <cell r="F37" t="str">
            <v>Ahmed Shawky Adawy</v>
          </cell>
          <cell r="G37" t="str">
            <v>Abd Elhameed Elshiekh</v>
          </cell>
          <cell r="H37" t="str">
            <v>Averozolid Line</v>
          </cell>
          <cell r="I37" t="str">
            <v>Rep10019</v>
          </cell>
          <cell r="J37" t="str">
            <v>MR</v>
          </cell>
          <cell r="K37" t="str">
            <v>Delta</v>
          </cell>
          <cell r="L37">
            <v>1009869495</v>
          </cell>
          <cell r="M37">
            <v>45536</v>
          </cell>
        </row>
        <row r="37">
          <cell r="O37">
            <v>1440</v>
          </cell>
          <cell r="P37" t="str">
            <v>Domiat</v>
          </cell>
        </row>
        <row r="38">
          <cell r="D38" t="str">
            <v>Mohamed Hassan Amin</v>
          </cell>
        </row>
        <row r="38">
          <cell r="F38" t="str">
            <v>Ahmed Shawky Adawy</v>
          </cell>
          <cell r="G38" t="str">
            <v>Abd Elhameed Elshiekh</v>
          </cell>
          <cell r="H38" t="str">
            <v>Averozolid Line</v>
          </cell>
          <cell r="I38" t="str">
            <v>Rep50</v>
          </cell>
          <cell r="J38" t="str">
            <v>DM</v>
          </cell>
          <cell r="K38" t="str">
            <v>Delta</v>
          </cell>
          <cell r="L38">
            <v>1026560922</v>
          </cell>
          <cell r="M38">
            <v>44172</v>
          </cell>
          <cell r="N38" t="str">
            <v>Mohamed.Hassan.Amin@averroes-eg.com</v>
          </cell>
          <cell r="O38">
            <v>699</v>
          </cell>
          <cell r="P38" t="str">
            <v>Fakoos</v>
          </cell>
        </row>
        <row r="39">
          <cell r="D39" t="str">
            <v>L1_Vacant_Sharkia 3</v>
          </cell>
          <cell r="E39" t="str">
            <v>Mohamed Hassan Amin</v>
          </cell>
          <cell r="F39" t="str">
            <v>Ahmed Shawky Adawy</v>
          </cell>
          <cell r="G39" t="str">
            <v>Abd Elhameed Elshiekh</v>
          </cell>
          <cell r="H39" t="str">
            <v>Averozolid Line</v>
          </cell>
          <cell r="I39" t="str">
            <v>AVR_73</v>
          </cell>
          <cell r="J39" t="str">
            <v>MR</v>
          </cell>
          <cell r="K39" t="str">
            <v>Delta</v>
          </cell>
          <cell r="L39">
            <v>1202453837</v>
          </cell>
        </row>
        <row r="39">
          <cell r="O39">
            <v>0</v>
          </cell>
        </row>
        <row r="40">
          <cell r="D40" t="str">
            <v>Amira Ashraf Mohamed</v>
          </cell>
          <cell r="E40" t="str">
            <v>Mohamed Hassan Amin</v>
          </cell>
          <cell r="F40" t="str">
            <v>Ahmed Shawky Adawy</v>
          </cell>
          <cell r="G40" t="str">
            <v>Abd Elhameed Elshiekh</v>
          </cell>
          <cell r="H40" t="str">
            <v>Averozolid Line</v>
          </cell>
          <cell r="I40" t="str">
            <v>Rep25</v>
          </cell>
          <cell r="J40" t="str">
            <v>MR</v>
          </cell>
          <cell r="K40" t="str">
            <v>Delta</v>
          </cell>
          <cell r="L40">
            <v>1066047570</v>
          </cell>
          <cell r="M40">
            <v>44481</v>
          </cell>
        </row>
        <row r="40">
          <cell r="O40">
            <v>843</v>
          </cell>
          <cell r="P40" t="str">
            <v>Shebien El Kanater</v>
          </cell>
        </row>
        <row r="41">
          <cell r="D41" t="str">
            <v>Asmaa AbdElHamed Ibrahim</v>
          </cell>
          <cell r="E41" t="str">
            <v>Mohamed Hassan Amin</v>
          </cell>
          <cell r="F41" t="str">
            <v>Ahmed Shawky Adawy</v>
          </cell>
          <cell r="G41" t="str">
            <v>Abd Elhameed Elshiekh</v>
          </cell>
          <cell r="H41" t="str">
            <v>Averozolid Line</v>
          </cell>
          <cell r="I41" t="str">
            <v>AVR_95</v>
          </cell>
          <cell r="J41" t="str">
            <v>MR</v>
          </cell>
          <cell r="K41" t="str">
            <v>Delta</v>
          </cell>
          <cell r="L41">
            <v>1121718921</v>
          </cell>
          <cell r="M41">
            <v>45717</v>
          </cell>
        </row>
        <row r="41">
          <cell r="O41">
            <v>1573</v>
          </cell>
          <cell r="P41" t="str">
            <v>Fakoos</v>
          </cell>
        </row>
        <row r="42">
          <cell r="D42" t="str">
            <v>L1_Vacant_Qalubeia 1</v>
          </cell>
          <cell r="E42" t="str">
            <v>Mohamed Hassan Amin</v>
          </cell>
          <cell r="F42" t="str">
            <v>Ahmed Shawky Adawy</v>
          </cell>
          <cell r="G42" t="str">
            <v>Abd Elhameed Elshiekh</v>
          </cell>
          <cell r="H42" t="str">
            <v>Averozolid Line</v>
          </cell>
          <cell r="I42" t="str">
            <v>Rep_00098</v>
          </cell>
          <cell r="J42" t="str">
            <v>MR</v>
          </cell>
          <cell r="K42" t="str">
            <v>Delta</v>
          </cell>
        </row>
        <row r="42">
          <cell r="O42">
            <v>0</v>
          </cell>
        </row>
        <row r="43">
          <cell r="D43" t="str">
            <v>Marwa Osman AbdelAlieem</v>
          </cell>
          <cell r="E43" t="str">
            <v>Mohamed Hassan Amin</v>
          </cell>
          <cell r="F43" t="str">
            <v>Ahmed Shawky Adawy</v>
          </cell>
          <cell r="G43" t="str">
            <v>Abd Elhameed Elshiekh</v>
          </cell>
          <cell r="H43" t="str">
            <v>Averozolid Line</v>
          </cell>
          <cell r="I43" t="str">
            <v>Rep46</v>
          </cell>
          <cell r="J43" t="str">
            <v>MR</v>
          </cell>
          <cell r="K43" t="str">
            <v>Delta</v>
          </cell>
          <cell r="L43">
            <v>1148024572</v>
          </cell>
          <cell r="M43">
            <v>43586</v>
          </cell>
        </row>
        <row r="43">
          <cell r="O43">
            <v>450</v>
          </cell>
          <cell r="P43" t="str">
            <v>El Zakazik City</v>
          </cell>
        </row>
        <row r="44">
          <cell r="D44" t="str">
            <v>Mohamed Ashraf Mosad</v>
          </cell>
          <cell r="E44" t="str">
            <v>Mohamed Hassan Amin</v>
          </cell>
          <cell r="F44" t="str">
            <v>Ahmed Shawky Adawy</v>
          </cell>
          <cell r="G44" t="str">
            <v>Abd Elhameed Elshiekh</v>
          </cell>
          <cell r="H44" t="str">
            <v>Averozolid Line</v>
          </cell>
          <cell r="I44" t="str">
            <v>AVR_66</v>
          </cell>
          <cell r="J44" t="str">
            <v>MR</v>
          </cell>
          <cell r="K44" t="str">
            <v>Delta</v>
          </cell>
          <cell r="L44">
            <v>1278236617</v>
          </cell>
          <cell r="M44">
            <v>45703</v>
          </cell>
        </row>
        <row r="44">
          <cell r="O44">
            <v>1547</v>
          </cell>
          <cell r="P44" t="str">
            <v>El Zakazik City</v>
          </cell>
        </row>
        <row r="45">
          <cell r="D45" t="str">
            <v>Sahar Elsayed Mohie</v>
          </cell>
          <cell r="E45" t="str">
            <v>Mohamed Hassan Amin</v>
          </cell>
          <cell r="F45" t="str">
            <v>Ahmed Shawky Adawy</v>
          </cell>
          <cell r="G45" t="str">
            <v>Abd Elhameed Elshiekh</v>
          </cell>
          <cell r="H45" t="str">
            <v>Averozolid Line</v>
          </cell>
          <cell r="I45" t="str">
            <v>Rep49</v>
          </cell>
          <cell r="J45" t="str">
            <v>MR</v>
          </cell>
          <cell r="K45" t="str">
            <v>Delta</v>
          </cell>
          <cell r="L45">
            <v>1129242511</v>
          </cell>
          <cell r="M45">
            <v>43525</v>
          </cell>
        </row>
        <row r="45">
          <cell r="O45">
            <v>425</v>
          </cell>
          <cell r="P45" t="str">
            <v>10th Of Ramadan</v>
          </cell>
        </row>
        <row r="46">
          <cell r="D46" t="str">
            <v>Sara Magdy Ahmed</v>
          </cell>
        </row>
        <row r="46">
          <cell r="F46" t="str">
            <v>Ahmed Shawky Adawy</v>
          </cell>
          <cell r="G46" t="str">
            <v>Abd Elhameed Elshiekh</v>
          </cell>
          <cell r="H46" t="str">
            <v>Averozolid Line</v>
          </cell>
          <cell r="I46" t="str">
            <v>DM_139</v>
          </cell>
          <cell r="J46" t="str">
            <v>DM</v>
          </cell>
          <cell r="K46" t="str">
            <v>Delta</v>
          </cell>
          <cell r="L46">
            <v>1229858148</v>
          </cell>
          <cell r="M46">
            <v>43800</v>
          </cell>
          <cell r="N46" t="str">
            <v>sara.magdy@averroes-eg.com</v>
          </cell>
          <cell r="O46">
            <v>500</v>
          </cell>
          <cell r="P46" t="str">
            <v>Tanta City</v>
          </cell>
        </row>
        <row r="47">
          <cell r="D47" t="str">
            <v>Ahmed Mohamed Saad</v>
          </cell>
          <cell r="E47" t="str">
            <v>Sara Magdy Ahmed</v>
          </cell>
          <cell r="F47" t="str">
            <v>Ahmed Shawky Adawy</v>
          </cell>
          <cell r="G47" t="str">
            <v>Abd Elhameed Elshiekh</v>
          </cell>
          <cell r="H47" t="str">
            <v>Averozolid Line</v>
          </cell>
          <cell r="I47" t="str">
            <v>Rep969</v>
          </cell>
          <cell r="J47" t="str">
            <v>MR</v>
          </cell>
          <cell r="K47" t="str">
            <v>Delta</v>
          </cell>
          <cell r="L47">
            <v>1227672905</v>
          </cell>
          <cell r="M47">
            <v>45413</v>
          </cell>
        </row>
        <row r="47">
          <cell r="O47">
            <v>1352</v>
          </cell>
          <cell r="P47" t="str">
            <v>Samanoud</v>
          </cell>
        </row>
        <row r="48">
          <cell r="D48" t="str">
            <v>Omar Abdelghany Elmansoury</v>
          </cell>
          <cell r="E48" t="str">
            <v>Sara Magdy Ahmed</v>
          </cell>
          <cell r="F48" t="str">
            <v>Ahmed Shawky Adawy</v>
          </cell>
          <cell r="G48" t="str">
            <v>Abd Elhameed Elshiekh</v>
          </cell>
          <cell r="H48" t="str">
            <v>Averozolid Line</v>
          </cell>
          <cell r="I48" t="str">
            <v>Rep620</v>
          </cell>
          <cell r="J48" t="str">
            <v>MR</v>
          </cell>
          <cell r="K48" t="str">
            <v>Delta</v>
          </cell>
          <cell r="L48">
            <v>1069327275</v>
          </cell>
          <cell r="M48">
            <v>46140</v>
          </cell>
        </row>
        <row r="48">
          <cell r="O48">
            <v>1947</v>
          </cell>
          <cell r="P48" t="str">
            <v>Tanta City</v>
          </cell>
        </row>
        <row r="49">
          <cell r="D49" t="str">
            <v>Ibrahim Mohamed  ElShorbagy</v>
          </cell>
          <cell r="E49" t="str">
            <v>Sara Magdy Ahmed</v>
          </cell>
          <cell r="F49" t="str">
            <v>Ahmed Shawky Adawy</v>
          </cell>
          <cell r="G49" t="str">
            <v>Abd Elhameed Elshiekh</v>
          </cell>
          <cell r="H49" t="str">
            <v>Averozolid Line</v>
          </cell>
          <cell r="I49" t="str">
            <v>Rep913</v>
          </cell>
          <cell r="J49" t="str">
            <v>MR</v>
          </cell>
          <cell r="K49" t="str">
            <v>Delta</v>
          </cell>
          <cell r="L49">
            <v>1289344523</v>
          </cell>
          <cell r="M49">
            <v>45325</v>
          </cell>
        </row>
        <row r="49">
          <cell r="O49">
            <v>1337</v>
          </cell>
          <cell r="P49" t="str">
            <v>Kafr El zayat</v>
          </cell>
        </row>
        <row r="50">
          <cell r="D50" t="str">
            <v>Mohammed Ahmed ElBanna</v>
          </cell>
          <cell r="E50" t="str">
            <v>Sara Magdy Ahmed</v>
          </cell>
          <cell r="F50" t="str">
            <v>Ahmed Shawky Adawy</v>
          </cell>
          <cell r="G50" t="str">
            <v>Abd Elhameed Elshiekh</v>
          </cell>
          <cell r="H50" t="str">
            <v>Averozolid Line</v>
          </cell>
          <cell r="I50" t="str">
            <v>Rep26</v>
          </cell>
          <cell r="J50" t="str">
            <v>MR</v>
          </cell>
          <cell r="K50" t="str">
            <v>Delta</v>
          </cell>
          <cell r="L50" t="str">
            <v> 01005007061</v>
          </cell>
          <cell r="M50">
            <v>42066</v>
          </cell>
        </row>
        <row r="50">
          <cell r="O50">
            <v>141</v>
          </cell>
          <cell r="P50" t="str">
            <v>Shebien El Kom</v>
          </cell>
        </row>
        <row r="51">
          <cell r="D51" t="str">
            <v>Nada Mohamed Goda</v>
          </cell>
          <cell r="E51" t="str">
            <v>Sara Magdy Ahmed</v>
          </cell>
          <cell r="F51" t="str">
            <v>Ahmed Shawky Adawy</v>
          </cell>
          <cell r="G51" t="str">
            <v>Abd Elhameed Elshiekh</v>
          </cell>
          <cell r="H51" t="str">
            <v>Averozolid Line</v>
          </cell>
          <cell r="I51" t="str">
            <v>Rep_00124</v>
          </cell>
          <cell r="J51" t="str">
            <v>MR</v>
          </cell>
          <cell r="K51" t="str">
            <v>Delta</v>
          </cell>
          <cell r="L51">
            <v>1094006834</v>
          </cell>
          <cell r="M51">
            <v>45996</v>
          </cell>
        </row>
        <row r="51">
          <cell r="O51">
            <v>1808</v>
          </cell>
          <cell r="P51" t="str">
            <v>Ashmoon</v>
          </cell>
        </row>
        <row r="52">
          <cell r="D52" t="str">
            <v>Hossameldein Alaa Mohamed Deif</v>
          </cell>
          <cell r="E52" t="str">
            <v>Sara Magdy Ahmed</v>
          </cell>
          <cell r="F52" t="str">
            <v>Ahmed Shawky Adawy</v>
          </cell>
          <cell r="G52" t="str">
            <v>Abd Elhameed Elshiekh</v>
          </cell>
          <cell r="H52" t="str">
            <v>Averozolid Line</v>
          </cell>
          <cell r="I52" t="str">
            <v>Rep100005</v>
          </cell>
          <cell r="J52" t="str">
            <v>MR</v>
          </cell>
          <cell r="K52" t="str">
            <v>Delta</v>
          </cell>
          <cell r="L52">
            <v>1001680743</v>
          </cell>
          <cell r="M52">
            <v>46109</v>
          </cell>
        </row>
        <row r="52">
          <cell r="O52">
            <v>1906</v>
          </cell>
          <cell r="P52" t="str">
            <v>Shebien El Kom</v>
          </cell>
        </row>
        <row r="53">
          <cell r="D53" t="str">
            <v>Yara Fawzy Mohamed Elattar</v>
          </cell>
          <cell r="E53" t="str">
            <v>Sara Magdy Ahmed</v>
          </cell>
          <cell r="F53" t="str">
            <v>Ahmed Shawky Adawy</v>
          </cell>
          <cell r="G53" t="str">
            <v>Abd Elhameed Elshiekh</v>
          </cell>
          <cell r="H53" t="str">
            <v>Averozolid Line</v>
          </cell>
          <cell r="I53" t="str">
            <v>Rep874</v>
          </cell>
          <cell r="J53" t="str">
            <v>MR</v>
          </cell>
          <cell r="K53" t="str">
            <v>Delta</v>
          </cell>
          <cell r="L53">
            <v>1097503414</v>
          </cell>
          <cell r="M53">
            <v>45265</v>
          </cell>
        </row>
        <row r="53">
          <cell r="O53">
            <v>1310</v>
          </cell>
          <cell r="P53" t="str">
            <v>El Mahala El Kobra</v>
          </cell>
        </row>
        <row r="54">
          <cell r="D54" t="str">
            <v>Ali Ahmed Ali</v>
          </cell>
        </row>
        <row r="54">
          <cell r="G54" t="str">
            <v>Abd Elhameed Elshiekh</v>
          </cell>
          <cell r="H54" t="str">
            <v>Averozolid Line</v>
          </cell>
          <cell r="I54" t="str">
            <v>ZM_3</v>
          </cell>
          <cell r="J54" t="str">
            <v>AM</v>
          </cell>
          <cell r="K54" t="str">
            <v>Upper Egypt</v>
          </cell>
          <cell r="L54">
            <v>1003142319</v>
          </cell>
          <cell r="M54">
            <v>43862</v>
          </cell>
          <cell r="N54" t="str">
            <v>ali.ahmed@averroes-eg.com</v>
          </cell>
          <cell r="O54">
            <v>577</v>
          </cell>
          <cell r="P54" t="str">
            <v>Assuit City</v>
          </cell>
        </row>
        <row r="55">
          <cell r="D55" t="str">
            <v>Abdelazeem Sameer Abdelazeem</v>
          </cell>
        </row>
        <row r="55">
          <cell r="F55" t="str">
            <v>Ali Ahmed Ali</v>
          </cell>
          <cell r="G55" t="str">
            <v>Abd Elhameed Elshiekh</v>
          </cell>
          <cell r="H55" t="str">
            <v>Averozolid Line</v>
          </cell>
          <cell r="I55" t="str">
            <v>Rep259</v>
          </cell>
          <cell r="J55" t="str">
            <v>DM</v>
          </cell>
          <cell r="K55" t="str">
            <v>Upper Egypt</v>
          </cell>
          <cell r="L55" t="str">
            <v> 1050111668</v>
          </cell>
          <cell r="M55">
            <v>43865</v>
          </cell>
          <cell r="N55" t="str">
            <v>abdelazeem.sameer@averroes-eg.com</v>
          </cell>
          <cell r="O55">
            <v>607</v>
          </cell>
          <cell r="P55" t="str">
            <v>Malawy</v>
          </cell>
        </row>
        <row r="56">
          <cell r="D56" t="str">
            <v>Abdelrahman Esmail Hassan</v>
          </cell>
          <cell r="E56" t="str">
            <v>Abdelazeem Sameer Abdelazeem</v>
          </cell>
          <cell r="F56" t="str">
            <v>Ali Ahmed Ali</v>
          </cell>
          <cell r="G56" t="str">
            <v>Abd Elhameed Elshiekh</v>
          </cell>
          <cell r="H56" t="str">
            <v>Averozolid Line</v>
          </cell>
          <cell r="I56" t="str">
            <v>Rep1093</v>
          </cell>
          <cell r="J56" t="str">
            <v>MR</v>
          </cell>
          <cell r="K56" t="str">
            <v>Upper Egypt</v>
          </cell>
          <cell r="L56">
            <v>1142641071</v>
          </cell>
          <cell r="M56">
            <v>45871</v>
          </cell>
        </row>
        <row r="56">
          <cell r="O56">
            <v>1721</v>
          </cell>
          <cell r="P56" t="str">
            <v>Malawy</v>
          </cell>
        </row>
        <row r="57">
          <cell r="D57" t="str">
            <v>Ebram Magdy Malak</v>
          </cell>
          <cell r="E57" t="str">
            <v>Abdelazeem Sameer Abdelazeem</v>
          </cell>
          <cell r="F57" t="str">
            <v>Ali Ahmed Ali</v>
          </cell>
          <cell r="G57" t="str">
            <v>Abd Elhameed Elshiekh</v>
          </cell>
          <cell r="H57" t="str">
            <v>Averozolid Line</v>
          </cell>
          <cell r="I57" t="str">
            <v>Rep704</v>
          </cell>
          <cell r="J57" t="str">
            <v>MR</v>
          </cell>
          <cell r="K57" t="str">
            <v>Upper Egypt</v>
          </cell>
          <cell r="L57">
            <v>1005606839</v>
          </cell>
          <cell r="M57">
            <v>44961</v>
          </cell>
        </row>
        <row r="57">
          <cell r="O57">
            <v>1131</v>
          </cell>
          <cell r="P57" t="str">
            <v>Bani Mazar</v>
          </cell>
        </row>
        <row r="58">
          <cell r="D58" t="str">
            <v>Ethar Mohamed Taha Ghareeb</v>
          </cell>
          <cell r="E58" t="str">
            <v>Abdelazeem Sameer Abdelazeem</v>
          </cell>
          <cell r="F58" t="str">
            <v>Ali Ahmed Ali</v>
          </cell>
          <cell r="G58" t="str">
            <v>Abd Elhameed Elshiekh</v>
          </cell>
          <cell r="H58" t="str">
            <v>Averozolid Line</v>
          </cell>
          <cell r="I58" t="str">
            <v>Rep035</v>
          </cell>
          <cell r="J58" t="str">
            <v>MR</v>
          </cell>
          <cell r="K58" t="str">
            <v>Upper Egypt</v>
          </cell>
          <cell r="L58">
            <v>1122177715</v>
          </cell>
          <cell r="M58">
            <v>45178</v>
          </cell>
        </row>
        <row r="58">
          <cell r="O58">
            <v>1263</v>
          </cell>
          <cell r="P58" t="str">
            <v>El Menia City</v>
          </cell>
        </row>
        <row r="59">
          <cell r="D59" t="str">
            <v>Mina Edwar Gad</v>
          </cell>
          <cell r="E59" t="str">
            <v>Abdelazeem Sameer Abdelazeem</v>
          </cell>
          <cell r="F59" t="str">
            <v>Ali Ahmed Ali</v>
          </cell>
          <cell r="G59" t="str">
            <v>Abd Elhameed Elshiekh</v>
          </cell>
          <cell r="H59" t="str">
            <v>Averozolid Line</v>
          </cell>
          <cell r="I59" t="str">
            <v>Rep77</v>
          </cell>
          <cell r="J59" t="str">
            <v>MR</v>
          </cell>
          <cell r="K59" t="str">
            <v>Upper Egypt</v>
          </cell>
          <cell r="L59">
            <v>1272784701</v>
          </cell>
          <cell r="M59">
            <v>44485</v>
          </cell>
        </row>
        <row r="59">
          <cell r="O59">
            <v>845</v>
          </cell>
          <cell r="P59" t="str">
            <v>El Qousia</v>
          </cell>
        </row>
        <row r="60">
          <cell r="D60" t="str">
            <v>Engy Dahy Shafeek</v>
          </cell>
          <cell r="E60" t="str">
            <v>Abdelazeem Sameer Abdelazeem</v>
          </cell>
          <cell r="F60" t="str">
            <v>Ali Ahmed Ali</v>
          </cell>
          <cell r="G60" t="str">
            <v>Abd Elhameed Elshiekh</v>
          </cell>
          <cell r="H60" t="str">
            <v>Averozolid Line</v>
          </cell>
          <cell r="I60" t="str">
            <v>Rep0061</v>
          </cell>
          <cell r="J60" t="str">
            <v>MR</v>
          </cell>
          <cell r="K60" t="str">
            <v>Upper Egypt</v>
          </cell>
          <cell r="L60">
            <v>1271306887</v>
          </cell>
          <cell r="M60">
            <v>46083</v>
          </cell>
        </row>
        <row r="60">
          <cell r="O60">
            <v>1899</v>
          </cell>
          <cell r="P60" t="str">
            <v>Assuit City</v>
          </cell>
        </row>
        <row r="61">
          <cell r="D61" t="str">
            <v>Peter Ibrahim Faheem</v>
          </cell>
          <cell r="E61" t="str">
            <v>Abdelazeem Sameer Abdelazeem</v>
          </cell>
          <cell r="F61" t="str">
            <v>Ali Ahmed Ali</v>
          </cell>
          <cell r="G61" t="str">
            <v>Abd Elhameed Elshiekh</v>
          </cell>
          <cell r="H61" t="str">
            <v>Averozolid Line</v>
          </cell>
          <cell r="I61" t="str">
            <v>Rep1011</v>
          </cell>
          <cell r="J61" t="str">
            <v>MR</v>
          </cell>
          <cell r="K61" t="str">
            <v>Upper Egypt</v>
          </cell>
          <cell r="L61">
            <v>1040598944</v>
          </cell>
          <cell r="M61">
            <v>45752</v>
          </cell>
        </row>
        <row r="61">
          <cell r="O61">
            <v>1598</v>
          </cell>
          <cell r="P61" t="str">
            <v>Assuit City</v>
          </cell>
        </row>
        <row r="62">
          <cell r="D62" t="str">
            <v>Mai Ashraf Mohamed</v>
          </cell>
        </row>
        <row r="62">
          <cell r="F62" t="str">
            <v>Ali Ahmed Ali</v>
          </cell>
          <cell r="G62" t="str">
            <v>Abd Elhameed Elshiekh</v>
          </cell>
          <cell r="H62" t="str">
            <v>Averozolid Line</v>
          </cell>
          <cell r="I62" t="str">
            <v>Rep80</v>
          </cell>
          <cell r="J62" t="str">
            <v>DM</v>
          </cell>
          <cell r="K62" t="str">
            <v>Upper Egypt</v>
          </cell>
          <cell r="L62">
            <v>0</v>
          </cell>
          <cell r="M62">
            <v>44501</v>
          </cell>
        </row>
        <row r="62">
          <cell r="O62">
            <v>855</v>
          </cell>
        </row>
        <row r="63">
          <cell r="D63" t="str">
            <v>Ahmed Atef Mohamed</v>
          </cell>
          <cell r="E63" t="str">
            <v>Mai Ashraf Mohamed</v>
          </cell>
          <cell r="F63" t="str">
            <v>Ali Ahmed Ali</v>
          </cell>
          <cell r="G63" t="str">
            <v>Abd Elhameed Elshiekh</v>
          </cell>
          <cell r="H63" t="str">
            <v>Averozolid Line</v>
          </cell>
          <cell r="I63" t="str">
            <v>rep000014</v>
          </cell>
          <cell r="J63" t="str">
            <v>MR</v>
          </cell>
          <cell r="K63" t="str">
            <v>Upper Egypt</v>
          </cell>
          <cell r="L63">
            <v>1003757367</v>
          </cell>
          <cell r="M63">
            <v>45931</v>
          </cell>
        </row>
        <row r="63">
          <cell r="O63">
            <v>1756</v>
          </cell>
          <cell r="P63" t="str">
            <v>Nagaa Hamady</v>
          </cell>
        </row>
        <row r="64">
          <cell r="D64" t="str">
            <v>Esraa Mahmoud Elamir</v>
          </cell>
          <cell r="E64" t="str">
            <v>Mai Ashraf Mohamed</v>
          </cell>
          <cell r="F64" t="str">
            <v>Ali Ahmed Ali</v>
          </cell>
          <cell r="G64" t="str">
            <v>Abd Elhameed Elshiekh</v>
          </cell>
          <cell r="H64" t="str">
            <v>Averozolid Line</v>
          </cell>
          <cell r="I64" t="str">
            <v>rep000016</v>
          </cell>
          <cell r="J64" t="str">
            <v>MR</v>
          </cell>
          <cell r="K64" t="str">
            <v>Upper Egypt</v>
          </cell>
          <cell r="L64">
            <v>1129324734</v>
          </cell>
          <cell r="M64">
            <v>45931</v>
          </cell>
        </row>
        <row r="64">
          <cell r="O64">
            <v>1758</v>
          </cell>
          <cell r="P64" t="str">
            <v>Quena city</v>
          </cell>
        </row>
        <row r="65">
          <cell r="D65" t="str">
            <v>Manar Mohamed Safaaeldin</v>
          </cell>
          <cell r="E65" t="str">
            <v>Mai Ashraf Mohamed</v>
          </cell>
          <cell r="F65" t="str">
            <v>Ali Ahmed Ali</v>
          </cell>
          <cell r="G65" t="str">
            <v>Abd Elhameed Elshiekh</v>
          </cell>
          <cell r="H65" t="str">
            <v>Averozolid Line</v>
          </cell>
          <cell r="I65" t="str">
            <v>Rep1000004</v>
          </cell>
          <cell r="J65" t="str">
            <v>MR</v>
          </cell>
          <cell r="K65" t="str">
            <v>Upper Egypt</v>
          </cell>
          <cell r="L65">
            <v>1066821616</v>
          </cell>
          <cell r="M65">
            <v>46113</v>
          </cell>
        </row>
        <row r="65">
          <cell r="O65">
            <v>1911</v>
          </cell>
          <cell r="P65" t="str">
            <v>Sohag city</v>
          </cell>
        </row>
        <row r="66">
          <cell r="D66" t="str">
            <v>Mahmoud Atef Aref Mohamed</v>
          </cell>
          <cell r="E66" t="str">
            <v>Mai Ashraf Mohamed</v>
          </cell>
          <cell r="F66" t="str">
            <v>Ali Ahmed Ali</v>
          </cell>
          <cell r="G66" t="str">
            <v>Abd Elhameed Elshiekh</v>
          </cell>
          <cell r="H66" t="str">
            <v>Averozolid Line</v>
          </cell>
          <cell r="I66" t="str">
            <v>Rep0002</v>
          </cell>
          <cell r="J66" t="str">
            <v>MR</v>
          </cell>
          <cell r="K66" t="str">
            <v>Upper Egypt</v>
          </cell>
          <cell r="L66">
            <v>1151900641</v>
          </cell>
          <cell r="M66">
            <v>45318</v>
          </cell>
        </row>
        <row r="66">
          <cell r="O66">
            <v>1332</v>
          </cell>
          <cell r="P66" t="str">
            <v>Tahta</v>
          </cell>
        </row>
        <row r="67">
          <cell r="D67" t="str">
            <v>L1_Vacant_Sohag 2</v>
          </cell>
          <cell r="E67" t="str">
            <v>Mai Ashraf Mohamed</v>
          </cell>
          <cell r="F67" t="str">
            <v>Ali Ahmed Ali</v>
          </cell>
          <cell r="G67" t="str">
            <v>Abd Elhameed Elshiekh</v>
          </cell>
          <cell r="H67" t="str">
            <v>Averozolid Line</v>
          </cell>
          <cell r="I67" t="str">
            <v>Rep83</v>
          </cell>
          <cell r="J67" t="str">
            <v>MR</v>
          </cell>
          <cell r="K67" t="str">
            <v>Upper Egypt</v>
          </cell>
        </row>
        <row r="67">
          <cell r="O67">
            <v>0</v>
          </cell>
        </row>
        <row r="68">
          <cell r="D68" t="str">
            <v>Menna Tantawy ElSaadi</v>
          </cell>
          <cell r="E68" t="str">
            <v>Mai Ashraf Mohamed</v>
          </cell>
          <cell r="F68" t="str">
            <v>Ali Ahmed Ali</v>
          </cell>
          <cell r="G68" t="str">
            <v>Abd Elhameed Elshiekh</v>
          </cell>
          <cell r="H68" t="str">
            <v>Averozolid Line</v>
          </cell>
          <cell r="I68" t="str">
            <v>Rep431</v>
          </cell>
          <cell r="J68" t="str">
            <v>MR</v>
          </cell>
          <cell r="K68" t="str">
            <v>Upper Egypt</v>
          </cell>
          <cell r="L68">
            <v>1119211215</v>
          </cell>
          <cell r="M68">
            <v>44814</v>
          </cell>
        </row>
        <row r="68">
          <cell r="O68">
            <v>997</v>
          </cell>
          <cell r="P68" t="str">
            <v>Armant</v>
          </cell>
        </row>
        <row r="69">
          <cell r="D69" t="str">
            <v>Sohila Mohamed Ahmed</v>
          </cell>
          <cell r="E69" t="str">
            <v>Mai Ashraf Mohamed</v>
          </cell>
          <cell r="F69" t="str">
            <v>Ali Ahmed Ali</v>
          </cell>
          <cell r="G69" t="str">
            <v>Abd Elhameed Elshiekh</v>
          </cell>
          <cell r="H69" t="str">
            <v>Averozolid Line</v>
          </cell>
          <cell r="I69" t="str">
            <v>Rep00082</v>
          </cell>
          <cell r="J69" t="str">
            <v>MR</v>
          </cell>
          <cell r="K69" t="str">
            <v>Upper Egypt</v>
          </cell>
          <cell r="L69">
            <v>1120262699</v>
          </cell>
          <cell r="M69">
            <v>45914</v>
          </cell>
        </row>
        <row r="69">
          <cell r="O69">
            <v>1747</v>
          </cell>
          <cell r="P69" t="str">
            <v>Aswan City</v>
          </cell>
        </row>
        <row r="70">
          <cell r="D70" t="str">
            <v>Ahmed Omer Ali Mostafa</v>
          </cell>
        </row>
        <row r="70">
          <cell r="G70" t="str">
            <v>Abd Elhameed Elshiekh</v>
          </cell>
          <cell r="H70" t="str">
            <v>Averozolid Line</v>
          </cell>
          <cell r="I70" t="str">
            <v>ZM_59</v>
          </cell>
          <cell r="J70" t="str">
            <v>AM</v>
          </cell>
          <cell r="K70" t="str">
            <v>Cairo</v>
          </cell>
          <cell r="L70">
            <v>1001355148</v>
          </cell>
          <cell r="M70">
            <v>46054</v>
          </cell>
          <cell r="N70" t="str">
            <v>Ahmed.Omer.Ali@averroes-eg.com</v>
          </cell>
          <cell r="O70">
            <v>1869</v>
          </cell>
        </row>
        <row r="71">
          <cell r="D71" t="str">
            <v>Ahmed Fawzy Abdelwahab</v>
          </cell>
        </row>
        <row r="71">
          <cell r="F71" t="str">
            <v>Ahmed Omer Ali Mostafa</v>
          </cell>
          <cell r="G71" t="str">
            <v>Abd Elhameed Elshiekh</v>
          </cell>
          <cell r="H71" t="str">
            <v>Averozolid Line</v>
          </cell>
          <cell r="I71" t="str">
            <v>DM1019</v>
          </cell>
          <cell r="J71" t="str">
            <v>DM</v>
          </cell>
          <cell r="K71" t="str">
            <v>Cairo</v>
          </cell>
          <cell r="L71">
            <v>1111329335</v>
          </cell>
          <cell r="M71">
            <v>45767</v>
          </cell>
          <cell r="N71" t="str">
            <v>Ahmed.Fawzy.Abdelwahab@averroes-eg.com</v>
          </cell>
          <cell r="O71">
            <v>1619</v>
          </cell>
          <cell r="P71" t="str">
            <v>Embaba</v>
          </cell>
        </row>
        <row r="72">
          <cell r="D72" t="str">
            <v>Ahmed Alaa Badr</v>
          </cell>
          <cell r="E72" t="str">
            <v>Ahmed Fawzy Abdelwahab</v>
          </cell>
          <cell r="F72" t="str">
            <v>Ahmed Omer Ali Mostafa</v>
          </cell>
          <cell r="G72" t="str">
            <v>Abd Elhameed Elshiekh</v>
          </cell>
          <cell r="H72" t="str">
            <v>Averozolid Line</v>
          </cell>
          <cell r="I72" t="str">
            <v>AVR_58</v>
          </cell>
          <cell r="J72" t="str">
            <v>MR</v>
          </cell>
          <cell r="K72" t="str">
            <v>Cairo</v>
          </cell>
          <cell r="L72">
            <v>1020578275</v>
          </cell>
          <cell r="M72">
            <v>45708</v>
          </cell>
        </row>
        <row r="72">
          <cell r="O72">
            <v>1554</v>
          </cell>
          <cell r="P72" t="str">
            <v>Mokattam</v>
          </cell>
        </row>
        <row r="73">
          <cell r="D73" t="str">
            <v>Ali Abdelghany Abdelmoghny</v>
          </cell>
          <cell r="E73" t="str">
            <v>Ahmed Fawzy Abdelwahab</v>
          </cell>
          <cell r="F73" t="str">
            <v>Ahmed Omer Ali Mostafa</v>
          </cell>
          <cell r="G73" t="str">
            <v>Abd Elhameed Elshiekh</v>
          </cell>
          <cell r="H73" t="str">
            <v>Averozolid Line</v>
          </cell>
          <cell r="I73" t="str">
            <v>Rep_00065</v>
          </cell>
          <cell r="J73" t="str">
            <v>MR</v>
          </cell>
          <cell r="K73" t="str">
            <v>Cairo</v>
          </cell>
          <cell r="L73">
            <v>1009620471</v>
          </cell>
          <cell r="M73">
            <v>45850</v>
          </cell>
        </row>
        <row r="73">
          <cell r="O73">
            <v>1713</v>
          </cell>
          <cell r="P73" t="str">
            <v>DAR ELSALAM - CAIRO</v>
          </cell>
        </row>
        <row r="74">
          <cell r="D74" t="str">
            <v>L1_Vacant_Mohandesein</v>
          </cell>
          <cell r="E74" t="str">
            <v>Ahmed Fawzy Abdelwahab</v>
          </cell>
          <cell r="F74" t="str">
            <v>Ahmed Omer Ali Mostafa</v>
          </cell>
          <cell r="G74" t="str">
            <v>Abd Elhameed Elshiekh</v>
          </cell>
          <cell r="H74" t="str">
            <v>Averozolid Line</v>
          </cell>
          <cell r="I74" t="str">
            <v>rep000025</v>
          </cell>
          <cell r="J74" t="str">
            <v>MR</v>
          </cell>
          <cell r="K74" t="str">
            <v>Cairo</v>
          </cell>
        </row>
        <row r="74">
          <cell r="O74">
            <v>0</v>
          </cell>
        </row>
        <row r="75">
          <cell r="D75" t="str">
            <v>Mahmoud Samir Abdeen</v>
          </cell>
          <cell r="E75" t="str">
            <v>Ahmed Fawzy Abdelwahab</v>
          </cell>
          <cell r="F75" t="str">
            <v>Ahmed Omer Ali Mostafa</v>
          </cell>
          <cell r="G75" t="str">
            <v>Abd Elhameed Elshiekh</v>
          </cell>
          <cell r="H75" t="str">
            <v>Averozolid Line</v>
          </cell>
          <cell r="I75" t="str">
            <v>Rep1019</v>
          </cell>
          <cell r="J75" t="str">
            <v>MR</v>
          </cell>
          <cell r="K75" t="str">
            <v>Cairo</v>
          </cell>
          <cell r="L75">
            <v>1148849956</v>
          </cell>
          <cell r="M75">
            <v>45752</v>
          </cell>
        </row>
        <row r="75">
          <cell r="O75">
            <v>1608</v>
          </cell>
          <cell r="P75" t="str">
            <v>Embaba</v>
          </cell>
        </row>
        <row r="76">
          <cell r="D76" t="str">
            <v>Mariam Attiah Fawzy</v>
          </cell>
          <cell r="E76" t="str">
            <v>Ahmed Fawzy Abdelwahab</v>
          </cell>
          <cell r="F76" t="str">
            <v>Ahmed Omer Ali Mostafa</v>
          </cell>
          <cell r="G76" t="str">
            <v>Abd Elhameed Elshiekh</v>
          </cell>
          <cell r="H76" t="str">
            <v>Averozolid Line</v>
          </cell>
          <cell r="I76" t="str">
            <v>Rep629</v>
          </cell>
          <cell r="J76" t="str">
            <v>MR</v>
          </cell>
          <cell r="K76" t="str">
            <v>Cairo</v>
          </cell>
          <cell r="L76" t="str">
            <v> 1284584316</v>
          </cell>
          <cell r="M76">
            <v>44927</v>
          </cell>
        </row>
        <row r="76">
          <cell r="O76">
            <v>1103</v>
          </cell>
          <cell r="P76" t="str">
            <v>El Maasara</v>
          </cell>
        </row>
        <row r="77">
          <cell r="D77" t="str">
            <v>Rahma Mohamed Ali</v>
          </cell>
          <cell r="E77" t="str">
            <v>Ahmed Fawzy Abdelwahab</v>
          </cell>
          <cell r="F77" t="str">
            <v>Ahmed Omer Ali Mostafa</v>
          </cell>
          <cell r="G77" t="str">
            <v>Abd Elhameed Elshiekh</v>
          </cell>
          <cell r="H77" t="str">
            <v>Averozolid Line</v>
          </cell>
          <cell r="I77" t="str">
            <v>AVR_24</v>
          </cell>
          <cell r="J77" t="str">
            <v>MR</v>
          </cell>
          <cell r="K77" t="str">
            <v>Cairo</v>
          </cell>
          <cell r="L77">
            <v>1098089404</v>
          </cell>
          <cell r="M77">
            <v>45691</v>
          </cell>
        </row>
        <row r="77">
          <cell r="O77">
            <v>1523</v>
          </cell>
          <cell r="P77" t="str">
            <v>Suiz</v>
          </cell>
        </row>
        <row r="78">
          <cell r="D78" t="str">
            <v>Tarek Gamal Abdo</v>
          </cell>
          <cell r="E78" t="str">
            <v>Ahmed Fawzy Abdelwahab</v>
          </cell>
          <cell r="F78" t="str">
            <v>Ahmed Omer Ali Mostafa</v>
          </cell>
          <cell r="G78" t="str">
            <v>Abd Elhameed Elshiekh</v>
          </cell>
          <cell r="H78" t="str">
            <v>Averozolid Line</v>
          </cell>
          <cell r="I78" t="str">
            <v>Rep10010</v>
          </cell>
          <cell r="J78" t="str">
            <v>MR</v>
          </cell>
          <cell r="K78" t="str">
            <v>Cairo</v>
          </cell>
          <cell r="L78">
            <v>1221659472</v>
          </cell>
          <cell r="M78">
            <v>45465</v>
          </cell>
        </row>
        <row r="78">
          <cell r="O78">
            <v>1400</v>
          </cell>
          <cell r="P78" t="str">
            <v>Hay El Salam</v>
          </cell>
        </row>
        <row r="79">
          <cell r="D79" t="str">
            <v>Mohamed Khaled Helal</v>
          </cell>
        </row>
        <row r="79">
          <cell r="F79" t="str">
            <v>Ahmed Omer Ali Mostafa</v>
          </cell>
          <cell r="G79" t="str">
            <v>Abd Elhameed Elshiekh</v>
          </cell>
          <cell r="H79" t="str">
            <v>Averozolid Line</v>
          </cell>
          <cell r="I79" t="str">
            <v>Rep8</v>
          </cell>
          <cell r="J79" t="str">
            <v>DM</v>
          </cell>
          <cell r="K79" t="str">
            <v>Cairo</v>
          </cell>
          <cell r="L79">
            <v>1114248475</v>
          </cell>
          <cell r="M79">
            <v>44501</v>
          </cell>
          <cell r="N79" t="str">
            <v>Mohamed.Khaled.Helal@averroes-eg.com</v>
          </cell>
          <cell r="O79">
            <v>857</v>
          </cell>
          <cell r="P79" t="str">
            <v>El Marg</v>
          </cell>
        </row>
        <row r="80">
          <cell r="D80" t="str">
            <v>Ammar Osama Okasha</v>
          </cell>
          <cell r="E80" t="str">
            <v>Mohamed Khaled Helal</v>
          </cell>
          <cell r="F80" t="str">
            <v>Ahmed Omer Ali Mostafa</v>
          </cell>
          <cell r="G80" t="str">
            <v>Abd Elhameed Elshiekh</v>
          </cell>
          <cell r="H80" t="str">
            <v>Averozolid Line</v>
          </cell>
          <cell r="I80" t="str">
            <v>AVR_144</v>
          </cell>
          <cell r="J80" t="str">
            <v>MR</v>
          </cell>
          <cell r="K80" t="str">
            <v>Cairo</v>
          </cell>
          <cell r="L80">
            <v>1146909164</v>
          </cell>
          <cell r="M80">
            <v>45731</v>
          </cell>
        </row>
        <row r="80">
          <cell r="O80">
            <v>1593</v>
          </cell>
          <cell r="P80" t="str">
            <v>NASR CITY II</v>
          </cell>
        </row>
        <row r="81">
          <cell r="D81" t="str">
            <v>Ahmed Khaled Goda</v>
          </cell>
          <cell r="E81" t="str">
            <v>Mohamed Khaled Helal</v>
          </cell>
          <cell r="F81" t="str">
            <v>Ahmed Omer Ali Mostafa</v>
          </cell>
          <cell r="G81" t="str">
            <v>Abd Elhameed Elshiekh</v>
          </cell>
          <cell r="H81" t="str">
            <v>Averozolid Line</v>
          </cell>
          <cell r="I81" t="str">
            <v>AVR_61</v>
          </cell>
          <cell r="J81" t="str">
            <v>MR</v>
          </cell>
          <cell r="K81" t="str">
            <v>Cairo</v>
          </cell>
          <cell r="L81">
            <v>1152131840</v>
          </cell>
          <cell r="M81">
            <v>46123</v>
          </cell>
        </row>
        <row r="81">
          <cell r="O81">
            <v>1938</v>
          </cell>
          <cell r="P81" t="str">
            <v>Bosh</v>
          </cell>
        </row>
        <row r="82">
          <cell r="D82" t="str">
            <v>Hanaa Saeed Baioumy</v>
          </cell>
          <cell r="E82" t="str">
            <v>Mohamed Khaled Helal</v>
          </cell>
          <cell r="F82" t="str">
            <v>Ahmed Omer Ali Mostafa</v>
          </cell>
          <cell r="G82" t="str">
            <v>Abd Elhameed Elshiekh</v>
          </cell>
          <cell r="H82" t="str">
            <v>Averozolid Line</v>
          </cell>
          <cell r="I82" t="str">
            <v>Rep22</v>
          </cell>
          <cell r="J82" t="str">
            <v>MR</v>
          </cell>
          <cell r="K82" t="str">
            <v>Cairo</v>
          </cell>
          <cell r="L82">
            <v>1021022474</v>
          </cell>
          <cell r="M82">
            <v>44362</v>
          </cell>
        </row>
        <row r="82">
          <cell r="O82">
            <v>794</v>
          </cell>
          <cell r="P82" t="str">
            <v>6th of October City</v>
          </cell>
        </row>
        <row r="83">
          <cell r="D83" t="str">
            <v>Hassan Ashraf Hassan</v>
          </cell>
          <cell r="E83" t="str">
            <v>Mohamed Khaled Helal</v>
          </cell>
          <cell r="F83" t="str">
            <v>Ahmed Omer Ali Mostafa</v>
          </cell>
          <cell r="G83" t="str">
            <v>Abd Elhameed Elshiekh</v>
          </cell>
          <cell r="H83" t="str">
            <v>Averozolid Line</v>
          </cell>
          <cell r="I83" t="str">
            <v>Rep1000014</v>
          </cell>
          <cell r="J83" t="str">
            <v>MR</v>
          </cell>
          <cell r="K83" t="str">
            <v>Cairo</v>
          </cell>
          <cell r="L83">
            <v>1156256210</v>
          </cell>
          <cell r="M83">
            <v>45901</v>
          </cell>
        </row>
        <row r="83">
          <cell r="O83">
            <v>1740</v>
          </cell>
          <cell r="P83" t="str">
            <v>Madenet El Salam</v>
          </cell>
        </row>
        <row r="84">
          <cell r="D84" t="str">
            <v>Hazem Mohamed Hussien</v>
          </cell>
          <cell r="E84" t="str">
            <v>Mohamed Khaled Helal</v>
          </cell>
          <cell r="F84" t="str">
            <v>Ahmed Omer Ali Mostafa</v>
          </cell>
          <cell r="G84" t="str">
            <v>Abd Elhameed Elshiekh</v>
          </cell>
          <cell r="H84" t="str">
            <v>Averozolid Line</v>
          </cell>
          <cell r="I84" t="str">
            <v>Rep10073</v>
          </cell>
          <cell r="J84" t="str">
            <v>MR</v>
          </cell>
          <cell r="K84" t="str">
            <v>Cairo</v>
          </cell>
          <cell r="L84">
            <v>1005213439</v>
          </cell>
          <cell r="M84">
            <v>45809</v>
          </cell>
        </row>
        <row r="84">
          <cell r="O84">
            <v>1685</v>
          </cell>
          <cell r="P84" t="str">
            <v>Bani Swaif City</v>
          </cell>
        </row>
        <row r="85">
          <cell r="D85" t="str">
            <v>Kareem Mokhtar Zaki</v>
          </cell>
          <cell r="E85" t="str">
            <v>Mohamed Khaled Helal</v>
          </cell>
          <cell r="F85" t="str">
            <v>Ahmed Omer Ali Mostafa</v>
          </cell>
          <cell r="G85" t="str">
            <v>Abd Elhameed Elshiekh</v>
          </cell>
          <cell r="H85" t="str">
            <v>Averozolid Line</v>
          </cell>
          <cell r="I85" t="str">
            <v>AVR_13</v>
          </cell>
          <cell r="J85" t="str">
            <v>MR</v>
          </cell>
          <cell r="K85" t="str">
            <v>Cairo</v>
          </cell>
          <cell r="L85">
            <v>1114108412</v>
          </cell>
          <cell r="M85">
            <v>45689</v>
          </cell>
        </row>
        <row r="85">
          <cell r="O85">
            <v>1512</v>
          </cell>
          <cell r="P85" t="str">
            <v>El Marg</v>
          </cell>
        </row>
        <row r="86">
          <cell r="D86" t="str">
            <v>Sara Thabet Habel</v>
          </cell>
          <cell r="E86" t="str">
            <v>Mohamed Khaled Helal</v>
          </cell>
          <cell r="F86" t="str">
            <v>Ahmed Omer Ali Mostafa</v>
          </cell>
          <cell r="G86" t="str">
            <v>Abd Elhameed Elshiekh</v>
          </cell>
          <cell r="H86" t="str">
            <v>Averozolid Line</v>
          </cell>
          <cell r="I86" t="str">
            <v>Rep836</v>
          </cell>
          <cell r="J86" t="str">
            <v>MR</v>
          </cell>
          <cell r="K86" t="str">
            <v>Cairo</v>
          </cell>
          <cell r="L86">
            <v>1289876655</v>
          </cell>
          <cell r="M86">
            <v>45171</v>
          </cell>
        </row>
        <row r="86">
          <cell r="O86">
            <v>1253</v>
          </cell>
          <cell r="P86" t="str">
            <v>El Zawya El Hamra I</v>
          </cell>
        </row>
        <row r="87">
          <cell r="D87" t="str">
            <v>Rania Isaac Wadea</v>
          </cell>
        </row>
        <row r="87">
          <cell r="F87" t="str">
            <v>Ahmed Omer Ali Mostafa</v>
          </cell>
          <cell r="G87" t="str">
            <v>Abd Elhameed Elshiekh</v>
          </cell>
          <cell r="H87" t="str">
            <v>Averozolid Line</v>
          </cell>
          <cell r="I87" t="str">
            <v>10001</v>
          </cell>
          <cell r="J87" t="str">
            <v>DM</v>
          </cell>
          <cell r="K87" t="str">
            <v>Cairo</v>
          </cell>
          <cell r="L87" t="str">
            <v> 01225402590</v>
          </cell>
          <cell r="M87">
            <v>43150</v>
          </cell>
          <cell r="N87" t="str">
            <v>Rania.Isaac.Wadea@averroes-eg.com</v>
          </cell>
          <cell r="O87">
            <v>206</v>
          </cell>
          <cell r="P87" t="str">
            <v>El Mazallat</v>
          </cell>
        </row>
        <row r="88">
          <cell r="D88" t="str">
            <v>L1_Vacant_Heliopolis 2</v>
          </cell>
          <cell r="E88" t="str">
            <v>Rania Isaac Wadea</v>
          </cell>
          <cell r="F88" t="str">
            <v>Ahmed Omer Ali Mostafa</v>
          </cell>
          <cell r="G88" t="str">
            <v>Abd Elhameed Elshiekh</v>
          </cell>
          <cell r="H88" t="str">
            <v>Averozolid Line</v>
          </cell>
          <cell r="I88" t="str">
            <v>Rep758</v>
          </cell>
          <cell r="J88" t="str">
            <v>MR</v>
          </cell>
          <cell r="K88" t="str">
            <v>Cairo</v>
          </cell>
        </row>
        <row r="88">
          <cell r="O88">
            <v>0</v>
          </cell>
        </row>
        <row r="89">
          <cell r="D89" t="str">
            <v>Manar Ashraf Mohamed</v>
          </cell>
          <cell r="E89" t="str">
            <v>Rania Isaac Wadea</v>
          </cell>
          <cell r="F89" t="str">
            <v>Ahmed Omer Ali Mostafa</v>
          </cell>
          <cell r="G89" t="str">
            <v>Abd Elhameed Elshiekh</v>
          </cell>
          <cell r="H89" t="str">
            <v>Averozolid Line</v>
          </cell>
          <cell r="I89" t="str">
            <v>Rep1017</v>
          </cell>
          <cell r="J89" t="str">
            <v>MR</v>
          </cell>
          <cell r="K89" t="str">
            <v>Cairo</v>
          </cell>
          <cell r="L89">
            <v>1141945376</v>
          </cell>
          <cell r="M89">
            <v>45752</v>
          </cell>
        </row>
        <row r="89">
          <cell r="O89">
            <v>1606</v>
          </cell>
          <cell r="P89" t="str">
            <v>El Zaytoun</v>
          </cell>
        </row>
        <row r="90">
          <cell r="D90" t="str">
            <v>Mohamed Khaled Kamal</v>
          </cell>
          <cell r="E90" t="str">
            <v>Rania Isaac Wadea</v>
          </cell>
          <cell r="F90" t="str">
            <v>Ahmed Omer Ali Mostafa</v>
          </cell>
          <cell r="G90" t="str">
            <v>Abd Elhameed Elshiekh</v>
          </cell>
          <cell r="H90" t="str">
            <v>Averozolid Line</v>
          </cell>
          <cell r="I90" t="str">
            <v>Rep100155</v>
          </cell>
          <cell r="J90" t="str">
            <v>MR</v>
          </cell>
          <cell r="K90" t="str">
            <v>Cairo</v>
          </cell>
          <cell r="L90">
            <v>1115180440</v>
          </cell>
          <cell r="M90">
            <v>45839</v>
          </cell>
        </row>
        <row r="90">
          <cell r="O90">
            <v>1700</v>
          </cell>
          <cell r="P90" t="str">
            <v>Shoubra El-Khima</v>
          </cell>
        </row>
        <row r="91">
          <cell r="D91" t="str">
            <v>L1_Vacant_Heliopolis 1</v>
          </cell>
          <cell r="E91" t="str">
            <v>Rania Isaac Wadea</v>
          </cell>
          <cell r="F91" t="str">
            <v>Ahmed Omer Ali Mostafa</v>
          </cell>
          <cell r="G91" t="str">
            <v>Abd Elhameed Elshiekh</v>
          </cell>
          <cell r="H91" t="str">
            <v>Averozolid Line</v>
          </cell>
          <cell r="I91" t="str">
            <v>Rep1030</v>
          </cell>
          <cell r="J91" t="str">
            <v>MR</v>
          </cell>
          <cell r="K91" t="str">
            <v>Cairo</v>
          </cell>
        </row>
        <row r="91">
          <cell r="O91">
            <v>0</v>
          </cell>
        </row>
        <row r="92">
          <cell r="D92" t="str">
            <v>Remonda Ashraf Zaky</v>
          </cell>
          <cell r="E92" t="str">
            <v>Rania Isaac Wadea</v>
          </cell>
          <cell r="F92" t="str">
            <v>Ahmed Omer Ali Mostafa</v>
          </cell>
          <cell r="G92" t="str">
            <v>Abd Elhameed Elshiekh</v>
          </cell>
          <cell r="H92" t="str">
            <v>Averozolid Line</v>
          </cell>
          <cell r="I92" t="str">
            <v>Rep1016</v>
          </cell>
          <cell r="J92" t="str">
            <v>MR</v>
          </cell>
          <cell r="K92" t="str">
            <v>Cairo</v>
          </cell>
          <cell r="L92">
            <v>1122973605</v>
          </cell>
          <cell r="M92">
            <v>45752</v>
          </cell>
        </row>
        <row r="92">
          <cell r="O92">
            <v>1605</v>
          </cell>
          <cell r="P92" t="str">
            <v>Road El Farag</v>
          </cell>
        </row>
        <row r="93">
          <cell r="D93" t="str">
            <v>Vevian Mamdouh Issac</v>
          </cell>
          <cell r="E93" t="str">
            <v>Rania Isaac Wadea</v>
          </cell>
          <cell r="F93" t="str">
            <v>Ahmed Omer Ali Mostafa</v>
          </cell>
          <cell r="G93" t="str">
            <v>Abd Elhameed Elshiekh</v>
          </cell>
          <cell r="H93" t="str">
            <v>Averozolid Line</v>
          </cell>
          <cell r="I93" t="str">
            <v>Rep100068</v>
          </cell>
          <cell r="J93" t="str">
            <v>MR</v>
          </cell>
          <cell r="K93" t="str">
            <v>Cairo</v>
          </cell>
          <cell r="L93">
            <v>1212187020</v>
          </cell>
          <cell r="M93">
            <v>45658</v>
          </cell>
        </row>
        <row r="93">
          <cell r="O93">
            <v>1481</v>
          </cell>
        </row>
        <row r="94">
          <cell r="D94" t="str">
            <v>Tayseer ElSayed AbdElbary</v>
          </cell>
        </row>
        <row r="94">
          <cell r="F94" t="str">
            <v>Ahmed Omer Ali Mostafa</v>
          </cell>
          <cell r="G94" t="str">
            <v>Abd Elhameed Elshiekh</v>
          </cell>
          <cell r="H94" t="str">
            <v>Averozolid Line</v>
          </cell>
          <cell r="I94" t="str">
            <v>Rep447</v>
          </cell>
          <cell r="J94" t="str">
            <v>DM</v>
          </cell>
          <cell r="K94" t="str">
            <v>Cairo</v>
          </cell>
          <cell r="L94">
            <v>1111615948</v>
          </cell>
          <cell r="M94">
            <v>44807</v>
          </cell>
          <cell r="N94" t="str">
            <v>Tayseer.AbdElbary@averroes-eg.com</v>
          </cell>
          <cell r="O94">
            <v>988</v>
          </cell>
          <cell r="P94" t="str">
            <v>El Haram</v>
          </cell>
        </row>
        <row r="95">
          <cell r="D95" t="str">
            <v>Ali Mohamed Darwesh</v>
          </cell>
          <cell r="E95" t="str">
            <v>Tayseer ElSayed AbdElbary</v>
          </cell>
          <cell r="F95" t="str">
            <v>Ahmed Omer Ali Mostafa</v>
          </cell>
          <cell r="G95" t="str">
            <v>Abd Elhameed Elshiekh</v>
          </cell>
          <cell r="H95" t="str">
            <v>Averozolid Line</v>
          </cell>
          <cell r="I95" t="str">
            <v>Rep0075</v>
          </cell>
          <cell r="J95" t="str">
            <v>MR</v>
          </cell>
          <cell r="K95" t="str">
            <v>Cairo</v>
          </cell>
          <cell r="L95">
            <v>1005263453</v>
          </cell>
          <cell r="M95">
            <v>45627</v>
          </cell>
        </row>
        <row r="95">
          <cell r="O95">
            <v>1468</v>
          </cell>
          <cell r="P95" t="str">
            <v>Sakyet Mekky</v>
          </cell>
        </row>
        <row r="96">
          <cell r="D96" t="str">
            <v>Shehab Ashraf Aboelnour</v>
          </cell>
          <cell r="E96" t="str">
            <v>Tayseer ElSayed AbdElbary</v>
          </cell>
          <cell r="F96" t="str">
            <v>Ahmed Omer Ali Mostafa</v>
          </cell>
          <cell r="G96" t="str">
            <v>Abd Elhameed Elshiekh</v>
          </cell>
          <cell r="H96" t="str">
            <v>Averozolid Line</v>
          </cell>
          <cell r="I96" t="str">
            <v>Rep996</v>
          </cell>
          <cell r="J96" t="str">
            <v>MR</v>
          </cell>
          <cell r="K96" t="str">
            <v>Cairo</v>
          </cell>
          <cell r="L96">
            <v>1025129745</v>
          </cell>
          <cell r="M96">
            <v>46111</v>
          </cell>
        </row>
        <row r="96">
          <cell r="O96">
            <v>1909</v>
          </cell>
          <cell r="P96" t="str">
            <v>Fayoum City</v>
          </cell>
        </row>
        <row r="97">
          <cell r="D97" t="str">
            <v>Hadeer Mosaad Abdelmonem</v>
          </cell>
          <cell r="E97" t="str">
            <v>Tayseer ElSayed AbdElbary</v>
          </cell>
          <cell r="F97" t="str">
            <v>Ahmed Omer Ali Mostafa</v>
          </cell>
          <cell r="G97" t="str">
            <v>Abd Elhameed Elshiekh</v>
          </cell>
          <cell r="H97" t="str">
            <v>Averozolid Line</v>
          </cell>
          <cell r="I97" t="str">
            <v>Rep899</v>
          </cell>
          <cell r="J97" t="str">
            <v>MR</v>
          </cell>
          <cell r="K97" t="str">
            <v>Cairo</v>
          </cell>
          <cell r="L97">
            <v>1158110890</v>
          </cell>
          <cell r="M97">
            <v>46095</v>
          </cell>
        </row>
        <row r="97">
          <cell r="O97">
            <v>1902</v>
          </cell>
          <cell r="P97" t="str">
            <v>Faisal</v>
          </cell>
        </row>
        <row r="98">
          <cell r="D98" t="str">
            <v>Mariam Tarek Hassan</v>
          </cell>
          <cell r="E98" t="str">
            <v>Tayseer ElSayed AbdElbary</v>
          </cell>
          <cell r="F98" t="str">
            <v>Ahmed Omer Ali Mostafa</v>
          </cell>
          <cell r="G98" t="str">
            <v>Abd Elhameed Elshiekh</v>
          </cell>
          <cell r="H98" t="str">
            <v>Averozolid Line</v>
          </cell>
          <cell r="I98" t="str">
            <v>Rep1026</v>
          </cell>
          <cell r="J98" t="str">
            <v>MR</v>
          </cell>
          <cell r="K98" t="str">
            <v>Cairo</v>
          </cell>
          <cell r="L98">
            <v>1027692281</v>
          </cell>
          <cell r="M98">
            <v>46084</v>
          </cell>
        </row>
        <row r="98">
          <cell r="O98">
            <v>1894</v>
          </cell>
          <cell r="P98" t="str">
            <v>6th of October City</v>
          </cell>
        </row>
        <row r="99">
          <cell r="D99" t="str">
            <v>Lujain Osama Eskander</v>
          </cell>
          <cell r="E99" t="str">
            <v>Tayseer ElSayed AbdElbary</v>
          </cell>
          <cell r="F99" t="str">
            <v>Ahmed Omer Ali Mostafa</v>
          </cell>
          <cell r="G99" t="str">
            <v>Abd Elhameed Elshiekh</v>
          </cell>
          <cell r="H99" t="str">
            <v>Averozolid Line</v>
          </cell>
          <cell r="I99" t="str">
            <v>Rep1113</v>
          </cell>
          <cell r="J99" t="str">
            <v>MR</v>
          </cell>
          <cell r="K99" t="str">
            <v>Cairo</v>
          </cell>
          <cell r="L99">
            <v>1204449959</v>
          </cell>
          <cell r="M99">
            <v>45909</v>
          </cell>
        </row>
        <row r="99">
          <cell r="O99">
            <v>1745</v>
          </cell>
          <cell r="P99" t="str">
            <v>Faisal</v>
          </cell>
        </row>
        <row r="100">
          <cell r="D100" t="str">
            <v>Mariam Mansour Sadek</v>
          </cell>
          <cell r="E100" t="str">
            <v>Tayseer ElSayed AbdElbary</v>
          </cell>
          <cell r="F100" t="str">
            <v>Ahmed Omer Ali Mostafa</v>
          </cell>
          <cell r="G100" t="str">
            <v>Abd Elhameed Elshiekh</v>
          </cell>
          <cell r="H100" t="str">
            <v>Averozolid Line</v>
          </cell>
          <cell r="I100" t="str">
            <v>Rep740</v>
          </cell>
          <cell r="J100" t="str">
            <v>MR</v>
          </cell>
          <cell r="K100" t="str">
            <v>Cairo</v>
          </cell>
          <cell r="L100">
            <v>1061890112</v>
          </cell>
          <cell r="M100">
            <v>45017</v>
          </cell>
        </row>
        <row r="100">
          <cell r="O100">
            <v>1218</v>
          </cell>
          <cell r="P100" t="str">
            <v>El Basrawy</v>
          </cell>
        </row>
        <row r="101">
          <cell r="D101" t="str">
            <v>Hossam Kamel ElWakeel</v>
          </cell>
        </row>
        <row r="101">
          <cell r="G101" t="str">
            <v>Abd Elhameed Elshiekh</v>
          </cell>
          <cell r="H101" t="str">
            <v>Averocoxib Line</v>
          </cell>
          <cell r="I101" t="str">
            <v>ZM_6</v>
          </cell>
          <cell r="J101" t="str">
            <v>AM</v>
          </cell>
          <cell r="K101" t="str">
            <v>Alex</v>
          </cell>
          <cell r="L101" t="str">
            <v> 01002999232</v>
          </cell>
          <cell r="M101">
            <v>41671</v>
          </cell>
          <cell r="N101" t="str">
            <v>hossam.elwakeel@averroes-eg.com</v>
          </cell>
          <cell r="O101">
            <v>68</v>
          </cell>
          <cell r="P101" t="str">
            <v>Kafr El Shiekh</v>
          </cell>
        </row>
        <row r="102">
          <cell r="D102" t="str">
            <v>Ali Omar freag</v>
          </cell>
        </row>
        <row r="102">
          <cell r="F102" t="str">
            <v>Hossam Kamel ElWakeel</v>
          </cell>
          <cell r="G102" t="str">
            <v>Abd Elhameed Elshiekh</v>
          </cell>
          <cell r="H102" t="str">
            <v>Averocoxib Line</v>
          </cell>
          <cell r="I102" t="str">
            <v>DM_25</v>
          </cell>
          <cell r="J102" t="str">
            <v>DM</v>
          </cell>
          <cell r="K102" t="str">
            <v>Alex</v>
          </cell>
          <cell r="L102" t="str">
            <v> 01093198714</v>
          </cell>
          <cell r="M102">
            <v>43008</v>
          </cell>
          <cell r="N102" t="str">
            <v>ali.omar@averroes-eg.com</v>
          </cell>
          <cell r="O102">
            <v>176</v>
          </cell>
          <cell r="P102" t="str">
            <v>Quariet Kherbetha</v>
          </cell>
        </row>
        <row r="103">
          <cell r="D103" t="str">
            <v>Alaa Taher Abdellatif</v>
          </cell>
          <cell r="E103" t="str">
            <v>Ali Omar freag</v>
          </cell>
          <cell r="F103" t="str">
            <v>Hossam Kamel ElWakeel</v>
          </cell>
          <cell r="G103" t="str">
            <v>Abd Elhameed Elshiekh</v>
          </cell>
          <cell r="H103" t="str">
            <v>Averocoxib Line</v>
          </cell>
          <cell r="I103" t="str">
            <v>Rep10021</v>
          </cell>
          <cell r="J103" t="str">
            <v>MR</v>
          </cell>
          <cell r="K103" t="str">
            <v>Alex</v>
          </cell>
          <cell r="L103">
            <v>1097123754</v>
          </cell>
          <cell r="M103">
            <v>45542</v>
          </cell>
        </row>
        <row r="103">
          <cell r="O103">
            <v>1442</v>
          </cell>
          <cell r="P103" t="str">
            <v>Kafr El Shiekh</v>
          </cell>
        </row>
        <row r="104">
          <cell r="D104" t="str">
            <v>Ayah Ali Shahin</v>
          </cell>
          <cell r="E104" t="str">
            <v>Ali Omar freag</v>
          </cell>
          <cell r="F104" t="str">
            <v>Hossam Kamel ElWakeel</v>
          </cell>
          <cell r="G104" t="str">
            <v>Abd Elhameed Elshiekh</v>
          </cell>
          <cell r="H104" t="str">
            <v>Averocoxib Line</v>
          </cell>
          <cell r="I104" t="str">
            <v>Rep551</v>
          </cell>
          <cell r="J104" t="str">
            <v>MR</v>
          </cell>
          <cell r="K104" t="str">
            <v>Alex</v>
          </cell>
          <cell r="L104" t="str">
            <v> 01003761973</v>
          </cell>
          <cell r="M104">
            <v>44927</v>
          </cell>
        </row>
        <row r="104">
          <cell r="O104">
            <v>1095</v>
          </cell>
          <cell r="P104" t="str">
            <v>Etay El Baroud</v>
          </cell>
        </row>
        <row r="105">
          <cell r="D105" t="str">
            <v>L9_Vacant_Beheira 2</v>
          </cell>
          <cell r="E105" t="str">
            <v>Ali Omar freag</v>
          </cell>
          <cell r="F105" t="str">
            <v>Hossam Kamel ElWakeel</v>
          </cell>
          <cell r="G105" t="str">
            <v>Abd Elhameed Elshiekh</v>
          </cell>
          <cell r="H105" t="str">
            <v>Averocoxib Line</v>
          </cell>
          <cell r="I105" t="str">
            <v>AVR_9</v>
          </cell>
          <cell r="J105" t="str">
            <v>MR</v>
          </cell>
          <cell r="K105" t="str">
            <v>Alex</v>
          </cell>
        </row>
        <row r="105">
          <cell r="O105">
            <v>0</v>
          </cell>
        </row>
        <row r="106">
          <cell r="D106" t="str">
            <v>Mai Magdy shanash</v>
          </cell>
          <cell r="E106" t="str">
            <v>Ali Omar freag</v>
          </cell>
          <cell r="F106" t="str">
            <v>Hossam Kamel ElWakeel</v>
          </cell>
          <cell r="G106" t="str">
            <v>Abd Elhameed Elshiekh</v>
          </cell>
          <cell r="H106" t="str">
            <v>Averocoxib Line</v>
          </cell>
          <cell r="I106" t="str">
            <v>Rep048</v>
          </cell>
          <cell r="J106" t="str">
            <v>MR</v>
          </cell>
          <cell r="K106" t="str">
            <v>Alex</v>
          </cell>
          <cell r="L106">
            <v>1011957365</v>
          </cell>
          <cell r="M106">
            <v>45446</v>
          </cell>
        </row>
        <row r="106">
          <cell r="O106">
            <v>1387</v>
          </cell>
          <cell r="P106" t="str">
            <v>Damanhour</v>
          </cell>
        </row>
        <row r="107">
          <cell r="D107" t="str">
            <v>Nada Mohamed Elkholy</v>
          </cell>
          <cell r="E107" t="str">
            <v>Ali Omar freag</v>
          </cell>
          <cell r="F107" t="str">
            <v>Hossam Kamel ElWakeel</v>
          </cell>
          <cell r="G107" t="str">
            <v>Abd Elhameed Elshiekh</v>
          </cell>
          <cell r="H107" t="str">
            <v>Averocoxib Line</v>
          </cell>
          <cell r="I107" t="str">
            <v>Rep843</v>
          </cell>
          <cell r="J107" t="str">
            <v>MR</v>
          </cell>
          <cell r="K107" t="str">
            <v>Alex</v>
          </cell>
          <cell r="L107">
            <v>1022321401</v>
          </cell>
          <cell r="M107">
            <v>45111</v>
          </cell>
        </row>
        <row r="107">
          <cell r="O107">
            <v>1235</v>
          </cell>
          <cell r="P107" t="str">
            <v>Shoubra (Damanhour)</v>
          </cell>
        </row>
        <row r="108">
          <cell r="D108" t="str">
            <v>Naira Nofal Zaky</v>
          </cell>
          <cell r="E108" t="str">
            <v>Ali Omar freag</v>
          </cell>
          <cell r="F108" t="str">
            <v>Hossam Kamel ElWakeel</v>
          </cell>
          <cell r="G108" t="str">
            <v>Abd Elhameed Elshiekh</v>
          </cell>
          <cell r="H108" t="str">
            <v>Averocoxib Line</v>
          </cell>
          <cell r="I108" t="str">
            <v>AVR_12</v>
          </cell>
          <cell r="J108" t="str">
            <v>MR</v>
          </cell>
          <cell r="K108" t="str">
            <v>Alex</v>
          </cell>
          <cell r="L108">
            <v>1099180337</v>
          </cell>
          <cell r="M108">
            <v>45690</v>
          </cell>
        </row>
        <row r="108">
          <cell r="O108">
            <v>1511</v>
          </cell>
          <cell r="P108" t="str">
            <v>Kafr El Shiekh</v>
          </cell>
        </row>
        <row r="109">
          <cell r="D109" t="str">
            <v>Sara Sherif Mohamed</v>
          </cell>
          <cell r="E109" t="str">
            <v>Ali Omar freag</v>
          </cell>
          <cell r="F109" t="str">
            <v>Hossam Kamel ElWakeel</v>
          </cell>
          <cell r="G109" t="str">
            <v>Abd Elhameed Elshiekh</v>
          </cell>
          <cell r="H109" t="str">
            <v>Averocoxib Line</v>
          </cell>
          <cell r="I109" t="str">
            <v>Rep_00075</v>
          </cell>
          <cell r="J109" t="str">
            <v>MR</v>
          </cell>
          <cell r="K109" t="str">
            <v>Alex</v>
          </cell>
          <cell r="L109">
            <v>1095695938</v>
          </cell>
          <cell r="M109">
            <v>45962</v>
          </cell>
        </row>
        <row r="109">
          <cell r="O109">
            <v>1779</v>
          </cell>
          <cell r="P109" t="str">
            <v>Desouk</v>
          </cell>
        </row>
        <row r="110">
          <cell r="D110" t="str">
            <v>Hebtallah Hanfy Elsaid</v>
          </cell>
        </row>
        <row r="110">
          <cell r="F110" t="str">
            <v>Hossam Kamel ElWakeel</v>
          </cell>
          <cell r="G110" t="str">
            <v>Abd Elhameed Elshiekh</v>
          </cell>
          <cell r="H110" t="str">
            <v>Averocoxib Line</v>
          </cell>
          <cell r="I110" t="str">
            <v>Rep184</v>
          </cell>
          <cell r="J110" t="str">
            <v>DM</v>
          </cell>
          <cell r="K110" t="str">
            <v>Alex</v>
          </cell>
          <cell r="L110">
            <v>1200102243</v>
          </cell>
          <cell r="M110">
            <v>43846</v>
          </cell>
          <cell r="N110" t="str">
            <v>hebtallah.hanfy@averroes-eg.com</v>
          </cell>
          <cell r="O110">
            <v>543</v>
          </cell>
          <cell r="P110" t="str">
            <v>El Asafra Kebly</v>
          </cell>
        </row>
        <row r="111">
          <cell r="D111" t="str">
            <v>Abeer Nasser Amin</v>
          </cell>
          <cell r="E111" t="str">
            <v>Hebtallah Hanfy Elsaid</v>
          </cell>
          <cell r="F111" t="str">
            <v>Hossam Kamel ElWakeel</v>
          </cell>
          <cell r="G111" t="str">
            <v>Abd Elhameed Elshiekh</v>
          </cell>
          <cell r="H111" t="str">
            <v>Averocoxib Line</v>
          </cell>
          <cell r="I111" t="str">
            <v>Rep999</v>
          </cell>
          <cell r="J111" t="str">
            <v>MR</v>
          </cell>
          <cell r="K111" t="str">
            <v>Alex</v>
          </cell>
          <cell r="L111">
            <v>1270836966</v>
          </cell>
          <cell r="M111">
            <v>45465</v>
          </cell>
        </row>
        <row r="111">
          <cell r="O111">
            <v>1398</v>
          </cell>
          <cell r="P111" t="str">
            <v>El Falaky (Alex)</v>
          </cell>
        </row>
        <row r="112">
          <cell r="D112" t="str">
            <v>Ahmed Samir AbdElaziz</v>
          </cell>
          <cell r="E112" t="str">
            <v>Hebtallah Hanfy Elsaid</v>
          </cell>
          <cell r="F112" t="str">
            <v>Hossam Kamel ElWakeel</v>
          </cell>
          <cell r="G112" t="str">
            <v>Abd Elhameed Elshiekh</v>
          </cell>
          <cell r="H112" t="str">
            <v>Averocoxib Line</v>
          </cell>
          <cell r="I112" t="str">
            <v>Rep0053</v>
          </cell>
          <cell r="J112" t="str">
            <v>MR</v>
          </cell>
          <cell r="K112" t="str">
            <v>Alex</v>
          </cell>
          <cell r="L112">
            <v>1554098724</v>
          </cell>
          <cell r="M112">
            <v>45479</v>
          </cell>
        </row>
        <row r="112">
          <cell r="O112">
            <v>1406</v>
          </cell>
          <cell r="P112" t="str">
            <v>El Hanoveel</v>
          </cell>
        </row>
        <row r="113">
          <cell r="D113" t="str">
            <v>Haidy Adel Emam</v>
          </cell>
          <cell r="E113" t="str">
            <v>Hebtallah Hanfy Elsaid</v>
          </cell>
          <cell r="F113" t="str">
            <v>Hossam Kamel ElWakeel</v>
          </cell>
          <cell r="G113" t="str">
            <v>Abd Elhameed Elshiekh</v>
          </cell>
          <cell r="H113" t="str">
            <v>Averocoxib Line</v>
          </cell>
          <cell r="I113" t="str">
            <v>Rep993</v>
          </cell>
          <cell r="J113" t="str">
            <v>MR</v>
          </cell>
          <cell r="K113" t="str">
            <v>Alex</v>
          </cell>
          <cell r="L113">
            <v>1288635673</v>
          </cell>
          <cell r="M113">
            <v>45423</v>
          </cell>
        </row>
        <row r="113">
          <cell r="O113">
            <v>1361</v>
          </cell>
          <cell r="P113" t="str">
            <v>El Betash</v>
          </cell>
        </row>
        <row r="114">
          <cell r="D114" t="str">
            <v>Mahmoud Samy Mohamed</v>
          </cell>
          <cell r="E114" t="str">
            <v>Hebtallah Hanfy Elsaid</v>
          </cell>
          <cell r="F114" t="str">
            <v>Hossam Kamel ElWakeel</v>
          </cell>
          <cell r="G114" t="str">
            <v>Abd Elhameed Elshiekh</v>
          </cell>
          <cell r="H114" t="str">
            <v>Averocoxib Line</v>
          </cell>
          <cell r="I114" t="str">
            <v>AVR_145</v>
          </cell>
          <cell r="J114" t="str">
            <v>MR</v>
          </cell>
          <cell r="K114" t="str">
            <v>Alex</v>
          </cell>
          <cell r="L114">
            <v>1212314471</v>
          </cell>
          <cell r="M114">
            <v>45717</v>
          </cell>
        </row>
        <row r="114">
          <cell r="O114">
            <v>1594</v>
          </cell>
          <cell r="P114" t="str">
            <v>El Asafra</v>
          </cell>
        </row>
        <row r="115">
          <cell r="D115" t="str">
            <v>Omnia Mohamed Mohamed Ali</v>
          </cell>
          <cell r="E115" t="str">
            <v>Hebtallah Hanfy Elsaid</v>
          </cell>
          <cell r="F115" t="str">
            <v>Hossam Kamel ElWakeel</v>
          </cell>
          <cell r="G115" t="str">
            <v>Abd Elhameed Elshiekh</v>
          </cell>
          <cell r="H115" t="str">
            <v>Averocoxib Line</v>
          </cell>
          <cell r="I115" t="str">
            <v>AVR_146</v>
          </cell>
          <cell r="J115" t="str">
            <v>MR</v>
          </cell>
          <cell r="K115" t="str">
            <v>Alex</v>
          </cell>
          <cell r="L115">
            <v>1287590852</v>
          </cell>
          <cell r="M115">
            <v>45728</v>
          </cell>
        </row>
        <row r="115">
          <cell r="O115">
            <v>1595</v>
          </cell>
          <cell r="P115" t="str">
            <v>Sidi Beshr Bahary</v>
          </cell>
        </row>
        <row r="116">
          <cell r="D116" t="str">
            <v>Rewan Emad Fawzy Beshara</v>
          </cell>
          <cell r="E116" t="str">
            <v>Hebtallah Hanfy Elsaid</v>
          </cell>
          <cell r="F116" t="str">
            <v>Hossam Kamel ElWakeel</v>
          </cell>
          <cell r="G116" t="str">
            <v>Abd Elhameed Elshiekh</v>
          </cell>
          <cell r="H116" t="str">
            <v>Averocoxib Line</v>
          </cell>
          <cell r="I116" t="str">
            <v>Rep_00140</v>
          </cell>
          <cell r="J116" t="str">
            <v>MR</v>
          </cell>
          <cell r="K116" t="str">
            <v>Alex</v>
          </cell>
          <cell r="L116">
            <v>1507111624</v>
          </cell>
          <cell r="M116">
            <v>46013</v>
          </cell>
        </row>
        <row r="116">
          <cell r="O116">
            <v>1821</v>
          </cell>
          <cell r="P116" t="str">
            <v>El Betash</v>
          </cell>
        </row>
        <row r="117">
          <cell r="D117" t="str">
            <v>Ziad Khalid Saad</v>
          </cell>
          <cell r="E117" t="str">
            <v>Hebtallah Hanfy Elsaid</v>
          </cell>
          <cell r="F117" t="str">
            <v>Hossam Kamel ElWakeel</v>
          </cell>
          <cell r="G117" t="str">
            <v>Abd Elhameed Elshiekh</v>
          </cell>
          <cell r="H117" t="str">
            <v>Averocoxib Line</v>
          </cell>
          <cell r="I117" t="str">
            <v>Rep10096</v>
          </cell>
          <cell r="J117" t="str">
            <v>MR</v>
          </cell>
          <cell r="K117" t="str">
            <v>Alex</v>
          </cell>
          <cell r="L117">
            <v>1550447381</v>
          </cell>
          <cell r="M117">
            <v>45839</v>
          </cell>
        </row>
        <row r="117">
          <cell r="O117">
            <v>1706</v>
          </cell>
          <cell r="P117" t="str">
            <v>El Siuf Bahary</v>
          </cell>
        </row>
        <row r="118">
          <cell r="D118" t="str">
            <v>Mohamed Nagar Abdelrhim</v>
          </cell>
        </row>
        <row r="118">
          <cell r="G118" t="str">
            <v>Abd Elhameed Elshiekh</v>
          </cell>
          <cell r="H118" t="str">
            <v>Averocoxib Line</v>
          </cell>
          <cell r="I118" t="str">
            <v>DM_30</v>
          </cell>
          <cell r="J118" t="str">
            <v>AM</v>
          </cell>
          <cell r="K118" t="str">
            <v>Cairo</v>
          </cell>
          <cell r="L118">
            <v>1147609346</v>
          </cell>
          <cell r="M118">
            <v>44615</v>
          </cell>
          <cell r="N118" t="str">
            <v>Mohamed.Nagar.Abdelrhim@averroes-eg.com</v>
          </cell>
          <cell r="O118">
            <v>959</v>
          </cell>
          <cell r="P118" t="str">
            <v>Helwan</v>
          </cell>
        </row>
        <row r="119">
          <cell r="D119" t="str">
            <v>L9_Vacant_Cairo 1</v>
          </cell>
        </row>
        <row r="119">
          <cell r="F119" t="str">
            <v>Mohamed Nagar Abdelrhim</v>
          </cell>
          <cell r="G119" t="str">
            <v>Abd Elhameed Elshiekh</v>
          </cell>
          <cell r="H119" t="str">
            <v>Averocoxib Line</v>
          </cell>
          <cell r="I119" t="str">
            <v>DM_138</v>
          </cell>
          <cell r="J119" t="str">
            <v>DM</v>
          </cell>
          <cell r="K119" t="str">
            <v>Cairo</v>
          </cell>
        </row>
        <row r="119">
          <cell r="O119">
            <v>0</v>
          </cell>
        </row>
        <row r="120">
          <cell r="D120" t="str">
            <v>Shimaa Maher Ghamry Ahmed</v>
          </cell>
          <cell r="E120" t="str">
            <v>L9_Vacant_Cairo 1</v>
          </cell>
          <cell r="F120" t="str">
            <v>Mohamed Nagar Abdelrhim</v>
          </cell>
          <cell r="G120" t="str">
            <v>Abd Elhameed Elshiekh</v>
          </cell>
          <cell r="H120" t="str">
            <v>Averocoxib Line</v>
          </cell>
          <cell r="I120" t="str">
            <v>Rep_00162</v>
          </cell>
          <cell r="J120" t="str">
            <v>MR</v>
          </cell>
          <cell r="K120" t="str">
            <v>Cairo</v>
          </cell>
          <cell r="L120">
            <v>1156870485</v>
          </cell>
          <cell r="M120">
            <v>46060</v>
          </cell>
        </row>
        <row r="120">
          <cell r="O120">
            <v>1863</v>
          </cell>
          <cell r="P120" t="str">
            <v>El Sahel</v>
          </cell>
        </row>
        <row r="121">
          <cell r="D121" t="str">
            <v>L9_Vacant_Mokkatam &amp; Sayyeda</v>
          </cell>
          <cell r="E121" t="str">
            <v>L9_Vacant_Cairo 1</v>
          </cell>
          <cell r="F121" t="str">
            <v>Mohamed Nagar Abdelrhim</v>
          </cell>
          <cell r="G121" t="str">
            <v>Abd Elhameed Elshiekh</v>
          </cell>
          <cell r="H121" t="str">
            <v>Averocoxib Line</v>
          </cell>
          <cell r="I121" t="str">
            <v>Rep_00164</v>
          </cell>
          <cell r="J121" t="str">
            <v>MR</v>
          </cell>
          <cell r="K121" t="str">
            <v>Cairo</v>
          </cell>
        </row>
        <row r="121">
          <cell r="O121">
            <v>0</v>
          </cell>
        </row>
        <row r="122">
          <cell r="D122" t="str">
            <v>Manar Abdelrahman Mohammed</v>
          </cell>
          <cell r="E122" t="str">
            <v>L9_Vacant_Cairo 1</v>
          </cell>
          <cell r="F122" t="str">
            <v>Mohamed Nagar Abdelrhim</v>
          </cell>
          <cell r="G122" t="str">
            <v>Abd Elhameed Elshiekh</v>
          </cell>
          <cell r="H122" t="str">
            <v>Averocoxib Line</v>
          </cell>
          <cell r="I122" t="str">
            <v>Rep917</v>
          </cell>
          <cell r="J122" t="str">
            <v>MR</v>
          </cell>
          <cell r="K122" t="str">
            <v>Cairo</v>
          </cell>
          <cell r="L122">
            <v>1066171906</v>
          </cell>
          <cell r="M122">
            <v>45311</v>
          </cell>
        </row>
        <row r="122">
          <cell r="O122">
            <v>1330</v>
          </cell>
          <cell r="P122" t="str">
            <v>Suiz</v>
          </cell>
        </row>
        <row r="123">
          <cell r="D123" t="str">
            <v>Sara Saad Sayed</v>
          </cell>
          <cell r="E123" t="str">
            <v>L9_Vacant_Cairo 1</v>
          </cell>
          <cell r="F123" t="str">
            <v>Mohamed Nagar Abdelrhim</v>
          </cell>
          <cell r="G123" t="str">
            <v>Abd Elhameed Elshiekh</v>
          </cell>
          <cell r="H123" t="str">
            <v>Averocoxib Line</v>
          </cell>
          <cell r="I123" t="str">
            <v>Rep153</v>
          </cell>
          <cell r="J123" t="str">
            <v>MR</v>
          </cell>
          <cell r="K123" t="str">
            <v>Cairo</v>
          </cell>
          <cell r="L123">
            <v>1287737504</v>
          </cell>
          <cell r="M123">
            <v>44597</v>
          </cell>
        </row>
        <row r="123">
          <cell r="O123">
            <v>925</v>
          </cell>
          <cell r="P123" t="str">
            <v>El Basateen</v>
          </cell>
        </row>
        <row r="124">
          <cell r="D124" t="str">
            <v>Moureen Atef Mouris</v>
          </cell>
          <cell r="E124" t="str">
            <v>L9_Vacant_Cairo 1</v>
          </cell>
          <cell r="F124" t="str">
            <v>Mohamed Nagar Abdelrhim</v>
          </cell>
          <cell r="G124" t="str">
            <v>Abd Elhameed Elshiekh</v>
          </cell>
          <cell r="H124" t="str">
            <v>Averocoxib Line</v>
          </cell>
          <cell r="I124" t="str">
            <v>Rep1010</v>
          </cell>
          <cell r="J124" t="str">
            <v>MR</v>
          </cell>
          <cell r="K124" t="str">
            <v>Cairo</v>
          </cell>
          <cell r="L124">
            <v>1271977642</v>
          </cell>
          <cell r="M124">
            <v>45521</v>
          </cell>
        </row>
        <row r="124">
          <cell r="O124">
            <v>1432</v>
          </cell>
        </row>
        <row r="125">
          <cell r="D125" t="str">
            <v>Zeinab Gamal Mohamed</v>
          </cell>
          <cell r="E125" t="str">
            <v>L9_Vacant_Cairo 1</v>
          </cell>
          <cell r="F125" t="str">
            <v>Mohamed Nagar Abdelrhim</v>
          </cell>
          <cell r="G125" t="str">
            <v>Abd Elhameed Elshiekh</v>
          </cell>
          <cell r="H125" t="str">
            <v>Averocoxib Line</v>
          </cell>
          <cell r="I125" t="str">
            <v>Rep15</v>
          </cell>
          <cell r="J125" t="str">
            <v>MR</v>
          </cell>
          <cell r="K125" t="str">
            <v>Cairo</v>
          </cell>
          <cell r="L125" t="str">
            <v> 01129050807</v>
          </cell>
          <cell r="M125">
            <v>43282</v>
          </cell>
        </row>
        <row r="125">
          <cell r="O125">
            <v>311</v>
          </cell>
          <cell r="P125" t="str">
            <v>Helwan</v>
          </cell>
        </row>
        <row r="126">
          <cell r="D126" t="str">
            <v>Mahmoud Mohsen Mahmoud</v>
          </cell>
        </row>
        <row r="126">
          <cell r="F126" t="str">
            <v>Mohamed Nagar Abdelrhim</v>
          </cell>
          <cell r="G126" t="str">
            <v>Abd Elhameed Elshiekh</v>
          </cell>
          <cell r="H126" t="str">
            <v>Averocoxib Line</v>
          </cell>
          <cell r="I126" t="str">
            <v>DM_0013</v>
          </cell>
          <cell r="J126" t="str">
            <v>DM</v>
          </cell>
          <cell r="K126" t="str">
            <v>Cairo</v>
          </cell>
          <cell r="L126">
            <v>1015864146</v>
          </cell>
          <cell r="M126">
            <v>45735</v>
          </cell>
          <cell r="N126" t="str">
            <v>Mahmoud.Mohsen.Mahmoud@averroes-eg.com</v>
          </cell>
          <cell r="O126">
            <v>1591</v>
          </cell>
          <cell r="P126" t="str">
            <v>Hadayek Al Ahram</v>
          </cell>
        </row>
        <row r="127">
          <cell r="D127" t="str">
            <v>Abdelmeged Mohammed Abdallah</v>
          </cell>
          <cell r="E127" t="str">
            <v>Mahmoud Mohsen Mahmoud</v>
          </cell>
          <cell r="F127" t="str">
            <v>Mohamed Nagar Abdelrhim</v>
          </cell>
          <cell r="G127" t="str">
            <v>Abd Elhameed Elshiekh</v>
          </cell>
          <cell r="H127" t="str">
            <v>Averocoxib Line</v>
          </cell>
          <cell r="I127" t="str">
            <v>Rep991</v>
          </cell>
          <cell r="J127" t="str">
            <v>MR</v>
          </cell>
          <cell r="K127" t="str">
            <v>Cairo</v>
          </cell>
          <cell r="L127">
            <v>1126176336</v>
          </cell>
          <cell r="M127">
            <v>45423</v>
          </cell>
        </row>
        <row r="127">
          <cell r="O127">
            <v>1359</v>
          </cell>
          <cell r="P127" t="str">
            <v>Abo El Nomros</v>
          </cell>
        </row>
        <row r="128">
          <cell r="D128" t="str">
            <v>Ahmed Adel Mohamed kholousy</v>
          </cell>
          <cell r="E128" t="str">
            <v>Mahmoud Mohsen Mahmoud</v>
          </cell>
          <cell r="F128" t="str">
            <v>Mohamed Nagar Abdelrhim</v>
          </cell>
          <cell r="G128" t="str">
            <v>Abd Elhameed Elshiekh</v>
          </cell>
          <cell r="H128" t="str">
            <v>Averocoxib Line</v>
          </cell>
          <cell r="I128" t="str">
            <v>MR_1873</v>
          </cell>
          <cell r="J128" t="str">
            <v>MR</v>
          </cell>
          <cell r="K128" t="str">
            <v>Cairo</v>
          </cell>
        </row>
        <row r="128">
          <cell r="M128">
            <v>46021</v>
          </cell>
        </row>
        <row r="128">
          <cell r="O128">
            <v>1841</v>
          </cell>
        </row>
        <row r="129">
          <cell r="D129" t="str">
            <v>Ali Zainelabdeen Hamed</v>
          </cell>
          <cell r="E129" t="str">
            <v>Mahmoud Mohsen Mahmoud</v>
          </cell>
          <cell r="F129" t="str">
            <v>Mohamed Nagar Abdelrhim</v>
          </cell>
          <cell r="G129" t="str">
            <v>Abd Elhameed Elshiekh</v>
          </cell>
          <cell r="H129" t="str">
            <v>Averocoxib Line</v>
          </cell>
          <cell r="I129" t="str">
            <v>Rep544</v>
          </cell>
          <cell r="J129" t="str">
            <v>MR</v>
          </cell>
          <cell r="K129" t="str">
            <v>Cairo</v>
          </cell>
          <cell r="L129">
            <v>1066917854</v>
          </cell>
          <cell r="M129">
            <v>45777</v>
          </cell>
        </row>
        <row r="129">
          <cell r="O129">
            <v>1627</v>
          </cell>
          <cell r="P129" t="str">
            <v>Embaba</v>
          </cell>
        </row>
        <row r="130">
          <cell r="D130" t="str">
            <v>Aya Kamal Hussien</v>
          </cell>
          <cell r="E130" t="str">
            <v>Mahmoud Mohsen Mahmoud</v>
          </cell>
          <cell r="F130" t="str">
            <v>Mohamed Nagar Abdelrhim</v>
          </cell>
          <cell r="G130" t="str">
            <v>Abd Elhameed Elshiekh</v>
          </cell>
          <cell r="H130" t="str">
            <v>Averocoxib Line</v>
          </cell>
          <cell r="I130" t="str">
            <v>Rep735</v>
          </cell>
          <cell r="J130" t="str">
            <v>MR</v>
          </cell>
          <cell r="K130" t="str">
            <v>Cairo</v>
          </cell>
          <cell r="L130">
            <v>1019670169</v>
          </cell>
          <cell r="M130">
            <v>44998</v>
          </cell>
        </row>
        <row r="130">
          <cell r="O130">
            <v>1209</v>
          </cell>
          <cell r="P130" t="str">
            <v>Fayoum City</v>
          </cell>
        </row>
        <row r="131">
          <cell r="D131" t="str">
            <v>Monica Nagy Nabil</v>
          </cell>
          <cell r="E131" t="str">
            <v>Mahmoud Mohsen Mahmoud</v>
          </cell>
          <cell r="F131" t="str">
            <v>Mohamed Nagar Abdelrhim</v>
          </cell>
          <cell r="G131" t="str">
            <v>Abd Elhameed Elshiekh</v>
          </cell>
          <cell r="H131" t="str">
            <v>Averocoxib Line</v>
          </cell>
          <cell r="I131" t="str">
            <v>Rep100101</v>
          </cell>
          <cell r="J131" t="str">
            <v>MR</v>
          </cell>
          <cell r="K131" t="str">
            <v>Cairo</v>
          </cell>
          <cell r="L131">
            <v>1272921499</v>
          </cell>
          <cell r="M131">
            <v>45675</v>
          </cell>
        </row>
        <row r="131">
          <cell r="O131">
            <v>1501</v>
          </cell>
          <cell r="P131" t="str">
            <v>El Talbia (Haram)</v>
          </cell>
        </row>
        <row r="132">
          <cell r="D132" t="str">
            <v>Soryal Fathy Shaker</v>
          </cell>
          <cell r="E132" t="str">
            <v>Mahmoud Mohsen Mahmoud</v>
          </cell>
          <cell r="F132" t="str">
            <v>Mohamed Nagar Abdelrhim</v>
          </cell>
          <cell r="G132" t="str">
            <v>Abd Elhameed Elshiekh</v>
          </cell>
          <cell r="H132" t="str">
            <v>Averocoxib Line</v>
          </cell>
          <cell r="I132" t="str">
            <v>Rep_00165</v>
          </cell>
          <cell r="J132" t="str">
            <v>MR</v>
          </cell>
          <cell r="K132" t="str">
            <v>Cairo</v>
          </cell>
          <cell r="L132">
            <v>1271459622</v>
          </cell>
          <cell r="M132">
            <v>46025</v>
          </cell>
        </row>
        <row r="132">
          <cell r="O132">
            <v>1836</v>
          </cell>
          <cell r="P132" t="str">
            <v>El Omrania</v>
          </cell>
        </row>
        <row r="133">
          <cell r="D133" t="str">
            <v>Mohamed Mostafa Nassar</v>
          </cell>
        </row>
        <row r="133">
          <cell r="F133" t="str">
            <v>Mohamed Nagar Abdelrhim</v>
          </cell>
          <cell r="G133" t="str">
            <v>Abd Elhameed Elshiekh</v>
          </cell>
          <cell r="H133" t="str">
            <v>Averocoxib Line</v>
          </cell>
          <cell r="I133" t="str">
            <v>DM_73</v>
          </cell>
          <cell r="J133" t="str">
            <v>DM</v>
          </cell>
          <cell r="K133" t="str">
            <v>Cairo</v>
          </cell>
          <cell r="L133">
            <v>1111329335</v>
          </cell>
          <cell r="M133">
            <v>43497</v>
          </cell>
          <cell r="N133" t="str">
            <v>mohamed.nassar@averroes-eg.com</v>
          </cell>
          <cell r="O133">
            <v>412</v>
          </cell>
          <cell r="P133" t="str">
            <v>ELMATARIA - CAIRO</v>
          </cell>
        </row>
        <row r="134">
          <cell r="D134" t="str">
            <v>Alaa Ahmed Abdelwahab</v>
          </cell>
          <cell r="E134" t="str">
            <v>Mohamed Mostafa Nassar</v>
          </cell>
          <cell r="F134" t="str">
            <v>Mohamed Nagar Abdelrhim</v>
          </cell>
          <cell r="G134" t="str">
            <v>Abd Elhameed Elshiekh</v>
          </cell>
          <cell r="H134" t="str">
            <v>Averocoxib Line</v>
          </cell>
          <cell r="I134" t="str">
            <v>Rep_00153</v>
          </cell>
          <cell r="J134" t="str">
            <v>MR</v>
          </cell>
          <cell r="K134" t="str">
            <v>Cairo</v>
          </cell>
          <cell r="L134">
            <v>1122010177</v>
          </cell>
          <cell r="M134">
            <v>46022</v>
          </cell>
        </row>
        <row r="134">
          <cell r="O134">
            <v>1823</v>
          </cell>
          <cell r="P134" t="str">
            <v>Ain Shams El Sharqeya</v>
          </cell>
        </row>
        <row r="135">
          <cell r="D135" t="str">
            <v>Kyrollos Mikhail Samaan</v>
          </cell>
          <cell r="E135" t="str">
            <v>Mohamed Mostafa Nassar</v>
          </cell>
          <cell r="F135" t="str">
            <v>Mohamed Nagar Abdelrhim</v>
          </cell>
          <cell r="G135" t="str">
            <v>Abd Elhameed Elshiekh</v>
          </cell>
          <cell r="H135" t="str">
            <v>Averocoxib Line</v>
          </cell>
          <cell r="I135" t="str">
            <v>Rep212</v>
          </cell>
          <cell r="J135" t="str">
            <v>MR</v>
          </cell>
          <cell r="K135" t="str">
            <v>Cairo</v>
          </cell>
          <cell r="L135">
            <v>0</v>
          </cell>
          <cell r="M135">
            <v>44222</v>
          </cell>
        </row>
        <row r="135">
          <cell r="O135">
            <v>713</v>
          </cell>
          <cell r="P135" t="str">
            <v>El Marg</v>
          </cell>
        </row>
        <row r="136">
          <cell r="D136" t="str">
            <v>David Shehata Ayoub</v>
          </cell>
          <cell r="E136" t="str">
            <v>Mohamed Mostafa Nassar</v>
          </cell>
          <cell r="F136" t="str">
            <v>Mohamed Nagar Abdelrhim</v>
          </cell>
          <cell r="G136" t="str">
            <v>Abd Elhameed Elshiekh</v>
          </cell>
          <cell r="H136" t="str">
            <v>Averocoxib Line</v>
          </cell>
          <cell r="I136" t="str">
            <v>Rep1109</v>
          </cell>
          <cell r="J136" t="str">
            <v>MR</v>
          </cell>
          <cell r="K136" t="str">
            <v>Cairo</v>
          </cell>
          <cell r="L136">
            <v>1228427014</v>
          </cell>
          <cell r="M136">
            <v>46082</v>
          </cell>
        </row>
        <row r="136">
          <cell r="O136">
            <v>1892</v>
          </cell>
          <cell r="P136" t="str">
            <v>El Marg</v>
          </cell>
        </row>
        <row r="137">
          <cell r="D137" t="str">
            <v>L9_Vacant_Hadayek</v>
          </cell>
          <cell r="E137" t="str">
            <v>Mohamed Mostafa Nassar</v>
          </cell>
          <cell r="F137" t="str">
            <v>Mohamed Nagar Abdelrhim</v>
          </cell>
          <cell r="G137" t="str">
            <v>Abd Elhameed Elshiekh</v>
          </cell>
          <cell r="H137" t="str">
            <v>Averocoxib Line</v>
          </cell>
          <cell r="I137" t="str">
            <v>Rep_00163</v>
          </cell>
          <cell r="J137" t="str">
            <v>MR</v>
          </cell>
          <cell r="K137" t="str">
            <v>Cairo</v>
          </cell>
        </row>
        <row r="137">
          <cell r="O137">
            <v>0</v>
          </cell>
        </row>
        <row r="138">
          <cell r="D138" t="str">
            <v>Ali Shaaban Ali</v>
          </cell>
          <cell r="E138" t="str">
            <v>Mohamed Mostafa Nassar</v>
          </cell>
          <cell r="F138" t="str">
            <v>Mohamed Nagar Abdelrhim</v>
          </cell>
          <cell r="G138" t="str">
            <v>Abd Elhameed Elshiekh</v>
          </cell>
          <cell r="H138" t="str">
            <v>Averocoxib Line</v>
          </cell>
          <cell r="I138" t="str">
            <v>rep000012</v>
          </cell>
          <cell r="J138" t="str">
            <v>MR</v>
          </cell>
          <cell r="K138" t="str">
            <v>Cairo</v>
          </cell>
          <cell r="L138">
            <v>1006626097</v>
          </cell>
          <cell r="M138">
            <v>46049</v>
          </cell>
        </row>
        <row r="138">
          <cell r="O138">
            <v>1842</v>
          </cell>
          <cell r="P138" t="str">
            <v>Bahteem</v>
          </cell>
        </row>
        <row r="139">
          <cell r="D139" t="str">
            <v>Mohamed Ahmed Eid</v>
          </cell>
          <cell r="E139" t="str">
            <v>Mohamed Mostafa Nassar</v>
          </cell>
          <cell r="F139" t="str">
            <v>Mohamed Nagar Abdelrhim</v>
          </cell>
          <cell r="G139" t="str">
            <v>Abd Elhameed Elshiekh</v>
          </cell>
          <cell r="H139" t="str">
            <v>Averocoxib Line</v>
          </cell>
          <cell r="I139" t="str">
            <v>Rep69</v>
          </cell>
          <cell r="J139" t="str">
            <v>MR</v>
          </cell>
          <cell r="K139" t="str">
            <v>Cairo</v>
          </cell>
          <cell r="L139">
            <v>1060137342</v>
          </cell>
          <cell r="M139">
            <v>43132</v>
          </cell>
        </row>
        <row r="139">
          <cell r="O139">
            <v>395</v>
          </cell>
          <cell r="P139" t="str">
            <v>Ismaelia City</v>
          </cell>
        </row>
        <row r="140">
          <cell r="D140" t="str">
            <v>Sarah Saeed Mohammed</v>
          </cell>
          <cell r="E140" t="str">
            <v>Mohamed Mostafa Nassar</v>
          </cell>
          <cell r="F140" t="str">
            <v>Mohamed Nagar Abdelrhim</v>
          </cell>
          <cell r="G140" t="str">
            <v>Abd Elhameed Elshiekh</v>
          </cell>
          <cell r="H140" t="str">
            <v>Averocoxib Line</v>
          </cell>
          <cell r="I140" t="str">
            <v>AVR_94</v>
          </cell>
          <cell r="J140" t="str">
            <v>MR</v>
          </cell>
          <cell r="K140" t="str">
            <v>Cairo</v>
          </cell>
          <cell r="L140">
            <v>1142614491</v>
          </cell>
          <cell r="M140">
            <v>45718</v>
          </cell>
        </row>
        <row r="140">
          <cell r="O140">
            <v>1572</v>
          </cell>
          <cell r="P140" t="str">
            <v>Ain shams</v>
          </cell>
        </row>
        <row r="141">
          <cell r="D141" t="str">
            <v>Mohamed Taha Mohamed</v>
          </cell>
        </row>
        <row r="141">
          <cell r="G141" t="str">
            <v>Abd Elhameed Elshiekh</v>
          </cell>
          <cell r="H141" t="str">
            <v>Averocoxib Line</v>
          </cell>
          <cell r="I141" t="str">
            <v>ZM_17</v>
          </cell>
          <cell r="J141" t="str">
            <v>AM</v>
          </cell>
          <cell r="K141" t="str">
            <v>Delta</v>
          </cell>
          <cell r="L141">
            <v>1022228972</v>
          </cell>
          <cell r="M141">
            <v>41091</v>
          </cell>
          <cell r="N141" t="str">
            <v>Mohamed.farag@averroes-eg.com</v>
          </cell>
          <cell r="O141">
            <v>149</v>
          </cell>
          <cell r="P141" t="str">
            <v>Menyet Elkamh</v>
          </cell>
        </row>
        <row r="142">
          <cell r="D142" t="str">
            <v>Ali Salem Ali</v>
          </cell>
        </row>
        <row r="142">
          <cell r="F142" t="str">
            <v>Mohamed Taha Mohamed</v>
          </cell>
          <cell r="G142" t="str">
            <v>Abd Elhameed Elshiekh</v>
          </cell>
          <cell r="H142" t="str">
            <v>Averocoxib Line</v>
          </cell>
          <cell r="I142" t="str">
            <v>DM_1002</v>
          </cell>
          <cell r="J142" t="str">
            <v>DM</v>
          </cell>
          <cell r="K142" t="str">
            <v>Delta</v>
          </cell>
          <cell r="L142">
            <v>1145736809</v>
          </cell>
          <cell r="M142">
            <v>45383</v>
          </cell>
          <cell r="N142" t="str">
            <v>Ali.Salem@averroes-eg.com</v>
          </cell>
          <cell r="O142">
            <v>1338</v>
          </cell>
          <cell r="P142" t="str">
            <v>diest</v>
          </cell>
        </row>
        <row r="143">
          <cell r="D143" t="str">
            <v>Amina Elsaied Hamdi Aboelfotoh</v>
          </cell>
          <cell r="E143" t="str">
            <v>Ali Salem Ali</v>
          </cell>
          <cell r="F143" t="str">
            <v>Mohamed Taha Mohamed</v>
          </cell>
          <cell r="G143" t="str">
            <v>Abd Elhameed Elshiekh</v>
          </cell>
          <cell r="H143" t="str">
            <v>Averocoxib Line</v>
          </cell>
          <cell r="I143" t="str">
            <v>Rep10043</v>
          </cell>
          <cell r="J143" t="str">
            <v>MR</v>
          </cell>
          <cell r="K143" t="str">
            <v>Delta</v>
          </cell>
          <cell r="L143">
            <v>1025345205</v>
          </cell>
          <cell r="M143">
            <v>45634</v>
          </cell>
        </row>
        <row r="143">
          <cell r="O143">
            <v>1470</v>
          </cell>
          <cell r="P143" t="str">
            <v>Aga</v>
          </cell>
        </row>
        <row r="144">
          <cell r="D144" t="str">
            <v>Aya Ali Younes</v>
          </cell>
          <cell r="E144" t="str">
            <v>Ali Salem Ali</v>
          </cell>
          <cell r="F144" t="str">
            <v>Mohamed Taha Mohamed</v>
          </cell>
          <cell r="G144" t="str">
            <v>Abd Elhameed Elshiekh</v>
          </cell>
          <cell r="H144" t="str">
            <v>Averocoxib Line</v>
          </cell>
          <cell r="I144" t="str">
            <v>Rep233</v>
          </cell>
          <cell r="J144" t="str">
            <v>MR</v>
          </cell>
          <cell r="K144" t="str">
            <v>Delta</v>
          </cell>
          <cell r="L144">
            <v>0</v>
          </cell>
          <cell r="M144">
            <v>44227</v>
          </cell>
        </row>
        <row r="144">
          <cell r="O144">
            <v>725</v>
          </cell>
          <cell r="P144" t="str">
            <v>Dekernes</v>
          </cell>
        </row>
        <row r="145">
          <cell r="D145" t="str">
            <v>Aya Elsaied Elbialy Ibrahem</v>
          </cell>
          <cell r="E145" t="str">
            <v>Ali Salem Ali</v>
          </cell>
          <cell r="F145" t="str">
            <v>Mohamed Taha Mohamed</v>
          </cell>
          <cell r="G145" t="str">
            <v>Abd Elhameed Elshiekh</v>
          </cell>
          <cell r="H145" t="str">
            <v>Averocoxib Line</v>
          </cell>
          <cell r="I145" t="str">
            <v>Rep_00103</v>
          </cell>
          <cell r="J145" t="str">
            <v>MR</v>
          </cell>
          <cell r="K145" t="str">
            <v>Delta</v>
          </cell>
          <cell r="L145">
            <v>1025739069</v>
          </cell>
          <cell r="M145">
            <v>45992</v>
          </cell>
        </row>
        <row r="145">
          <cell r="O145">
            <v>1805</v>
          </cell>
          <cell r="P145" t="str">
            <v>Domiat New</v>
          </cell>
        </row>
        <row r="146">
          <cell r="D146" t="str">
            <v>Fayza Mohamed Mohamed Eldesoky</v>
          </cell>
          <cell r="E146" t="str">
            <v>Ali Salem Ali</v>
          </cell>
          <cell r="F146" t="str">
            <v>Mohamed Taha Mohamed</v>
          </cell>
          <cell r="G146" t="str">
            <v>Abd Elhameed Elshiekh</v>
          </cell>
          <cell r="H146" t="str">
            <v>Averocoxib Line</v>
          </cell>
          <cell r="I146" t="str">
            <v>Rep_00154</v>
          </cell>
          <cell r="J146" t="str">
            <v>MR</v>
          </cell>
          <cell r="K146" t="str">
            <v>Delta</v>
          </cell>
          <cell r="L146">
            <v>1223148304</v>
          </cell>
          <cell r="M146">
            <v>46023</v>
          </cell>
        </row>
        <row r="146">
          <cell r="O146">
            <v>1824</v>
          </cell>
          <cell r="P146" t="str">
            <v>Port Saed</v>
          </cell>
        </row>
        <row r="147">
          <cell r="D147" t="str">
            <v>Hanan Mohamed Elshahat</v>
          </cell>
          <cell r="E147" t="str">
            <v>Ali Salem Ali</v>
          </cell>
          <cell r="F147" t="str">
            <v>Mohamed Taha Mohamed</v>
          </cell>
          <cell r="G147" t="str">
            <v>Abd Elhameed Elshiekh</v>
          </cell>
          <cell r="H147" t="str">
            <v>Averocoxib Line</v>
          </cell>
          <cell r="I147" t="str">
            <v>Rep_00104</v>
          </cell>
          <cell r="J147" t="str">
            <v>MR</v>
          </cell>
          <cell r="K147" t="str">
            <v>Delta</v>
          </cell>
          <cell r="L147">
            <v>1050977899</v>
          </cell>
          <cell r="M147">
            <v>45992</v>
          </cell>
        </row>
        <row r="147">
          <cell r="O147">
            <v>1806</v>
          </cell>
          <cell r="P147" t="str">
            <v>El Mansoura</v>
          </cell>
        </row>
        <row r="148">
          <cell r="D148" t="str">
            <v>Raghda Fayez Sadek Helal</v>
          </cell>
          <cell r="E148" t="str">
            <v>Ali Salem Ali</v>
          </cell>
          <cell r="F148" t="str">
            <v>Mohamed Taha Mohamed</v>
          </cell>
          <cell r="G148" t="str">
            <v>Abd Elhameed Elshiekh</v>
          </cell>
          <cell r="H148" t="str">
            <v>Averocoxib Line</v>
          </cell>
          <cell r="I148" t="str">
            <v>Rep968</v>
          </cell>
          <cell r="J148" t="str">
            <v>MR</v>
          </cell>
          <cell r="K148" t="str">
            <v>Delta</v>
          </cell>
          <cell r="L148">
            <v>1021798296</v>
          </cell>
          <cell r="M148">
            <v>45419</v>
          </cell>
        </row>
        <row r="148">
          <cell r="O148">
            <v>1356</v>
          </cell>
          <cell r="P148" t="str">
            <v>El Mansoura</v>
          </cell>
        </row>
        <row r="149">
          <cell r="D149" t="str">
            <v>L9_Vacant_Gharbia &amp; Minufia</v>
          </cell>
        </row>
        <row r="149">
          <cell r="F149" t="str">
            <v>Mohamed Taha Mohamed</v>
          </cell>
          <cell r="G149" t="str">
            <v>Abd Elhameed Elshiekh</v>
          </cell>
          <cell r="H149" t="str">
            <v>Averocoxib Line</v>
          </cell>
          <cell r="I149" t="str">
            <v>DM_0008</v>
          </cell>
          <cell r="J149" t="str">
            <v>DM</v>
          </cell>
          <cell r="K149" t="str">
            <v>Delta</v>
          </cell>
        </row>
        <row r="149">
          <cell r="O149">
            <v>0</v>
          </cell>
        </row>
        <row r="150">
          <cell r="D150" t="str">
            <v>Alaa Mohamed Rabiaa Mehrez</v>
          </cell>
          <cell r="E150" t="str">
            <v>L9_Vacant_Gharbia &amp; Minufia</v>
          </cell>
          <cell r="F150" t="str">
            <v>Mohamed Taha Mohamed</v>
          </cell>
          <cell r="G150" t="str">
            <v>Abd Elhameed Elshiekh</v>
          </cell>
          <cell r="H150" t="str">
            <v>Averocoxib Line</v>
          </cell>
          <cell r="I150" t="str">
            <v>Rep0022</v>
          </cell>
          <cell r="J150" t="str">
            <v>MR</v>
          </cell>
          <cell r="K150" t="str">
            <v>Delta</v>
          </cell>
          <cell r="L150">
            <v>1010647325</v>
          </cell>
          <cell r="M150">
            <v>45444</v>
          </cell>
        </row>
        <row r="150">
          <cell r="O150">
            <v>1373</v>
          </cell>
          <cell r="P150" t="str">
            <v>El Mahala El Kobra</v>
          </cell>
        </row>
        <row r="151">
          <cell r="D151" t="str">
            <v>Ammar Yasser Salah Shoaib</v>
          </cell>
          <cell r="E151" t="str">
            <v>L9_Vacant_Gharbia &amp; Minufia</v>
          </cell>
          <cell r="F151" t="str">
            <v>Mohamed Taha Mohamed</v>
          </cell>
          <cell r="G151" t="str">
            <v>Abd Elhameed Elshiekh</v>
          </cell>
          <cell r="H151" t="str">
            <v>Averocoxib Line</v>
          </cell>
          <cell r="I151" t="str">
            <v>AVR_45</v>
          </cell>
          <cell r="J151" t="str">
            <v>MR</v>
          </cell>
          <cell r="K151" t="str">
            <v>Delta</v>
          </cell>
          <cell r="L151">
            <v>1008728749</v>
          </cell>
          <cell r="M151">
            <v>45698</v>
          </cell>
        </row>
        <row r="151">
          <cell r="O151">
            <v>1537</v>
          </cell>
          <cell r="P151" t="str">
            <v>Shebien El Kom</v>
          </cell>
        </row>
        <row r="152">
          <cell r="D152" t="str">
            <v>Basma Atef teaima</v>
          </cell>
          <cell r="E152" t="str">
            <v>L9_Vacant_Gharbia &amp; Minufia</v>
          </cell>
          <cell r="F152" t="str">
            <v>Mohamed Taha Mohamed</v>
          </cell>
          <cell r="G152" t="str">
            <v>Abd Elhameed Elshiekh</v>
          </cell>
          <cell r="H152" t="str">
            <v>Averocoxib Line</v>
          </cell>
          <cell r="I152" t="str">
            <v>Rep554</v>
          </cell>
          <cell r="J152" t="str">
            <v>MR</v>
          </cell>
          <cell r="K152" t="str">
            <v>Delta</v>
          </cell>
          <cell r="L152" t="str">
            <v> 01158438120</v>
          </cell>
          <cell r="M152">
            <v>44927</v>
          </cell>
        </row>
        <row r="152">
          <cell r="O152">
            <v>1073</v>
          </cell>
          <cell r="P152" t="str">
            <v>Kafr El zayat</v>
          </cell>
        </row>
        <row r="153">
          <cell r="D153" t="str">
            <v>Kristen Atef Zaki Metry</v>
          </cell>
          <cell r="E153" t="str">
            <v>L9_Vacant_Gharbia &amp; Minufia</v>
          </cell>
          <cell r="F153" t="str">
            <v>Mohamed Taha Mohamed</v>
          </cell>
          <cell r="G153" t="str">
            <v>Abd Elhameed Elshiekh</v>
          </cell>
          <cell r="H153" t="str">
            <v>Averocoxib Line</v>
          </cell>
          <cell r="I153" t="str">
            <v>Rep10040</v>
          </cell>
          <cell r="J153" t="str">
            <v>MR</v>
          </cell>
          <cell r="K153" t="str">
            <v>Delta</v>
          </cell>
          <cell r="L153">
            <v>1206231103</v>
          </cell>
          <cell r="M153">
            <v>45601</v>
          </cell>
        </row>
        <row r="153">
          <cell r="O153">
            <v>1460</v>
          </cell>
          <cell r="P153" t="str">
            <v>Tanta City</v>
          </cell>
        </row>
        <row r="154">
          <cell r="D154" t="str">
            <v>Mariem Wafiek Rafaat</v>
          </cell>
          <cell r="E154" t="str">
            <v>L9_Vacant_Gharbia &amp; Minufia</v>
          </cell>
          <cell r="F154" t="str">
            <v>Mohamed Taha Mohamed</v>
          </cell>
          <cell r="G154" t="str">
            <v>Abd Elhameed Elshiekh</v>
          </cell>
          <cell r="H154" t="str">
            <v>Averocoxib Line</v>
          </cell>
          <cell r="I154" t="str">
            <v>Rep026</v>
          </cell>
          <cell r="J154" t="str">
            <v>MR</v>
          </cell>
          <cell r="K154" t="str">
            <v>Delta</v>
          </cell>
          <cell r="L154">
            <v>1100609661</v>
          </cell>
          <cell r="M154">
            <v>45206</v>
          </cell>
        </row>
        <row r="154">
          <cell r="O154">
            <v>1281</v>
          </cell>
          <cell r="P154" t="str">
            <v>Tanta City</v>
          </cell>
        </row>
        <row r="155">
          <cell r="D155" t="str">
            <v>Mayada Fawzy Mohamed</v>
          </cell>
          <cell r="E155" t="str">
            <v>L9_Vacant_Gharbia &amp; Minufia</v>
          </cell>
          <cell r="F155" t="str">
            <v>Mohamed Taha Mohamed</v>
          </cell>
          <cell r="G155" t="str">
            <v>Abd Elhameed Elshiekh</v>
          </cell>
          <cell r="H155" t="str">
            <v>Averocoxib Line</v>
          </cell>
          <cell r="I155" t="str">
            <v>Rep706</v>
          </cell>
          <cell r="J155" t="str">
            <v>MR</v>
          </cell>
          <cell r="K155" t="str">
            <v>Delta</v>
          </cell>
          <cell r="L155">
            <v>1062167578</v>
          </cell>
          <cell r="M155">
            <v>44962</v>
          </cell>
        </row>
        <row r="155">
          <cell r="O155">
            <v>1122</v>
          </cell>
          <cell r="P155" t="str">
            <v>Meleeg</v>
          </cell>
        </row>
        <row r="156">
          <cell r="D156" t="str">
            <v>Nada Adel Shawkat</v>
          </cell>
          <cell r="E156" t="str">
            <v>L9_Vacant_Gharbia &amp; Minufia</v>
          </cell>
          <cell r="F156" t="str">
            <v>Mohamed Taha Mohamed</v>
          </cell>
          <cell r="G156" t="str">
            <v>Abd Elhameed Elshiekh</v>
          </cell>
          <cell r="H156" t="str">
            <v>Averocoxib Line</v>
          </cell>
          <cell r="I156" t="str">
            <v>Rep893</v>
          </cell>
          <cell r="J156" t="str">
            <v>MR</v>
          </cell>
          <cell r="K156" t="str">
            <v>Delta</v>
          </cell>
          <cell r="L156">
            <v>1206828331</v>
          </cell>
          <cell r="M156">
            <v>45279</v>
          </cell>
        </row>
        <row r="156">
          <cell r="O156">
            <v>1317</v>
          </cell>
          <cell r="P156" t="str">
            <v>El Bagour</v>
          </cell>
        </row>
        <row r="157">
          <cell r="D157" t="str">
            <v>Salma Magdy Shaaban</v>
          </cell>
        </row>
        <row r="157">
          <cell r="F157" t="str">
            <v>Mohamed Taha Mohamed</v>
          </cell>
          <cell r="G157" t="str">
            <v>Abd Elhameed Elshiekh</v>
          </cell>
          <cell r="H157" t="str">
            <v>Averocoxib Line</v>
          </cell>
          <cell r="I157" t="str">
            <v>Rep163</v>
          </cell>
          <cell r="J157" t="str">
            <v>DM</v>
          </cell>
          <cell r="K157" t="str">
            <v>Delta</v>
          </cell>
          <cell r="L157">
            <v>1033823538</v>
          </cell>
          <cell r="M157">
            <v>44310</v>
          </cell>
          <cell r="N157" t="str">
            <v>Salma.Magdy.Shaaban@averroes-eg.com</v>
          </cell>
          <cell r="O157">
            <v>773</v>
          </cell>
          <cell r="P157" t="str">
            <v>El Zakazik City</v>
          </cell>
        </row>
        <row r="158">
          <cell r="D158" t="str">
            <v>Ahmed Ibrahem Saied</v>
          </cell>
          <cell r="E158" t="str">
            <v>Salma Magdy Shaaban</v>
          </cell>
          <cell r="F158" t="str">
            <v>Mohamed Taha Mohamed</v>
          </cell>
          <cell r="G158" t="str">
            <v>Abd Elhameed Elshiekh</v>
          </cell>
          <cell r="H158" t="str">
            <v>Averocoxib Line</v>
          </cell>
          <cell r="I158" t="str">
            <v>Rep1012</v>
          </cell>
          <cell r="J158" t="str">
            <v>MR</v>
          </cell>
          <cell r="K158" t="str">
            <v>Delta</v>
          </cell>
          <cell r="L158">
            <v>1068347745</v>
          </cell>
          <cell r="M158">
            <v>45752</v>
          </cell>
        </row>
        <row r="158">
          <cell r="O158">
            <v>1599</v>
          </cell>
          <cell r="P158" t="str">
            <v>Shebin elqanater</v>
          </cell>
        </row>
        <row r="159">
          <cell r="D159" t="str">
            <v>L9_Vacant_Sharkia 2</v>
          </cell>
          <cell r="E159" t="str">
            <v>Salma Magdy Shaaban</v>
          </cell>
          <cell r="F159" t="str">
            <v>Mohamed Taha Mohamed</v>
          </cell>
          <cell r="G159" t="str">
            <v>Abd Elhameed Elshiekh</v>
          </cell>
          <cell r="H159" t="str">
            <v>Averocoxib Line</v>
          </cell>
          <cell r="I159" t="str">
            <v>Rep975</v>
          </cell>
          <cell r="J159" t="str">
            <v>MR</v>
          </cell>
          <cell r="K159" t="str">
            <v>Delta</v>
          </cell>
        </row>
        <row r="159">
          <cell r="O159">
            <v>0</v>
          </cell>
        </row>
        <row r="160">
          <cell r="D160" t="str">
            <v>Esraa Mohamed Mohamed Abdallah</v>
          </cell>
          <cell r="E160" t="str">
            <v>Salma Magdy Shaaban</v>
          </cell>
          <cell r="F160" t="str">
            <v>Mohamed Taha Mohamed</v>
          </cell>
          <cell r="G160" t="str">
            <v>Abd Elhameed Elshiekh</v>
          </cell>
          <cell r="H160" t="str">
            <v>Averocoxib Line</v>
          </cell>
          <cell r="I160" t="str">
            <v>Rep557</v>
          </cell>
          <cell r="J160" t="str">
            <v>MR</v>
          </cell>
          <cell r="K160" t="str">
            <v>Delta</v>
          </cell>
          <cell r="L160" t="str">
            <v> 01032498890</v>
          </cell>
          <cell r="M160">
            <v>44927</v>
          </cell>
        </row>
        <row r="160">
          <cell r="O160">
            <v>1078</v>
          </cell>
          <cell r="P160" t="str">
            <v>Belbais</v>
          </cell>
        </row>
        <row r="161">
          <cell r="D161" t="str">
            <v>Lames Mahmoud Ahmed Dahmash</v>
          </cell>
          <cell r="E161" t="str">
            <v>Salma Magdy Shaaban</v>
          </cell>
          <cell r="F161" t="str">
            <v>Mohamed Taha Mohamed</v>
          </cell>
          <cell r="G161" t="str">
            <v>Abd Elhameed Elshiekh</v>
          </cell>
          <cell r="H161" t="str">
            <v>Averocoxib Line</v>
          </cell>
          <cell r="I161" t="str">
            <v>Rep559</v>
          </cell>
          <cell r="J161" t="str">
            <v>MR</v>
          </cell>
          <cell r="K161" t="str">
            <v>Delta</v>
          </cell>
          <cell r="L161" t="str">
            <v> 01019935605</v>
          </cell>
          <cell r="M161">
            <v>44927</v>
          </cell>
        </row>
        <row r="161">
          <cell r="O161">
            <v>1083</v>
          </cell>
          <cell r="P161" t="str">
            <v>El Ebrahemia</v>
          </cell>
        </row>
        <row r="162">
          <cell r="D162" t="str">
            <v>Mohamed Nader Mohamed</v>
          </cell>
          <cell r="E162" t="str">
            <v>Salma Magdy Shaaban</v>
          </cell>
          <cell r="F162" t="str">
            <v>Mohamed Taha Mohamed</v>
          </cell>
          <cell r="G162" t="str">
            <v>Abd Elhameed Elshiekh</v>
          </cell>
          <cell r="H162" t="str">
            <v>Averocoxib Line</v>
          </cell>
          <cell r="I162" t="str">
            <v>rep000017</v>
          </cell>
          <cell r="J162" t="str">
            <v>MR</v>
          </cell>
          <cell r="K162" t="str">
            <v>Delta</v>
          </cell>
          <cell r="L162">
            <v>1559985777</v>
          </cell>
          <cell r="M162">
            <v>45931</v>
          </cell>
        </row>
        <row r="162">
          <cell r="O162">
            <v>1759</v>
          </cell>
          <cell r="P162" t="str">
            <v>Dyarb Negm</v>
          </cell>
        </row>
        <row r="163">
          <cell r="D163" t="str">
            <v>Nora Maher Abdelaty</v>
          </cell>
          <cell r="E163" t="str">
            <v>Salma Magdy Shaaban</v>
          </cell>
          <cell r="F163" t="str">
            <v>Mohamed Taha Mohamed</v>
          </cell>
          <cell r="G163" t="str">
            <v>Abd Elhameed Elshiekh</v>
          </cell>
          <cell r="H163" t="str">
            <v>Averocoxib Line</v>
          </cell>
          <cell r="I163" t="str">
            <v>Rep24</v>
          </cell>
          <cell r="J163" t="str">
            <v>MR</v>
          </cell>
          <cell r="K163" t="str">
            <v>Delta</v>
          </cell>
          <cell r="L163" t="str">
            <v> 1014444130</v>
          </cell>
          <cell r="M163">
            <v>43171</v>
          </cell>
        </row>
        <row r="163">
          <cell r="O163">
            <v>229</v>
          </cell>
          <cell r="P163" t="str">
            <v>Banha - Atreeb</v>
          </cell>
        </row>
        <row r="164">
          <cell r="D164" t="str">
            <v>Osama AbdelHamid Hassan</v>
          </cell>
        </row>
        <row r="164">
          <cell r="G164" t="str">
            <v>Abd Elhameed Elshiekh</v>
          </cell>
          <cell r="H164" t="str">
            <v>Averocoxib Line</v>
          </cell>
          <cell r="I164" t="str">
            <v>ZM_30</v>
          </cell>
          <cell r="J164" t="str">
            <v>AM</v>
          </cell>
          <cell r="K164" t="str">
            <v>Upper Egypt</v>
          </cell>
          <cell r="L164" t="str">
            <v> 01092376231</v>
          </cell>
          <cell r="M164">
            <v>43170</v>
          </cell>
          <cell r="N164" t="str">
            <v>osama.abdelhamed@averroes-eg.com</v>
          </cell>
          <cell r="O164">
            <v>223</v>
          </cell>
          <cell r="P164" t="str">
            <v>Sohag city</v>
          </cell>
        </row>
        <row r="165">
          <cell r="D165" t="str">
            <v>Amr Ahmed Hafez Ahmed</v>
          </cell>
        </row>
        <row r="165">
          <cell r="F165" t="str">
            <v>Osama AbdelHamid Hassan</v>
          </cell>
          <cell r="G165" t="str">
            <v>Abd Elhameed Elshiekh</v>
          </cell>
          <cell r="H165" t="str">
            <v>Averocoxib Line</v>
          </cell>
          <cell r="I165" t="str">
            <v>Rep10079</v>
          </cell>
          <cell r="J165" t="str">
            <v>DM</v>
          </cell>
          <cell r="K165" t="str">
            <v>Upper Egypt</v>
          </cell>
          <cell r="L165">
            <v>1067675293</v>
          </cell>
          <cell r="M165">
            <v>45820</v>
          </cell>
          <cell r="N165" t="str">
            <v>Amr.Hafez@averroes-eg.com</v>
          </cell>
          <cell r="O165">
            <v>1690</v>
          </cell>
          <cell r="P165" t="str">
            <v>Malawy</v>
          </cell>
        </row>
        <row r="166">
          <cell r="D166" t="str">
            <v>Mona Mahmoud Mohamed Marwan</v>
          </cell>
          <cell r="E166" t="str">
            <v>Amr Ahmed Hafez Ahmed</v>
          </cell>
          <cell r="F166" t="str">
            <v>Osama AbdelHamid Hassan</v>
          </cell>
          <cell r="G166" t="str">
            <v>Abd Elhameed Elshiekh</v>
          </cell>
          <cell r="H166" t="str">
            <v>Averocoxib Line</v>
          </cell>
          <cell r="I166" t="str">
            <v>Rep1000012</v>
          </cell>
          <cell r="J166" t="str">
            <v>MR</v>
          </cell>
          <cell r="K166" t="str">
            <v>Upper Egypt</v>
          </cell>
          <cell r="L166">
            <v>1287288606</v>
          </cell>
          <cell r="M166">
            <v>46137</v>
          </cell>
        </row>
        <row r="166">
          <cell r="O166">
            <v>1945</v>
          </cell>
          <cell r="P166" t="str">
            <v>Samalout</v>
          </cell>
        </row>
        <row r="167">
          <cell r="D167" t="str">
            <v>Hadeer Khalid Ibrahim Abdelbaseer</v>
          </cell>
          <cell r="E167" t="str">
            <v>Amr Ahmed Hafez Ahmed</v>
          </cell>
          <cell r="F167" t="str">
            <v>Osama AbdelHamid Hassan</v>
          </cell>
          <cell r="G167" t="str">
            <v>Abd Elhameed Elshiekh</v>
          </cell>
          <cell r="H167" t="str">
            <v>Averocoxib Line</v>
          </cell>
          <cell r="I167" t="str">
            <v>Rep1000013</v>
          </cell>
          <cell r="J167" t="str">
            <v>MR</v>
          </cell>
          <cell r="K167" t="str">
            <v>Upper Egypt</v>
          </cell>
          <cell r="L167">
            <v>1095581583</v>
          </cell>
          <cell r="M167">
            <v>46123</v>
          </cell>
        </row>
        <row r="167">
          <cell r="O167">
            <v>1936</v>
          </cell>
          <cell r="P167" t="str">
            <v>El Menia City</v>
          </cell>
        </row>
        <row r="168">
          <cell r="D168" t="str">
            <v>Germin Eid Sedki Kamel</v>
          </cell>
          <cell r="E168" t="str">
            <v>Amr Ahmed Hafez Ahmed</v>
          </cell>
          <cell r="F168" t="str">
            <v>Osama AbdelHamid Hassan</v>
          </cell>
          <cell r="G168" t="str">
            <v>Abd Elhameed Elshiekh</v>
          </cell>
          <cell r="H168" t="str">
            <v>Averocoxib Line</v>
          </cell>
          <cell r="I168" t="str">
            <v>Rep1064</v>
          </cell>
          <cell r="J168" t="str">
            <v>MR</v>
          </cell>
          <cell r="K168" t="str">
            <v>Upper Egypt</v>
          </cell>
          <cell r="L168">
            <v>1221680259</v>
          </cell>
          <cell r="M168">
            <v>46021</v>
          </cell>
        </row>
        <row r="168">
          <cell r="O168">
            <v>1837</v>
          </cell>
          <cell r="P168" t="str">
            <v>Assuit City</v>
          </cell>
        </row>
        <row r="169">
          <cell r="D169" t="str">
            <v>Josfeen Emad Atef Morqous</v>
          </cell>
          <cell r="E169" t="str">
            <v>Amr Ahmed Hafez Ahmed</v>
          </cell>
          <cell r="F169" t="str">
            <v>Osama AbdelHamid Hassan</v>
          </cell>
          <cell r="G169" t="str">
            <v>Abd Elhameed Elshiekh</v>
          </cell>
          <cell r="H169" t="str">
            <v>Averocoxib Line</v>
          </cell>
          <cell r="I169" t="str">
            <v>AVR_139</v>
          </cell>
          <cell r="J169" t="str">
            <v>MR</v>
          </cell>
          <cell r="K169" t="str">
            <v>Upper Egypt</v>
          </cell>
          <cell r="L169">
            <v>1204846722</v>
          </cell>
          <cell r="M169">
            <v>45717</v>
          </cell>
        </row>
        <row r="169">
          <cell r="O169">
            <v>1587</v>
          </cell>
          <cell r="P169" t="str">
            <v>Abou Korkas</v>
          </cell>
        </row>
        <row r="170">
          <cell r="D170" t="str">
            <v>Kerolos Ashraf Fayek</v>
          </cell>
          <cell r="E170" t="str">
            <v>Amr Ahmed Hafez Ahmed</v>
          </cell>
          <cell r="F170" t="str">
            <v>Osama AbdelHamid Hassan</v>
          </cell>
          <cell r="G170" t="str">
            <v>Abd Elhameed Elshiekh</v>
          </cell>
          <cell r="H170" t="str">
            <v>Averocoxib Line</v>
          </cell>
          <cell r="I170" t="str">
            <v>Rep0026</v>
          </cell>
          <cell r="J170" t="str">
            <v>MR</v>
          </cell>
          <cell r="K170" t="str">
            <v>Upper Egypt</v>
          </cell>
          <cell r="L170">
            <v>1280552892</v>
          </cell>
          <cell r="M170">
            <v>45431</v>
          </cell>
        </row>
        <row r="170">
          <cell r="O170">
            <v>1366</v>
          </cell>
          <cell r="P170" t="str">
            <v>Manfalout</v>
          </cell>
        </row>
        <row r="171">
          <cell r="D171" t="str">
            <v>L9_Vacant_Banisuaif 1</v>
          </cell>
          <cell r="E171" t="str">
            <v>Amr Ahmed Hafez Ahmed</v>
          </cell>
          <cell r="F171" t="str">
            <v>Osama AbdelHamid Hassan</v>
          </cell>
          <cell r="G171" t="str">
            <v>Abd Elhameed Elshiekh</v>
          </cell>
          <cell r="H171" t="str">
            <v>Averocoxib Line</v>
          </cell>
          <cell r="I171" t="str">
            <v>Rep1065</v>
          </cell>
          <cell r="J171" t="str">
            <v>MR</v>
          </cell>
          <cell r="K171" t="str">
            <v>Upper Egypt</v>
          </cell>
        </row>
        <row r="171">
          <cell r="O171">
            <v>0</v>
          </cell>
        </row>
        <row r="172">
          <cell r="D172" t="str">
            <v>L9_Vacant_Banisuaif 2</v>
          </cell>
          <cell r="E172" t="str">
            <v>Amr Ahmed Hafez Ahmed</v>
          </cell>
          <cell r="F172" t="str">
            <v>Osama AbdelHamid Hassan</v>
          </cell>
          <cell r="G172" t="str">
            <v>Abd Elhameed Elshiekh</v>
          </cell>
          <cell r="H172" t="str">
            <v>Averocoxib Line</v>
          </cell>
          <cell r="I172" t="str">
            <v>Rep1000107</v>
          </cell>
          <cell r="J172" t="str">
            <v>MR</v>
          </cell>
          <cell r="K172" t="str">
            <v>Upper Egypt</v>
          </cell>
        </row>
        <row r="172">
          <cell r="O172">
            <v>0</v>
          </cell>
        </row>
        <row r="173">
          <cell r="D173" t="str">
            <v>Semon Magdy Nageib</v>
          </cell>
          <cell r="E173" t="str">
            <v>Amr Ahmed Hafez Ahmed</v>
          </cell>
          <cell r="F173" t="str">
            <v>Osama AbdelHamid Hassan</v>
          </cell>
          <cell r="G173" t="str">
            <v>Abd Elhameed Elshiekh</v>
          </cell>
          <cell r="H173" t="str">
            <v>Averocoxib Line</v>
          </cell>
          <cell r="I173" t="str">
            <v>Rep10080</v>
          </cell>
          <cell r="J173" t="str">
            <v>MR</v>
          </cell>
          <cell r="K173" t="str">
            <v>Upper Egypt</v>
          </cell>
          <cell r="L173">
            <v>1203043035</v>
          </cell>
          <cell r="M173">
            <v>45820</v>
          </cell>
        </row>
        <row r="173">
          <cell r="O173">
            <v>1691</v>
          </cell>
          <cell r="P173" t="str">
            <v>Sedfa</v>
          </cell>
        </row>
        <row r="174">
          <cell r="D174" t="str">
            <v>L9_Vacant DM Upper 2</v>
          </cell>
        </row>
        <row r="174">
          <cell r="F174" t="str">
            <v>Osama AbdelHamid Hassan</v>
          </cell>
          <cell r="G174" t="str">
            <v>Abd Elhameed Elshiekh</v>
          </cell>
          <cell r="H174" t="str">
            <v>Averocoxib Line</v>
          </cell>
          <cell r="I174" t="str">
            <v>DM1020</v>
          </cell>
          <cell r="J174" t="str">
            <v>DM</v>
          </cell>
          <cell r="K174" t="str">
            <v>Upper Egypt</v>
          </cell>
        </row>
        <row r="174">
          <cell r="O174">
            <v>0</v>
          </cell>
        </row>
        <row r="175">
          <cell r="D175" t="str">
            <v>Abanoub Bashawat Morice Gied</v>
          </cell>
          <cell r="E175" t="str">
            <v>L9_Vacant DM Upper 2</v>
          </cell>
          <cell r="F175" t="str">
            <v>Osama AbdelHamid Hassan</v>
          </cell>
          <cell r="G175" t="str">
            <v>Abd Elhameed Elshiekh</v>
          </cell>
          <cell r="H175" t="str">
            <v>Averocoxib Line</v>
          </cell>
          <cell r="I175" t="str">
            <v>Rep535</v>
          </cell>
          <cell r="J175" t="str">
            <v>MR</v>
          </cell>
          <cell r="K175" t="str">
            <v>Upper Egypt</v>
          </cell>
          <cell r="L175" t="str">
            <v> 01015052727</v>
          </cell>
          <cell r="M175">
            <v>44927</v>
          </cell>
        </row>
        <row r="175">
          <cell r="O175">
            <v>1098</v>
          </cell>
          <cell r="P175" t="str">
            <v>Gerga</v>
          </cell>
        </row>
        <row r="176">
          <cell r="D176" t="str">
            <v>Kerolos Nasser El-Kattan Adl</v>
          </cell>
          <cell r="E176" t="str">
            <v>L9_Vacant DM Upper 2</v>
          </cell>
          <cell r="F176" t="str">
            <v>Osama AbdelHamid Hassan</v>
          </cell>
          <cell r="G176" t="str">
            <v>Abd Elhameed Elshiekh</v>
          </cell>
          <cell r="H176" t="str">
            <v>Averocoxib Line</v>
          </cell>
          <cell r="I176" t="str">
            <v>Rep976</v>
          </cell>
          <cell r="J176" t="str">
            <v>MR</v>
          </cell>
          <cell r="K176" t="str">
            <v>Upper Egypt</v>
          </cell>
          <cell r="L176">
            <v>1229718344</v>
          </cell>
          <cell r="M176">
            <v>45403</v>
          </cell>
        </row>
        <row r="176">
          <cell r="O176">
            <v>1340</v>
          </cell>
          <cell r="P176" t="str">
            <v>Sohag City</v>
          </cell>
        </row>
        <row r="177">
          <cell r="D177" t="str">
            <v>Adrosis Shenouda Fouad Nakhla</v>
          </cell>
          <cell r="E177" t="str">
            <v>L9_Vacant DM Upper 2</v>
          </cell>
          <cell r="F177" t="str">
            <v>Osama AbdelHamid Hassan</v>
          </cell>
          <cell r="G177" t="str">
            <v>Abd Elhameed Elshiekh</v>
          </cell>
          <cell r="H177" t="str">
            <v>Averocoxib Line</v>
          </cell>
          <cell r="I177" t="str">
            <v>Rep1058</v>
          </cell>
          <cell r="J177" t="str">
            <v>MR</v>
          </cell>
          <cell r="K177" t="str">
            <v>Upper Egypt</v>
          </cell>
          <cell r="L177">
            <v>1283028678</v>
          </cell>
          <cell r="M177">
            <v>46116</v>
          </cell>
        </row>
        <row r="177">
          <cell r="O177">
            <v>1930</v>
          </cell>
          <cell r="P177" t="str">
            <v>Tahta</v>
          </cell>
        </row>
        <row r="178">
          <cell r="D178" t="str">
            <v>Mahmoud Abdelnaseer Ahmed</v>
          </cell>
          <cell r="E178" t="str">
            <v>L9_Vacant DM Upper 2</v>
          </cell>
          <cell r="F178" t="str">
            <v>Osama AbdelHamid Hassan</v>
          </cell>
          <cell r="G178" t="str">
            <v>Abd Elhameed Elshiekh</v>
          </cell>
          <cell r="H178" t="str">
            <v>Averocoxib Line</v>
          </cell>
          <cell r="I178" t="str">
            <v>Rep897</v>
          </cell>
          <cell r="J178" t="str">
            <v>MR</v>
          </cell>
          <cell r="K178" t="str">
            <v>Upper Egypt</v>
          </cell>
          <cell r="L178">
            <v>1000583597</v>
          </cell>
          <cell r="M178">
            <v>45304</v>
          </cell>
        </row>
        <row r="178">
          <cell r="O178">
            <v>1325</v>
          </cell>
          <cell r="P178" t="str">
            <v>Nagaa Hamady</v>
          </cell>
        </row>
        <row r="179">
          <cell r="D179" t="str">
            <v>Mahmoud Mohamed Abbas</v>
          </cell>
          <cell r="E179" t="str">
            <v>L9_Vacant DM Upper 2</v>
          </cell>
          <cell r="F179" t="str">
            <v>Osama AbdelHamid Hassan</v>
          </cell>
          <cell r="G179" t="str">
            <v>Abd Elhameed Elshiekh</v>
          </cell>
          <cell r="H179" t="str">
            <v>Averocoxib Line</v>
          </cell>
          <cell r="I179" t="str">
            <v>Rep10062</v>
          </cell>
          <cell r="J179" t="str">
            <v>MR</v>
          </cell>
          <cell r="K179" t="str">
            <v>Upper Egypt</v>
          </cell>
          <cell r="L179">
            <v>1096655515</v>
          </cell>
          <cell r="M179">
            <v>45703</v>
          </cell>
        </row>
        <row r="179">
          <cell r="O179">
            <v>1548</v>
          </cell>
          <cell r="P179" t="str">
            <v>Hurgada</v>
          </cell>
        </row>
        <row r="180">
          <cell r="D180" t="str">
            <v>Merna Atef Zaky Romany</v>
          </cell>
          <cell r="E180" t="str">
            <v>L9_Vacant DM Upper 2</v>
          </cell>
          <cell r="F180" t="str">
            <v>Osama AbdelHamid Hassan</v>
          </cell>
          <cell r="G180" t="str">
            <v>Abd Elhameed Elshiekh</v>
          </cell>
          <cell r="H180" t="str">
            <v>Averocoxib Line</v>
          </cell>
          <cell r="I180" t="str">
            <v>Rep537</v>
          </cell>
          <cell r="J180" t="str">
            <v>MR</v>
          </cell>
          <cell r="K180" t="str">
            <v>Upper Egypt</v>
          </cell>
          <cell r="L180" t="str">
            <v> 01288819031</v>
          </cell>
          <cell r="M180">
            <v>44927</v>
          </cell>
        </row>
        <row r="180">
          <cell r="O180">
            <v>1100</v>
          </cell>
          <cell r="P180" t="str">
            <v>Aswan City</v>
          </cell>
        </row>
        <row r="181">
          <cell r="D181" t="str">
            <v>Michael Ibrahim Samy Kedis</v>
          </cell>
          <cell r="E181" t="str">
            <v>L9_Vacant DM Upper 2</v>
          </cell>
          <cell r="F181" t="str">
            <v>Osama AbdelHamid Hassan</v>
          </cell>
          <cell r="G181" t="str">
            <v>Abd Elhameed Elshiekh</v>
          </cell>
          <cell r="H181" t="str">
            <v>Averocoxib Line</v>
          </cell>
          <cell r="I181" t="str">
            <v>Rep536</v>
          </cell>
          <cell r="J181" t="str">
            <v>MR</v>
          </cell>
          <cell r="K181" t="str">
            <v>Upper Egypt</v>
          </cell>
          <cell r="L181" t="str">
            <v> 01287794953</v>
          </cell>
          <cell r="M181">
            <v>44935</v>
          </cell>
        </row>
        <row r="181">
          <cell r="O181">
            <v>1106</v>
          </cell>
          <cell r="P181" t="str">
            <v>Armant</v>
          </cell>
        </row>
        <row r="182">
          <cell r="D182" t="str">
            <v>L9_Vacant_Qena</v>
          </cell>
          <cell r="E182" t="str">
            <v>L9_Vacant DM Upper 2</v>
          </cell>
          <cell r="F182" t="str">
            <v>Osama AbdelHamid Hassan</v>
          </cell>
          <cell r="G182" t="str">
            <v>Abd Elhameed Elshiekh</v>
          </cell>
          <cell r="H182" t="str">
            <v>Averocoxib Line</v>
          </cell>
          <cell r="I182" t="str">
            <v>Rep10002</v>
          </cell>
          <cell r="J182" t="str">
            <v>MR</v>
          </cell>
          <cell r="K182" t="str">
            <v>Upper Egypt</v>
          </cell>
        </row>
        <row r="182">
          <cell r="O182">
            <v>0</v>
          </cell>
        </row>
        <row r="183">
          <cell r="D183" t="str">
            <v>Saleh Ahmed Saleh</v>
          </cell>
        </row>
        <row r="183">
          <cell r="G183" t="str">
            <v>Ibrahim Ammar</v>
          </cell>
          <cell r="H183" t="str">
            <v>Fulprazal Line</v>
          </cell>
          <cell r="I183" t="str">
            <v>AVR_99</v>
          </cell>
          <cell r="J183" t="str">
            <v>AM</v>
          </cell>
          <cell r="K183" t="str">
            <v>Cairo</v>
          </cell>
          <cell r="L183">
            <v>1064782445</v>
          </cell>
          <cell r="M183">
            <v>43864</v>
          </cell>
          <cell r="N183" t="str">
            <v>saleh.ahmed@averroes-eg.com</v>
          </cell>
          <cell r="O183">
            <v>598</v>
          </cell>
          <cell r="P183" t="str">
            <v>EL KHANKA</v>
          </cell>
        </row>
        <row r="184">
          <cell r="D184" t="str">
            <v>Ali Kamal Mohamed</v>
          </cell>
        </row>
        <row r="184">
          <cell r="F184" t="str">
            <v>Saleh Ahmed Saleh</v>
          </cell>
          <cell r="G184" t="str">
            <v>Ibrahim Ammar</v>
          </cell>
          <cell r="H184" t="str">
            <v>Fulprazal Line</v>
          </cell>
          <cell r="I184" t="str">
            <v>DM_0009</v>
          </cell>
          <cell r="J184" t="str">
            <v>DM</v>
          </cell>
          <cell r="K184" t="str">
            <v>Cairo</v>
          </cell>
          <cell r="L184">
            <v>1020993066</v>
          </cell>
          <cell r="M184">
            <v>46065</v>
          </cell>
          <cell r="N184" t="str">
            <v>Ali.Kamal.Mohamed@averroes-eg.com</v>
          </cell>
          <cell r="O184">
            <v>1870</v>
          </cell>
          <cell r="P184" t="str">
            <v>El Mokattam</v>
          </cell>
        </row>
        <row r="185">
          <cell r="D185" t="str">
            <v>Ahmed Mohamed Elfarghaly</v>
          </cell>
          <cell r="E185" t="str">
            <v>Ali Kamal Mohamed</v>
          </cell>
          <cell r="F185" t="str">
            <v>Saleh Ahmed Saleh</v>
          </cell>
          <cell r="G185" t="str">
            <v>Ibrahim Ammar</v>
          </cell>
          <cell r="H185" t="str">
            <v>Fulprazal Line</v>
          </cell>
          <cell r="I185" t="str">
            <v>Rep1094</v>
          </cell>
          <cell r="J185" t="str">
            <v>MR</v>
          </cell>
          <cell r="K185" t="str">
            <v>Cairo</v>
          </cell>
          <cell r="L185">
            <v>1146343694</v>
          </cell>
          <cell r="M185">
            <v>45866</v>
          </cell>
        </row>
        <row r="185">
          <cell r="O185">
            <v>1727</v>
          </cell>
          <cell r="P185" t="str">
            <v>Helwan</v>
          </cell>
        </row>
        <row r="186">
          <cell r="D186" t="str">
            <v>Ahmed Mohamed Hashem</v>
          </cell>
          <cell r="E186" t="str">
            <v>Ali Kamal Mohamed</v>
          </cell>
          <cell r="F186" t="str">
            <v>Saleh Ahmed Saleh</v>
          </cell>
          <cell r="G186" t="str">
            <v>Ibrahim Ammar</v>
          </cell>
          <cell r="H186" t="str">
            <v>Fulprazal Line</v>
          </cell>
          <cell r="I186" t="str">
            <v>Rep989</v>
          </cell>
          <cell r="J186" t="str">
            <v>MR</v>
          </cell>
          <cell r="K186" t="str">
            <v>Cairo</v>
          </cell>
          <cell r="L186">
            <v>1156326788</v>
          </cell>
          <cell r="M186">
            <v>45423</v>
          </cell>
        </row>
        <row r="186">
          <cell r="O186">
            <v>1357</v>
          </cell>
          <cell r="P186" t="str">
            <v>Shobra El Khiema</v>
          </cell>
        </row>
        <row r="187">
          <cell r="D187" t="str">
            <v>Cathrena Adel Malky</v>
          </cell>
          <cell r="E187" t="str">
            <v>Ali Kamal Mohamed</v>
          </cell>
          <cell r="F187" t="str">
            <v>Saleh Ahmed Saleh</v>
          </cell>
          <cell r="G187" t="str">
            <v>Ibrahim Ammar</v>
          </cell>
          <cell r="H187" t="str">
            <v>Fulprazal Line</v>
          </cell>
          <cell r="I187" t="str">
            <v>AVR_17</v>
          </cell>
          <cell r="J187" t="str">
            <v>MR</v>
          </cell>
          <cell r="K187" t="str">
            <v>Cairo</v>
          </cell>
          <cell r="L187">
            <v>1278728885</v>
          </cell>
          <cell r="M187">
            <v>45689</v>
          </cell>
        </row>
        <row r="187">
          <cell r="O187">
            <v>1516</v>
          </cell>
          <cell r="P187" t="str">
            <v>Suez</v>
          </cell>
        </row>
        <row r="188">
          <cell r="D188" t="str">
            <v>Ganna Hamdy Mohammed</v>
          </cell>
          <cell r="E188" t="str">
            <v>Ali Kamal Mohamed</v>
          </cell>
          <cell r="F188" t="str">
            <v>Saleh Ahmed Saleh</v>
          </cell>
          <cell r="G188" t="str">
            <v>Ibrahim Ammar</v>
          </cell>
          <cell r="H188" t="str">
            <v>Fulprazal Line</v>
          </cell>
          <cell r="I188" t="str">
            <v>Rep100007</v>
          </cell>
          <cell r="J188" t="str">
            <v>MR</v>
          </cell>
          <cell r="K188" t="str">
            <v>Cairo</v>
          </cell>
          <cell r="L188">
            <v>1140083383</v>
          </cell>
          <cell r="M188">
            <v>45920</v>
          </cell>
        </row>
        <row r="188">
          <cell r="O188">
            <v>1752</v>
          </cell>
          <cell r="P188" t="str">
            <v>Rod Elfarag</v>
          </cell>
        </row>
        <row r="189">
          <cell r="D189" t="str">
            <v>Milad Carter Attia</v>
          </cell>
          <cell r="E189" t="str">
            <v>Ali Kamal Mohamed</v>
          </cell>
          <cell r="F189" t="str">
            <v>Saleh Ahmed Saleh</v>
          </cell>
          <cell r="G189" t="str">
            <v>Ibrahim Ammar</v>
          </cell>
          <cell r="H189" t="str">
            <v>Fulprazal Line</v>
          </cell>
          <cell r="I189" t="str">
            <v>Rep1048</v>
          </cell>
          <cell r="J189" t="str">
            <v>MR</v>
          </cell>
          <cell r="K189" t="str">
            <v>Cairo</v>
          </cell>
          <cell r="L189">
            <v>1222642062</v>
          </cell>
          <cell r="M189">
            <v>46046</v>
          </cell>
        </row>
        <row r="189">
          <cell r="O189">
            <v>1843</v>
          </cell>
          <cell r="P189" t="str">
            <v>Masr ElQadiama</v>
          </cell>
        </row>
        <row r="190">
          <cell r="D190" t="str">
            <v>Merna Nasr Massoud</v>
          </cell>
          <cell r="E190" t="str">
            <v>Ali Kamal Mohamed</v>
          </cell>
          <cell r="F190" t="str">
            <v>Saleh Ahmed Saleh</v>
          </cell>
          <cell r="G190" t="str">
            <v>Ibrahim Ammar</v>
          </cell>
          <cell r="H190" t="str">
            <v>Fulprazal Line</v>
          </cell>
          <cell r="I190" t="str">
            <v>Rep100121</v>
          </cell>
          <cell r="J190" t="str">
            <v>MR</v>
          </cell>
          <cell r="K190" t="str">
            <v>Cairo</v>
          </cell>
          <cell r="L190">
            <v>1204293521</v>
          </cell>
          <cell r="M190">
            <v>45769</v>
          </cell>
        </row>
        <row r="190">
          <cell r="O190">
            <v>1616</v>
          </cell>
          <cell r="P190" t="str">
            <v>El Maadi El Gedeeda</v>
          </cell>
        </row>
        <row r="191">
          <cell r="D191" t="str">
            <v>Marina Mourad Roshdy</v>
          </cell>
        </row>
        <row r="191">
          <cell r="F191" t="str">
            <v>Saleh Ahmed Saleh</v>
          </cell>
          <cell r="G191" t="str">
            <v>Ibrahim Ammar</v>
          </cell>
          <cell r="H191" t="str">
            <v>Fulprazal Line</v>
          </cell>
          <cell r="I191" t="str">
            <v>Rep516</v>
          </cell>
          <cell r="J191" t="str">
            <v>DM</v>
          </cell>
          <cell r="K191" t="str">
            <v>Cairo</v>
          </cell>
          <cell r="L191">
            <v>1202232402</v>
          </cell>
          <cell r="M191">
            <v>44870</v>
          </cell>
          <cell r="N191" t="str">
            <v>Marina.Mourad.Roshdy@averroes-eg.com</v>
          </cell>
          <cell r="O191">
            <v>1018</v>
          </cell>
          <cell r="P191" t="str">
            <v>El Marg</v>
          </cell>
        </row>
        <row r="192">
          <cell r="D192" t="str">
            <v>L2_Vacant_Nasr City</v>
          </cell>
          <cell r="E192" t="str">
            <v>Marina Mourad Roshdy</v>
          </cell>
          <cell r="F192" t="str">
            <v>Saleh Ahmed Saleh</v>
          </cell>
          <cell r="G192" t="str">
            <v>Ibrahim Ammar</v>
          </cell>
          <cell r="H192" t="str">
            <v>Fulprazal Line</v>
          </cell>
          <cell r="I192" t="str">
            <v>Rep100112</v>
          </cell>
          <cell r="J192" t="str">
            <v>MR</v>
          </cell>
          <cell r="K192" t="str">
            <v>Cairo</v>
          </cell>
        </row>
        <row r="192">
          <cell r="O192">
            <v>0</v>
          </cell>
        </row>
        <row r="193">
          <cell r="D193" t="str">
            <v>Marwa Osama Mohammed</v>
          </cell>
          <cell r="E193" t="str">
            <v>Marina Mourad Roshdy</v>
          </cell>
          <cell r="F193" t="str">
            <v>Saleh Ahmed Saleh</v>
          </cell>
          <cell r="G193" t="str">
            <v>Ibrahim Ammar</v>
          </cell>
          <cell r="H193" t="str">
            <v>Fulprazal Line</v>
          </cell>
          <cell r="I193" t="str">
            <v>Rep10017</v>
          </cell>
          <cell r="J193" t="str">
            <v>MR</v>
          </cell>
          <cell r="K193" t="str">
            <v>Cairo</v>
          </cell>
          <cell r="L193">
            <v>1099487754</v>
          </cell>
          <cell r="M193">
            <v>46117</v>
          </cell>
        </row>
        <row r="193">
          <cell r="O193">
            <v>1924</v>
          </cell>
          <cell r="P193" t="str">
            <v>Hadaek El Kobbah</v>
          </cell>
        </row>
        <row r="194">
          <cell r="D194" t="str">
            <v>Mohammed Yasser Masood Mohammed</v>
          </cell>
          <cell r="E194" t="str">
            <v>Marina Mourad Roshdy</v>
          </cell>
          <cell r="F194" t="str">
            <v>Saleh Ahmed Saleh</v>
          </cell>
          <cell r="G194" t="str">
            <v>Ibrahim Ammar</v>
          </cell>
          <cell r="H194" t="str">
            <v>Fulprazal Line</v>
          </cell>
          <cell r="I194" t="str">
            <v>Rep1049</v>
          </cell>
          <cell r="J194" t="str">
            <v>MR</v>
          </cell>
          <cell r="K194" t="str">
            <v>Cairo</v>
          </cell>
          <cell r="L194">
            <v>1121224754</v>
          </cell>
          <cell r="M194">
            <v>46113</v>
          </cell>
        </row>
        <row r="194">
          <cell r="O194">
            <v>1919</v>
          </cell>
          <cell r="P194" t="str">
            <v>El Marg</v>
          </cell>
        </row>
        <row r="195">
          <cell r="D195" t="str">
            <v>Mina Mamdouh Rady Youssef</v>
          </cell>
          <cell r="E195" t="str">
            <v>Marina Mourad Roshdy</v>
          </cell>
          <cell r="F195" t="str">
            <v>Saleh Ahmed Saleh</v>
          </cell>
          <cell r="G195" t="str">
            <v>Ibrahim Ammar</v>
          </cell>
          <cell r="H195" t="str">
            <v>Fulprazal Line</v>
          </cell>
          <cell r="I195" t="str">
            <v>Rep1050</v>
          </cell>
          <cell r="J195" t="str">
            <v>MR</v>
          </cell>
          <cell r="K195" t="str">
            <v>Cairo</v>
          </cell>
          <cell r="L195">
            <v>1226400745</v>
          </cell>
          <cell r="M195">
            <v>46113</v>
          </cell>
        </row>
        <row r="195">
          <cell r="O195">
            <v>1910</v>
          </cell>
          <cell r="P195" t="str">
            <v>El Zaytoun</v>
          </cell>
        </row>
        <row r="196">
          <cell r="D196" t="str">
            <v>Mariam Waleed Salem</v>
          </cell>
          <cell r="E196" t="str">
            <v>Marina Mourad Roshdy</v>
          </cell>
          <cell r="F196" t="str">
            <v>Saleh Ahmed Saleh</v>
          </cell>
          <cell r="G196" t="str">
            <v>Ibrahim Ammar</v>
          </cell>
          <cell r="H196" t="str">
            <v>Fulprazal Line</v>
          </cell>
          <cell r="I196" t="str">
            <v>Rep_00095</v>
          </cell>
          <cell r="J196" t="str">
            <v>MR</v>
          </cell>
          <cell r="K196" t="str">
            <v>Cairo</v>
          </cell>
          <cell r="L196">
            <v>1140938457</v>
          </cell>
          <cell r="M196">
            <v>45962</v>
          </cell>
        </row>
        <row r="196">
          <cell r="O196">
            <v>1794</v>
          </cell>
          <cell r="P196" t="str">
            <v>EL KHANKA</v>
          </cell>
        </row>
        <row r="197">
          <cell r="D197" t="str">
            <v>Mohamed Hossam Hussein</v>
          </cell>
          <cell r="E197" t="str">
            <v>Marina Mourad Roshdy</v>
          </cell>
          <cell r="F197" t="str">
            <v>Saleh Ahmed Saleh</v>
          </cell>
          <cell r="G197" t="str">
            <v>Ibrahim Ammar</v>
          </cell>
          <cell r="H197" t="str">
            <v>Fulprazal Line</v>
          </cell>
          <cell r="I197" t="str">
            <v>Rep10105</v>
          </cell>
          <cell r="J197" t="str">
            <v>MR</v>
          </cell>
          <cell r="K197" t="str">
            <v>Cairo</v>
          </cell>
          <cell r="L197">
            <v>1559462246</v>
          </cell>
          <cell r="M197">
            <v>45885</v>
          </cell>
        </row>
        <row r="197">
          <cell r="O197">
            <v>1732</v>
          </cell>
          <cell r="P197" t="str">
            <v>El Sharabeya</v>
          </cell>
        </row>
        <row r="198">
          <cell r="D198" t="str">
            <v>Toka Mahmoud Mohamed</v>
          </cell>
          <cell r="E198" t="str">
            <v>Marina Mourad Roshdy</v>
          </cell>
          <cell r="F198" t="str">
            <v>Saleh Ahmed Saleh</v>
          </cell>
          <cell r="G198" t="str">
            <v>Ibrahim Ammar</v>
          </cell>
          <cell r="H198" t="str">
            <v>Fulprazal Line</v>
          </cell>
          <cell r="I198" t="str">
            <v>Rep0071</v>
          </cell>
          <cell r="J198" t="str">
            <v>MR</v>
          </cell>
          <cell r="K198" t="str">
            <v>Cairo</v>
          </cell>
          <cell r="L198">
            <v>1205748726</v>
          </cell>
          <cell r="M198">
            <v>45627</v>
          </cell>
        </row>
        <row r="198">
          <cell r="O198">
            <v>1466</v>
          </cell>
          <cell r="P198" t="str">
            <v>Ismaelia City</v>
          </cell>
        </row>
        <row r="199">
          <cell r="D199" t="str">
            <v>Walaa Samy Mohamed</v>
          </cell>
        </row>
        <row r="199">
          <cell r="F199" t="str">
            <v>Saleh Ahmed Saleh</v>
          </cell>
          <cell r="G199" t="str">
            <v>Ibrahim Ammar</v>
          </cell>
          <cell r="H199" t="str">
            <v>Fulprazal Line</v>
          </cell>
          <cell r="I199" t="str">
            <v>Rep810</v>
          </cell>
          <cell r="J199" t="str">
            <v>DM</v>
          </cell>
          <cell r="K199" t="str">
            <v>Cairo</v>
          </cell>
          <cell r="L199">
            <v>1154772559</v>
          </cell>
          <cell r="M199">
            <v>45143</v>
          </cell>
          <cell r="N199" t="str">
            <v>Walaa.Samy.Mohamed@averroes-eg.com</v>
          </cell>
          <cell r="O199">
            <v>1246</v>
          </cell>
          <cell r="P199" t="str">
            <v>Faisal</v>
          </cell>
        </row>
        <row r="200">
          <cell r="D200" t="str">
            <v>Esraa Ashraf Abdelhamid Said</v>
          </cell>
          <cell r="E200" t="str">
            <v>Walaa Samy Mohamed</v>
          </cell>
          <cell r="F200" t="str">
            <v>Saleh Ahmed Saleh</v>
          </cell>
          <cell r="G200" t="str">
            <v>Ibrahim Ammar</v>
          </cell>
          <cell r="H200" t="str">
            <v>Fulprazal Line</v>
          </cell>
          <cell r="I200" t="str">
            <v>Rep1051</v>
          </cell>
          <cell r="J200" t="str">
            <v>MR</v>
          </cell>
          <cell r="K200" t="str">
            <v>Cairo</v>
          </cell>
          <cell r="L200">
            <v>1119470945</v>
          </cell>
          <cell r="M200">
            <v>46143</v>
          </cell>
        </row>
        <row r="200">
          <cell r="O200">
            <v>1949</v>
          </cell>
          <cell r="P200" t="str">
            <v>El Kawmia</v>
          </cell>
        </row>
        <row r="201">
          <cell r="D201" t="str">
            <v>Rana Fathy Mahmoud Abdelatif</v>
          </cell>
          <cell r="E201" t="str">
            <v>Walaa Samy Mohamed</v>
          </cell>
          <cell r="F201" t="str">
            <v>Saleh Ahmed Saleh</v>
          </cell>
          <cell r="G201" t="str">
            <v>Ibrahim Ammar</v>
          </cell>
          <cell r="H201" t="str">
            <v>Fulprazal Line</v>
          </cell>
          <cell r="I201" t="str">
            <v>Rep903</v>
          </cell>
          <cell r="J201" t="str">
            <v>MR</v>
          </cell>
          <cell r="K201" t="str">
            <v>Cairo</v>
          </cell>
          <cell r="L201">
            <v>1111958205</v>
          </cell>
          <cell r="M201">
            <v>46113</v>
          </cell>
        </row>
        <row r="201">
          <cell r="O201">
            <v>1921</v>
          </cell>
          <cell r="P201" t="str">
            <v>El Haram</v>
          </cell>
        </row>
        <row r="202">
          <cell r="D202" t="str">
            <v>Marwan Saed Kamel Ahmed</v>
          </cell>
          <cell r="E202" t="str">
            <v>Walaa Samy Mohamed</v>
          </cell>
          <cell r="F202" t="str">
            <v>Saleh Ahmed Saleh</v>
          </cell>
          <cell r="G202" t="str">
            <v>Ibrahim Ammar</v>
          </cell>
          <cell r="H202" t="str">
            <v>Fulprazal Line</v>
          </cell>
          <cell r="I202" t="str">
            <v>Rep936</v>
          </cell>
          <cell r="J202" t="str">
            <v>MR</v>
          </cell>
          <cell r="K202" t="str">
            <v>Cairo</v>
          </cell>
          <cell r="L202">
            <v>1098535275</v>
          </cell>
          <cell r="M202">
            <v>46113</v>
          </cell>
        </row>
        <row r="202">
          <cell r="O202">
            <v>1918</v>
          </cell>
          <cell r="P202" t="str">
            <v>Fayoum City</v>
          </cell>
        </row>
        <row r="203">
          <cell r="D203" t="str">
            <v>L2_Vacant_October</v>
          </cell>
          <cell r="E203" t="str">
            <v>Walaa Samy Mohamed</v>
          </cell>
          <cell r="F203" t="str">
            <v>Saleh Ahmed Saleh</v>
          </cell>
          <cell r="G203" t="str">
            <v>Ibrahim Ammar</v>
          </cell>
          <cell r="H203" t="str">
            <v>Fulprazal Line</v>
          </cell>
          <cell r="I203" t="str">
            <v>Rep1054</v>
          </cell>
          <cell r="J203" t="str">
            <v>MR</v>
          </cell>
          <cell r="K203" t="str">
            <v>Cairo</v>
          </cell>
        </row>
        <row r="203">
          <cell r="O203">
            <v>0</v>
          </cell>
        </row>
        <row r="204">
          <cell r="D204" t="str">
            <v>Mariam Mikhail shafeek</v>
          </cell>
          <cell r="E204" t="str">
            <v>Walaa Samy Mohamed</v>
          </cell>
          <cell r="F204" t="str">
            <v>Saleh Ahmed Saleh</v>
          </cell>
          <cell r="G204" t="str">
            <v>Ibrahim Ammar</v>
          </cell>
          <cell r="H204" t="str">
            <v>Fulprazal Line</v>
          </cell>
          <cell r="I204" t="str">
            <v>rep000029</v>
          </cell>
          <cell r="J204" t="str">
            <v>MR</v>
          </cell>
          <cell r="K204" t="str">
            <v>Cairo</v>
          </cell>
          <cell r="L204">
            <v>1126216801</v>
          </cell>
          <cell r="M204">
            <v>45934</v>
          </cell>
        </row>
        <row r="204">
          <cell r="O204">
            <v>1767</v>
          </cell>
          <cell r="P204" t="str">
            <v>Haram</v>
          </cell>
        </row>
        <row r="205">
          <cell r="D205" t="str">
            <v>Radwa Waleed Hamdy</v>
          </cell>
          <cell r="E205" t="str">
            <v>Walaa Samy Mohamed</v>
          </cell>
          <cell r="F205" t="str">
            <v>Saleh Ahmed Saleh</v>
          </cell>
          <cell r="G205" t="str">
            <v>Ibrahim Ammar</v>
          </cell>
          <cell r="H205" t="str">
            <v>Fulprazal Line</v>
          </cell>
          <cell r="I205" t="str">
            <v>rep000028</v>
          </cell>
          <cell r="J205" t="str">
            <v>MR</v>
          </cell>
          <cell r="K205" t="str">
            <v>Cairo</v>
          </cell>
          <cell r="L205">
            <v>1095596027</v>
          </cell>
          <cell r="M205">
            <v>45934</v>
          </cell>
        </row>
        <row r="205">
          <cell r="O205">
            <v>1766</v>
          </cell>
          <cell r="P205" t="str">
            <v>el mohandesein</v>
          </cell>
        </row>
        <row r="206">
          <cell r="D206" t="str">
            <v>Zeinab Mohamed ElSayed</v>
          </cell>
          <cell r="E206" t="str">
            <v>Walaa Samy Mohamed</v>
          </cell>
          <cell r="F206" t="str">
            <v>Saleh Ahmed Saleh</v>
          </cell>
          <cell r="G206" t="str">
            <v>Ibrahim Ammar</v>
          </cell>
          <cell r="H206" t="str">
            <v>Fulprazal Line</v>
          </cell>
          <cell r="I206" t="str">
            <v>Rep1024</v>
          </cell>
          <cell r="J206" t="str">
            <v>MR</v>
          </cell>
          <cell r="K206" t="str">
            <v>Cairo</v>
          </cell>
          <cell r="L206">
            <v>1143176042</v>
          </cell>
          <cell r="M206">
            <v>45843</v>
          </cell>
        </row>
        <row r="206">
          <cell r="O206">
            <v>1704</v>
          </cell>
          <cell r="P206" t="str">
            <v>El Badrashien</v>
          </cell>
        </row>
        <row r="207">
          <cell r="D207" t="str">
            <v>Mousab Mahmoud Abdelkhalek</v>
          </cell>
        </row>
        <row r="207">
          <cell r="G207" t="str">
            <v>Ibrahim Ammar</v>
          </cell>
          <cell r="H207" t="str">
            <v>Pumpizan Line</v>
          </cell>
          <cell r="I207" t="str">
            <v>AVR_98</v>
          </cell>
          <cell r="J207" t="str">
            <v>AM</v>
          </cell>
          <cell r="K207" t="str">
            <v>Cairo</v>
          </cell>
          <cell r="L207" t="str">
            <v> 01151376379</v>
          </cell>
          <cell r="M207">
            <v>43288</v>
          </cell>
          <cell r="N207" t="str">
            <v>mosaab.mahmoud@averroes-eg.com</v>
          </cell>
          <cell r="O207">
            <v>318</v>
          </cell>
          <cell r="P207" t="str">
            <v>Hadayek El Maadi</v>
          </cell>
        </row>
        <row r="208">
          <cell r="D208" t="str">
            <v>Eman Samir Mohamed</v>
          </cell>
        </row>
        <row r="208">
          <cell r="F208" t="str">
            <v>Mousab Mahmoud Abdelkhalek</v>
          </cell>
          <cell r="G208" t="str">
            <v>Ibrahim Ammar</v>
          </cell>
          <cell r="H208" t="str">
            <v>Pumpizan Line</v>
          </cell>
          <cell r="I208" t="str">
            <v>Rep435</v>
          </cell>
          <cell r="J208" t="str">
            <v>DM</v>
          </cell>
          <cell r="K208" t="str">
            <v>Cairo</v>
          </cell>
          <cell r="L208">
            <v>1141868792</v>
          </cell>
          <cell r="M208">
            <v>44835</v>
          </cell>
          <cell r="N208" t="str">
            <v>Eman.Samir.Mohamed@averroes-eg.com</v>
          </cell>
          <cell r="O208">
            <v>1009</v>
          </cell>
          <cell r="P208" t="str">
            <v>Helwan</v>
          </cell>
        </row>
        <row r="209">
          <cell r="D209" t="str">
            <v>Bassem Bekhiet Saied</v>
          </cell>
          <cell r="E209" t="str">
            <v>Eman Samir Mohamed</v>
          </cell>
          <cell r="F209" t="str">
            <v>Mousab Mahmoud Abdelkhalek</v>
          </cell>
          <cell r="G209" t="str">
            <v>Ibrahim Ammar</v>
          </cell>
          <cell r="H209" t="str">
            <v>Pumpizan Line</v>
          </cell>
          <cell r="I209" t="str">
            <v>Rep_00088</v>
          </cell>
          <cell r="J209" t="str">
            <v>MR</v>
          </cell>
          <cell r="K209" t="str">
            <v>Cairo</v>
          </cell>
          <cell r="L209">
            <v>1227605698</v>
          </cell>
          <cell r="M209">
            <v>45964</v>
          </cell>
        </row>
        <row r="209">
          <cell r="O209">
            <v>1784</v>
          </cell>
          <cell r="P209" t="str">
            <v>Masr El Qadima</v>
          </cell>
        </row>
        <row r="210">
          <cell r="D210" t="str">
            <v>Dina Mohamed Ramadan</v>
          </cell>
          <cell r="E210" t="str">
            <v>Eman Samir Mohamed</v>
          </cell>
          <cell r="F210" t="str">
            <v>Mousab Mahmoud Abdelkhalek</v>
          </cell>
          <cell r="G210" t="str">
            <v>Ibrahim Ammar</v>
          </cell>
          <cell r="H210" t="str">
            <v>Pumpizan Line</v>
          </cell>
          <cell r="I210" t="str">
            <v>Rep100097</v>
          </cell>
          <cell r="J210" t="str">
            <v>MR</v>
          </cell>
          <cell r="K210" t="str">
            <v>Cairo</v>
          </cell>
          <cell r="L210">
            <v>1009121775</v>
          </cell>
          <cell r="M210">
            <v>45675</v>
          </cell>
        </row>
        <row r="210">
          <cell r="O210">
            <v>1497</v>
          </cell>
          <cell r="P210" t="str">
            <v>El Badrashien</v>
          </cell>
        </row>
        <row r="211">
          <cell r="D211" t="str">
            <v>Eman Ahmed Taha Emara</v>
          </cell>
          <cell r="E211" t="str">
            <v>Eman Samir Mohamed</v>
          </cell>
          <cell r="F211" t="str">
            <v>Mousab Mahmoud Abdelkhalek</v>
          </cell>
          <cell r="G211" t="str">
            <v>Ibrahim Ammar</v>
          </cell>
          <cell r="H211" t="str">
            <v>Pumpizan Line</v>
          </cell>
          <cell r="I211" t="str">
            <v>Rep100017</v>
          </cell>
          <cell r="J211" t="str">
            <v>MR</v>
          </cell>
          <cell r="K211" t="str">
            <v>Cairo</v>
          </cell>
          <cell r="L211">
            <v>1122435600</v>
          </cell>
          <cell r="M211">
            <v>45505</v>
          </cell>
        </row>
        <row r="211">
          <cell r="O211">
            <v>1415</v>
          </cell>
          <cell r="P211" t="str">
            <v>El Sahel</v>
          </cell>
        </row>
        <row r="212">
          <cell r="D212" t="str">
            <v>Mohamed Ibrahim Taha</v>
          </cell>
          <cell r="E212" t="str">
            <v>Eman Samir Mohamed</v>
          </cell>
          <cell r="F212" t="str">
            <v>Mousab Mahmoud Abdelkhalek</v>
          </cell>
          <cell r="G212" t="str">
            <v>Ibrahim Ammar</v>
          </cell>
          <cell r="H212" t="str">
            <v>Pumpizan Line</v>
          </cell>
          <cell r="I212" t="str">
            <v>Rep1045</v>
          </cell>
          <cell r="J212" t="str">
            <v>MR</v>
          </cell>
          <cell r="K212" t="str">
            <v>Cairo</v>
          </cell>
          <cell r="L212">
            <v>1154363735</v>
          </cell>
          <cell r="M212">
            <v>46082</v>
          </cell>
        </row>
        <row r="212">
          <cell r="O212">
            <v>1895</v>
          </cell>
          <cell r="P212" t="str">
            <v>Shobra El Khiema</v>
          </cell>
        </row>
        <row r="213">
          <cell r="D213" t="str">
            <v>Mariam Hatem Mohamed</v>
          </cell>
          <cell r="E213" t="str">
            <v>Eman Samir Mohamed</v>
          </cell>
          <cell r="F213" t="str">
            <v>Mousab Mahmoud Abdelkhalek</v>
          </cell>
          <cell r="G213" t="str">
            <v>Ibrahim Ammar</v>
          </cell>
          <cell r="H213" t="str">
            <v>Pumpizan Line</v>
          </cell>
          <cell r="I213" t="str">
            <v>Rep10057</v>
          </cell>
          <cell r="J213" t="str">
            <v>MR</v>
          </cell>
          <cell r="K213" t="str">
            <v>Cairo</v>
          </cell>
          <cell r="L213">
            <v>1148712223</v>
          </cell>
          <cell r="M213">
            <v>45724</v>
          </cell>
        </row>
        <row r="213">
          <cell r="O213">
            <v>1578</v>
          </cell>
          <cell r="P213" t="str">
            <v>El Tebeen + El Marazeek (El Tebeen)</v>
          </cell>
        </row>
        <row r="214">
          <cell r="D214" t="str">
            <v>Mohamed Ayman Metwally</v>
          </cell>
          <cell r="E214" t="str">
            <v>Eman Samir Mohamed</v>
          </cell>
          <cell r="F214" t="str">
            <v>Mousab Mahmoud Abdelkhalek</v>
          </cell>
          <cell r="G214" t="str">
            <v>Ibrahim Ammar</v>
          </cell>
          <cell r="H214" t="str">
            <v>Pumpizan Line</v>
          </cell>
          <cell r="I214" t="str">
            <v>AVR_87</v>
          </cell>
          <cell r="J214" t="str">
            <v>MR</v>
          </cell>
          <cell r="K214" t="str">
            <v>Cairo</v>
          </cell>
          <cell r="L214">
            <v>1067611287</v>
          </cell>
          <cell r="M214">
            <v>45717</v>
          </cell>
        </row>
        <row r="214">
          <cell r="O214">
            <v>1564</v>
          </cell>
          <cell r="P214" t="str">
            <v>NASR CITY I</v>
          </cell>
        </row>
        <row r="215">
          <cell r="D215" t="str">
            <v>Soaad Mohamed Mahmoud</v>
          </cell>
          <cell r="E215" t="str">
            <v>Eman Samir Mohamed</v>
          </cell>
          <cell r="F215" t="str">
            <v>Mousab Mahmoud Abdelkhalek</v>
          </cell>
          <cell r="G215" t="str">
            <v>Ibrahim Ammar</v>
          </cell>
          <cell r="H215" t="str">
            <v>Pumpizan Line</v>
          </cell>
          <cell r="I215" t="str">
            <v>Rep1107</v>
          </cell>
          <cell r="J215" t="str">
            <v>MR</v>
          </cell>
          <cell r="K215" t="str">
            <v>Cairo</v>
          </cell>
          <cell r="L215">
            <v>1155036529</v>
          </cell>
          <cell r="M215">
            <v>45871</v>
          </cell>
        </row>
        <row r="215">
          <cell r="O215">
            <v>1726</v>
          </cell>
          <cell r="P215" t="str">
            <v>Hadayek Elmaadi</v>
          </cell>
        </row>
        <row r="216">
          <cell r="D216" t="str">
            <v>L3_Vacant - Cairo A</v>
          </cell>
        </row>
        <row r="216">
          <cell r="F216" t="str">
            <v>Mousab Mahmoud Abdelkhalek</v>
          </cell>
          <cell r="G216" t="str">
            <v>Ibrahim Ammar</v>
          </cell>
          <cell r="H216" t="str">
            <v>Pumpizan Line</v>
          </cell>
          <cell r="I216" t="str">
            <v>Rep1108</v>
          </cell>
          <cell r="J216" t="str">
            <v>DM</v>
          </cell>
        </row>
        <row r="216">
          <cell r="O216">
            <v>0</v>
          </cell>
        </row>
        <row r="217">
          <cell r="D217" t="str">
            <v>Asmaa Mahmoud Amin</v>
          </cell>
          <cell r="E217" t="str">
            <v>L3_Vacant - Cairo A</v>
          </cell>
          <cell r="F217" t="str">
            <v>Mousab Mahmoud Abdelkhalek</v>
          </cell>
          <cell r="G217" t="str">
            <v>Ibrahim Ammar</v>
          </cell>
          <cell r="H217" t="str">
            <v>Pumpizan Line</v>
          </cell>
          <cell r="I217" t="str">
            <v>Rep_00078</v>
          </cell>
          <cell r="J217" t="str">
            <v>MR</v>
          </cell>
          <cell r="K217" t="str">
            <v>Cairo</v>
          </cell>
          <cell r="L217">
            <v>1127066648</v>
          </cell>
          <cell r="M217">
            <v>45962</v>
          </cell>
        </row>
        <row r="217">
          <cell r="O217">
            <v>1775</v>
          </cell>
          <cell r="P217" t="str">
            <v>Madenet El Salam</v>
          </cell>
        </row>
        <row r="218">
          <cell r="D218" t="str">
            <v>Kerollos AbdElMalak Rashed</v>
          </cell>
          <cell r="E218" t="str">
            <v>L3_Vacant - Cairo A</v>
          </cell>
          <cell r="F218" t="str">
            <v>Mousab Mahmoud Abdelkhalek</v>
          </cell>
          <cell r="G218" t="str">
            <v>Ibrahim Ammar</v>
          </cell>
          <cell r="H218" t="str">
            <v>Pumpizan Line</v>
          </cell>
          <cell r="I218" t="str">
            <v>AVR_151</v>
          </cell>
          <cell r="J218" t="str">
            <v>MR</v>
          </cell>
          <cell r="K218" t="str">
            <v>Cairo</v>
          </cell>
          <cell r="L218">
            <v>1096975812</v>
          </cell>
          <cell r="M218">
            <v>45738</v>
          </cell>
        </row>
        <row r="218">
          <cell r="O218">
            <v>1596</v>
          </cell>
          <cell r="P218" t="str">
            <v>El Marg</v>
          </cell>
        </row>
        <row r="219">
          <cell r="D219" t="str">
            <v>L3_Vacant_Heliopolis 2</v>
          </cell>
          <cell r="E219" t="str">
            <v>L3_Vacant - Cairo A</v>
          </cell>
          <cell r="F219" t="str">
            <v>Mousab Mahmoud Abdelkhalek</v>
          </cell>
          <cell r="G219" t="str">
            <v>Ibrahim Ammar</v>
          </cell>
          <cell r="H219" t="str">
            <v>Pumpizan Line</v>
          </cell>
          <cell r="I219" t="str">
            <v>Rep1041</v>
          </cell>
          <cell r="J219" t="str">
            <v>MR</v>
          </cell>
          <cell r="K219" t="str">
            <v>Cairo</v>
          </cell>
        </row>
        <row r="219">
          <cell r="O219">
            <v>0</v>
          </cell>
        </row>
        <row r="220">
          <cell r="D220" t="str">
            <v>Omima Khaled Mostafa Saleh</v>
          </cell>
          <cell r="E220" t="str">
            <v>L3_Vacant - Cairo A</v>
          </cell>
          <cell r="F220" t="str">
            <v>Mousab Mahmoud Abdelkhalek</v>
          </cell>
          <cell r="G220" t="str">
            <v>Ibrahim Ammar</v>
          </cell>
          <cell r="H220" t="str">
            <v>Pumpizan Line</v>
          </cell>
          <cell r="I220" t="str">
            <v>Rep0019</v>
          </cell>
          <cell r="J220" t="str">
            <v>MR</v>
          </cell>
          <cell r="K220" t="str">
            <v>Cairo</v>
          </cell>
          <cell r="L220">
            <v>1142620565</v>
          </cell>
          <cell r="M220">
            <v>46075</v>
          </cell>
        </row>
        <row r="220">
          <cell r="O220">
            <v>1879</v>
          </cell>
          <cell r="P220" t="str">
            <v>NASR CITY II</v>
          </cell>
        </row>
        <row r="221">
          <cell r="D221" t="str">
            <v>Mohamed Gamal Saqr</v>
          </cell>
          <cell r="E221" t="str">
            <v>L3_Vacant - Cairo A</v>
          </cell>
          <cell r="F221" t="str">
            <v>Mousab Mahmoud Abdelkhalek</v>
          </cell>
          <cell r="G221" t="str">
            <v>Ibrahim Ammar</v>
          </cell>
          <cell r="H221" t="str">
            <v>Pumpizan Line</v>
          </cell>
          <cell r="I221" t="str">
            <v>Rep193</v>
          </cell>
          <cell r="J221" t="str">
            <v>MR</v>
          </cell>
          <cell r="K221" t="str">
            <v>Cairo</v>
          </cell>
          <cell r="L221">
            <v>1282594714</v>
          </cell>
          <cell r="M221">
            <v>44013</v>
          </cell>
        </row>
        <row r="221">
          <cell r="O221">
            <v>675</v>
          </cell>
          <cell r="P221" t="str">
            <v>Ismaelia City</v>
          </cell>
        </row>
        <row r="222">
          <cell r="D222" t="str">
            <v>Momtaz Emad Kamel</v>
          </cell>
          <cell r="E222" t="str">
            <v>L3_Vacant - Cairo A</v>
          </cell>
          <cell r="F222" t="str">
            <v>Mousab Mahmoud Abdelkhalek</v>
          </cell>
          <cell r="G222" t="str">
            <v>Ibrahim Ammar</v>
          </cell>
          <cell r="H222" t="str">
            <v>Pumpizan Line</v>
          </cell>
          <cell r="I222" t="str">
            <v>Rep_00066</v>
          </cell>
          <cell r="J222" t="str">
            <v>MR</v>
          </cell>
          <cell r="K222" t="str">
            <v>Cairo</v>
          </cell>
          <cell r="L222">
            <v>1280608490</v>
          </cell>
          <cell r="M222">
            <v>45857</v>
          </cell>
        </row>
        <row r="222">
          <cell r="O222">
            <v>1714</v>
          </cell>
          <cell r="P222" t="str">
            <v>Ain Shams</v>
          </cell>
        </row>
        <row r="223">
          <cell r="D223" t="str">
            <v>Mostafa Ahmed Elshahat</v>
          </cell>
          <cell r="E223" t="str">
            <v>L3_Vacant - Cairo A</v>
          </cell>
          <cell r="F223" t="str">
            <v>Mousab Mahmoud Abdelkhalek</v>
          </cell>
          <cell r="G223" t="str">
            <v>Ibrahim Ammar</v>
          </cell>
          <cell r="H223" t="str">
            <v>Pumpizan Line</v>
          </cell>
          <cell r="I223" t="str">
            <v>rep000027</v>
          </cell>
          <cell r="J223" t="str">
            <v>MR</v>
          </cell>
          <cell r="K223" t="str">
            <v>Cairo</v>
          </cell>
          <cell r="L223">
            <v>1123307305</v>
          </cell>
          <cell r="M223">
            <v>45931</v>
          </cell>
        </row>
        <row r="223">
          <cell r="O223">
            <v>1765</v>
          </cell>
          <cell r="P223" t="str">
            <v>El Matarya</v>
          </cell>
        </row>
        <row r="224">
          <cell r="D224" t="str">
            <v>Ahmed Mohamed Nasr</v>
          </cell>
        </row>
        <row r="224">
          <cell r="F224" t="str">
            <v>Mousab Mahmoud Abdelkhalek</v>
          </cell>
          <cell r="G224" t="str">
            <v>Ibrahim Ammar</v>
          </cell>
          <cell r="H224" t="str">
            <v>Pumpizan Line</v>
          </cell>
          <cell r="I224" t="str">
            <v>rep000028</v>
          </cell>
          <cell r="J224" t="str">
            <v>DM</v>
          </cell>
          <cell r="K224" t="str">
            <v>Cairo</v>
          </cell>
          <cell r="L224">
            <v>1009737454</v>
          </cell>
          <cell r="M224">
            <v>46082</v>
          </cell>
          <cell r="N224" t="str">
            <v>Ahmed.Mohamed.Nasr@averroes-eg.com</v>
          </cell>
          <cell r="O224">
            <v>1890</v>
          </cell>
          <cell r="P224" t="str">
            <v>6th of October City</v>
          </cell>
        </row>
        <row r="225">
          <cell r="D225" t="str">
            <v>Eslam Musa AbdElHalem</v>
          </cell>
          <cell r="E225" t="str">
            <v>Ahmed Mohamed Nasr</v>
          </cell>
          <cell r="F225" t="str">
            <v>Mousab Mahmoud Abdelkhalek</v>
          </cell>
          <cell r="G225" t="str">
            <v>Ibrahim Ammar</v>
          </cell>
          <cell r="H225" t="str">
            <v>Pumpizan Line</v>
          </cell>
          <cell r="I225" t="str">
            <v>Rep10055</v>
          </cell>
          <cell r="J225" t="str">
            <v>MR</v>
          </cell>
          <cell r="K225" t="str">
            <v>Cairo</v>
          </cell>
          <cell r="L225">
            <v>1552021270</v>
          </cell>
          <cell r="M225">
            <v>45717</v>
          </cell>
        </row>
        <row r="225">
          <cell r="O225">
            <v>1576</v>
          </cell>
          <cell r="P225" t="str">
            <v>Kerdasa</v>
          </cell>
        </row>
        <row r="226">
          <cell r="D226" t="str">
            <v>Esraa Ahmed Aboelmagd</v>
          </cell>
          <cell r="E226" t="str">
            <v>Ahmed Mohamed Nasr</v>
          </cell>
          <cell r="F226" t="str">
            <v>Mousab Mahmoud Abdelkhalek</v>
          </cell>
          <cell r="G226" t="str">
            <v>Ibrahim Ammar</v>
          </cell>
          <cell r="H226" t="str">
            <v>Pumpizan Line</v>
          </cell>
          <cell r="I226" t="str">
            <v>Rep00084</v>
          </cell>
          <cell r="J226" t="str">
            <v>MR</v>
          </cell>
          <cell r="K226" t="str">
            <v>Cairo</v>
          </cell>
          <cell r="L226">
            <v>1121141552</v>
          </cell>
          <cell r="M226">
            <v>45914</v>
          </cell>
        </row>
        <row r="226">
          <cell r="O226">
            <v>1749</v>
          </cell>
          <cell r="P226" t="str">
            <v>Faisal</v>
          </cell>
        </row>
        <row r="227">
          <cell r="D227" t="str">
            <v>Karim Gomaa Douma</v>
          </cell>
          <cell r="E227" t="str">
            <v>Ahmed Mohamed Nasr</v>
          </cell>
          <cell r="F227" t="str">
            <v>Mousab Mahmoud Abdelkhalek</v>
          </cell>
          <cell r="G227" t="str">
            <v>Ibrahim Ammar</v>
          </cell>
          <cell r="H227" t="str">
            <v>Pumpizan Line</v>
          </cell>
          <cell r="I227" t="str">
            <v>Rep100110</v>
          </cell>
          <cell r="J227" t="str">
            <v>MR</v>
          </cell>
          <cell r="K227" t="str">
            <v>Cairo</v>
          </cell>
          <cell r="L227">
            <v>1061486661</v>
          </cell>
          <cell r="M227">
            <v>45789</v>
          </cell>
        </row>
        <row r="227">
          <cell r="O227">
            <v>1633</v>
          </cell>
          <cell r="P227" t="str">
            <v>6th of October City</v>
          </cell>
        </row>
        <row r="228">
          <cell r="D228" t="str">
            <v>Mohamed Khaled Sayed</v>
          </cell>
          <cell r="E228" t="str">
            <v>Ahmed Mohamed Nasr</v>
          </cell>
          <cell r="F228" t="str">
            <v>Mousab Mahmoud Abdelkhalek</v>
          </cell>
          <cell r="G228" t="str">
            <v>Ibrahim Ammar</v>
          </cell>
          <cell r="H228" t="str">
            <v>Pumpizan Line</v>
          </cell>
          <cell r="I228" t="str">
            <v>Rep100018</v>
          </cell>
          <cell r="J228" t="str">
            <v>MR</v>
          </cell>
          <cell r="K228" t="str">
            <v>Cairo</v>
          </cell>
          <cell r="L228">
            <v>1155286453</v>
          </cell>
          <cell r="M228">
            <v>45505</v>
          </cell>
        </row>
        <row r="228">
          <cell r="O228">
            <v>1416</v>
          </cell>
          <cell r="P228" t="str">
            <v>Nahia</v>
          </cell>
        </row>
        <row r="229">
          <cell r="D229" t="str">
            <v>Zeina Abobakr Esmaiel</v>
          </cell>
          <cell r="E229" t="str">
            <v>Ahmed Mohamed Nasr</v>
          </cell>
          <cell r="F229" t="str">
            <v>Mousab Mahmoud Abdelkhalek</v>
          </cell>
          <cell r="G229" t="str">
            <v>Ibrahim Ammar</v>
          </cell>
          <cell r="H229" t="str">
            <v>Pumpizan Line</v>
          </cell>
          <cell r="I229" t="str">
            <v>Rep00083</v>
          </cell>
          <cell r="J229" t="str">
            <v>MR</v>
          </cell>
          <cell r="K229" t="str">
            <v>Cairo</v>
          </cell>
          <cell r="L229">
            <v>1096622287</v>
          </cell>
          <cell r="M229">
            <v>45910</v>
          </cell>
        </row>
        <row r="229">
          <cell r="O229">
            <v>1748</v>
          </cell>
          <cell r="P229" t="str">
            <v>Fayoum</v>
          </cell>
        </row>
        <row r="230">
          <cell r="D230" t="str">
            <v>Ahmed Samir Ibrahim</v>
          </cell>
        </row>
        <row r="230">
          <cell r="G230" t="str">
            <v>Ibrahim Ammar</v>
          </cell>
          <cell r="H230" t="str">
            <v>Fulprazal Line &amp; Pumpizan Line</v>
          </cell>
          <cell r="I230" t="str">
            <v>ZM_5</v>
          </cell>
          <cell r="J230" t="str">
            <v>AM</v>
          </cell>
          <cell r="K230" t="str">
            <v>Delta</v>
          </cell>
          <cell r="L230" t="str">
            <v> 01013322100</v>
          </cell>
          <cell r="M230">
            <v>41064</v>
          </cell>
          <cell r="N230" t="str">
            <v>ahmed.samir@averroes-eg.com</v>
          </cell>
          <cell r="O230">
            <v>67</v>
          </cell>
          <cell r="P230" t="str">
            <v>Fesha</v>
          </cell>
        </row>
        <row r="231">
          <cell r="D231" t="str">
            <v>Ahmed Ibrahim AbdelAziz</v>
          </cell>
        </row>
        <row r="231">
          <cell r="F231" t="str">
            <v>Ahmed Samir Ibrahim</v>
          </cell>
          <cell r="G231" t="str">
            <v>Ibrahim Ammar</v>
          </cell>
          <cell r="H231" t="str">
            <v>Fulprazal Line</v>
          </cell>
          <cell r="I231" t="str">
            <v>DM_135</v>
          </cell>
          <cell r="J231" t="str">
            <v>DM</v>
          </cell>
          <cell r="K231" t="str">
            <v>Delta</v>
          </cell>
          <cell r="L231">
            <v>1145031677</v>
          </cell>
          <cell r="M231">
            <v>45263</v>
          </cell>
          <cell r="N231" t="str">
            <v>Ahmed.Ibrahim.AbdelAziz@averroes-eg.com</v>
          </cell>
          <cell r="O231">
            <v>1305</v>
          </cell>
          <cell r="P231" t="str">
            <v>El Ebrahemia</v>
          </cell>
        </row>
        <row r="232">
          <cell r="D232" t="str">
            <v>Ahmed Hussein Ahmed Mohamed</v>
          </cell>
          <cell r="E232" t="str">
            <v>Ahmed Ibrahim AbdelAziz</v>
          </cell>
          <cell r="F232" t="str">
            <v>Ahmed Samir Ibrahim</v>
          </cell>
          <cell r="G232" t="str">
            <v>Ibrahim Ammar</v>
          </cell>
          <cell r="H232" t="str">
            <v>Fulprazal Line</v>
          </cell>
          <cell r="I232" t="str">
            <v>Rep100054</v>
          </cell>
          <cell r="J232" t="str">
            <v>MR</v>
          </cell>
          <cell r="K232" t="str">
            <v>Delta</v>
          </cell>
          <cell r="L232">
            <v>1278316472</v>
          </cell>
          <cell r="M232">
            <v>45600</v>
          </cell>
        </row>
        <row r="232">
          <cell r="O232">
            <v>1459</v>
          </cell>
          <cell r="P232" t="str">
            <v>El Zakazik City</v>
          </cell>
        </row>
        <row r="233">
          <cell r="D233" t="str">
            <v>Esraa Elsayed Elhady Gomma</v>
          </cell>
          <cell r="E233" t="str">
            <v>Ahmed Ibrahim AbdelAziz</v>
          </cell>
          <cell r="F233" t="str">
            <v>Ahmed Samir Ibrahim</v>
          </cell>
          <cell r="G233" t="str">
            <v>Ibrahim Ammar</v>
          </cell>
          <cell r="H233" t="str">
            <v>Fulprazal Line</v>
          </cell>
          <cell r="I233" t="str">
            <v>Rep10001</v>
          </cell>
          <cell r="J233" t="str">
            <v>MR</v>
          </cell>
          <cell r="K233" t="str">
            <v>Delta</v>
          </cell>
          <cell r="L233">
            <v>1024592067</v>
          </cell>
          <cell r="M233">
            <v>45451</v>
          </cell>
        </row>
        <row r="233">
          <cell r="O233">
            <v>1393</v>
          </cell>
          <cell r="P233" t="str">
            <v>El Qenayat</v>
          </cell>
        </row>
        <row r="234">
          <cell r="D234" t="str">
            <v>Dina Mohamed Ibrahim</v>
          </cell>
          <cell r="E234" t="str">
            <v>Ahmed Ibrahim AbdelAziz</v>
          </cell>
          <cell r="F234" t="str">
            <v>Ahmed Samir Ibrahim</v>
          </cell>
          <cell r="G234" t="str">
            <v>Ibrahim Ammar</v>
          </cell>
          <cell r="H234" t="str">
            <v>Fulprazal Line</v>
          </cell>
          <cell r="I234" t="str">
            <v>Rep0007</v>
          </cell>
          <cell r="J234" t="str">
            <v>MR</v>
          </cell>
          <cell r="K234" t="str">
            <v>Delta</v>
          </cell>
          <cell r="L234">
            <v>1061540283</v>
          </cell>
          <cell r="M234">
            <v>46054</v>
          </cell>
        </row>
        <row r="234">
          <cell r="O234">
            <v>1844</v>
          </cell>
          <cell r="P234" t="str">
            <v>Banha - Atreeb</v>
          </cell>
        </row>
        <row r="235">
          <cell r="D235" t="str">
            <v>Hassan Hisham Hassan</v>
          </cell>
          <cell r="E235" t="str">
            <v>Ahmed Ibrahim AbdelAziz</v>
          </cell>
          <cell r="F235" t="str">
            <v>Ahmed Samir Ibrahim</v>
          </cell>
          <cell r="G235" t="str">
            <v>Ibrahim Ammar</v>
          </cell>
          <cell r="H235" t="str">
            <v>Fulprazal Line</v>
          </cell>
          <cell r="I235" t="str">
            <v>Rep931</v>
          </cell>
          <cell r="J235" t="str">
            <v>MR</v>
          </cell>
          <cell r="K235" t="str">
            <v>Delta</v>
          </cell>
          <cell r="L235">
            <v>1205228758</v>
          </cell>
          <cell r="M235">
            <v>46082</v>
          </cell>
        </row>
        <row r="235">
          <cell r="O235">
            <v>1889</v>
          </cell>
          <cell r="P235" t="str">
            <v>El Zakazik City</v>
          </cell>
        </row>
        <row r="236">
          <cell r="D236" t="str">
            <v>Marwa Maher Ahmed</v>
          </cell>
          <cell r="E236" t="str">
            <v>Ahmed Ibrahim AbdelAziz</v>
          </cell>
          <cell r="F236" t="str">
            <v>Ahmed Samir Ibrahim</v>
          </cell>
          <cell r="G236" t="str">
            <v>Ibrahim Ammar</v>
          </cell>
          <cell r="H236" t="str">
            <v>Fulprazal Line</v>
          </cell>
          <cell r="I236" t="str">
            <v>Rep711</v>
          </cell>
          <cell r="J236" t="str">
            <v>MR</v>
          </cell>
          <cell r="K236" t="str">
            <v>Delta</v>
          </cell>
          <cell r="L236">
            <v>1006455230</v>
          </cell>
          <cell r="M236">
            <v>44961</v>
          </cell>
        </row>
        <row r="236">
          <cell r="O236">
            <v>1129</v>
          </cell>
          <cell r="P236" t="str">
            <v>Fakoos</v>
          </cell>
        </row>
        <row r="237">
          <cell r="D237" t="str">
            <v>Norhan Naser ElSayed</v>
          </cell>
          <cell r="E237" t="str">
            <v>Ahmed Ibrahim AbdelAziz</v>
          </cell>
          <cell r="F237" t="str">
            <v>Ahmed Samir Ibrahim</v>
          </cell>
          <cell r="G237" t="str">
            <v>Ibrahim Ammar</v>
          </cell>
          <cell r="H237" t="str">
            <v>Fulprazal Line</v>
          </cell>
          <cell r="I237" t="str">
            <v>AVR_60</v>
          </cell>
          <cell r="J237" t="str">
            <v>MR</v>
          </cell>
          <cell r="K237" t="str">
            <v>Delta</v>
          </cell>
          <cell r="L237">
            <v>1000548149</v>
          </cell>
          <cell r="M237">
            <v>45710</v>
          </cell>
        </row>
        <row r="237">
          <cell r="O237">
            <v>1550</v>
          </cell>
          <cell r="P237" t="str">
            <v>Abo Hammad </v>
          </cell>
        </row>
        <row r="238">
          <cell r="D238" t="str">
            <v>Aml Adel Mohamed</v>
          </cell>
          <cell r="E238" t="str">
            <v>Ahmed Ibrahim AbdelAziz</v>
          </cell>
          <cell r="F238" t="str">
            <v>Ahmed Samir Ibrahim</v>
          </cell>
          <cell r="G238" t="str">
            <v>Ibrahim Ammar</v>
          </cell>
          <cell r="H238" t="str">
            <v>Fulprazal Line</v>
          </cell>
          <cell r="I238" t="str">
            <v>Rep412</v>
          </cell>
          <cell r="J238" t="str">
            <v>MR</v>
          </cell>
          <cell r="K238" t="str">
            <v>Delta</v>
          </cell>
          <cell r="L238">
            <v>1065614765</v>
          </cell>
          <cell r="M238">
            <v>46082</v>
          </cell>
        </row>
        <row r="238">
          <cell r="O238">
            <v>1887</v>
          </cell>
          <cell r="P238" t="str">
            <v>Shebien El Kanater</v>
          </cell>
        </row>
        <row r="239">
          <cell r="D239" t="str">
            <v>Asmaa Morgan Elsayed Mahmoud</v>
          </cell>
        </row>
        <row r="239">
          <cell r="F239" t="str">
            <v>Ahmed Samir Ibrahim</v>
          </cell>
          <cell r="G239" t="str">
            <v>Ibrahim Ammar</v>
          </cell>
          <cell r="H239" t="str">
            <v>Fulprazal Line</v>
          </cell>
          <cell r="I239" t="str">
            <v>DM_144</v>
          </cell>
          <cell r="J239" t="str">
            <v>DM</v>
          </cell>
          <cell r="K239" t="str">
            <v>Delta</v>
          </cell>
          <cell r="L239">
            <v>1069836386</v>
          </cell>
          <cell r="M239">
            <v>46113</v>
          </cell>
          <cell r="N239" t="str">
            <v>Asmaa.Morgan.Elsayed@averroes-eg.com</v>
          </cell>
          <cell r="O239">
            <v>1920</v>
          </cell>
          <cell r="P239" t="str">
            <v>El Mansoura</v>
          </cell>
        </row>
        <row r="240">
          <cell r="D240" t="str">
            <v>Merna Ehab Mohamed</v>
          </cell>
          <cell r="E240" t="str">
            <v>Asmaa Morgan Elsayed Mahmoud</v>
          </cell>
          <cell r="F240" t="str">
            <v>Ahmed Samir Ibrahim</v>
          </cell>
          <cell r="G240" t="str">
            <v>Ibrahim Ammar</v>
          </cell>
          <cell r="H240" t="str">
            <v>Fulprazal Line</v>
          </cell>
          <cell r="I240" t="str">
            <v>Rep100026</v>
          </cell>
          <cell r="J240" t="str">
            <v>MR</v>
          </cell>
          <cell r="K240" t="str">
            <v>Delta</v>
          </cell>
          <cell r="L240">
            <v>1018530648</v>
          </cell>
          <cell r="M240">
            <v>46082</v>
          </cell>
        </row>
        <row r="240">
          <cell r="O240">
            <v>1900</v>
          </cell>
          <cell r="P240" t="str">
            <v>Talkha</v>
          </cell>
        </row>
        <row r="241">
          <cell r="D241" t="str">
            <v>Rofida Khaled Aboelfotoh</v>
          </cell>
          <cell r="E241" t="str">
            <v>Asmaa Morgan Elsayed Mahmoud</v>
          </cell>
          <cell r="F241" t="str">
            <v>Ahmed Samir Ibrahim</v>
          </cell>
          <cell r="G241" t="str">
            <v>Ibrahim Ammar</v>
          </cell>
          <cell r="H241" t="str">
            <v>Fulprazal Line</v>
          </cell>
          <cell r="I241" t="str">
            <v>Rep850</v>
          </cell>
          <cell r="J241" t="str">
            <v>MR</v>
          </cell>
          <cell r="K241" t="str">
            <v>Delta</v>
          </cell>
          <cell r="L241">
            <v>1229300759</v>
          </cell>
          <cell r="M241">
            <v>46083</v>
          </cell>
        </row>
        <row r="241">
          <cell r="O241">
            <v>1884</v>
          </cell>
          <cell r="P241" t="str">
            <v>Sherbeen</v>
          </cell>
        </row>
        <row r="242">
          <cell r="D242" t="str">
            <v>Adham Waleed Elmalahy</v>
          </cell>
          <cell r="E242" t="str">
            <v>Asmaa Morgan Elsayed Mahmoud</v>
          </cell>
          <cell r="F242" t="str">
            <v>Ahmed Samir Ibrahim</v>
          </cell>
          <cell r="G242" t="str">
            <v>Ibrahim Ammar</v>
          </cell>
          <cell r="H242" t="str">
            <v>Fulprazal Line</v>
          </cell>
          <cell r="I242" t="str">
            <v>Rep_00133</v>
          </cell>
          <cell r="J242" t="str">
            <v>MR</v>
          </cell>
          <cell r="K242" t="str">
            <v>Delta</v>
          </cell>
          <cell r="L242">
            <v>1101307959</v>
          </cell>
          <cell r="M242">
            <v>46123</v>
          </cell>
        </row>
        <row r="242">
          <cell r="O242">
            <v>1933</v>
          </cell>
          <cell r="P242" t="str">
            <v>El Zorka</v>
          </cell>
        </row>
        <row r="243">
          <cell r="D243" t="str">
            <v>Omar Saad Bedier</v>
          </cell>
          <cell r="E243" t="str">
            <v>Asmaa Morgan Elsayed Mahmoud</v>
          </cell>
          <cell r="F243" t="str">
            <v>Ahmed Samir Ibrahim</v>
          </cell>
          <cell r="G243" t="str">
            <v>Ibrahim Ammar</v>
          </cell>
          <cell r="H243" t="str">
            <v>Fulprazal Line</v>
          </cell>
          <cell r="I243" t="str">
            <v>Rep100124</v>
          </cell>
          <cell r="J243" t="str">
            <v>MR</v>
          </cell>
          <cell r="K243" t="str">
            <v>Delta</v>
          </cell>
          <cell r="L243">
            <v>1091310427</v>
          </cell>
          <cell r="M243">
            <v>45787</v>
          </cell>
        </row>
        <row r="243">
          <cell r="O243">
            <v>1630</v>
          </cell>
          <cell r="P243" t="str">
            <v>Talkha</v>
          </cell>
        </row>
        <row r="244">
          <cell r="D244" t="str">
            <v>Rezk AbdElRahman Ahmed</v>
          </cell>
          <cell r="E244" t="str">
            <v>Asmaa Morgan Elsayed Mahmoud</v>
          </cell>
          <cell r="F244" t="str">
            <v>Ahmed Samir Ibrahim</v>
          </cell>
          <cell r="G244" t="str">
            <v>Ibrahim Ammar</v>
          </cell>
          <cell r="H244" t="str">
            <v>Fulprazal Line</v>
          </cell>
          <cell r="I244" t="str">
            <v>Rep100105</v>
          </cell>
          <cell r="J244" t="str">
            <v>MR</v>
          </cell>
          <cell r="K244" t="str">
            <v>Delta</v>
          </cell>
          <cell r="L244">
            <v>1094931576</v>
          </cell>
          <cell r="M244">
            <v>45675</v>
          </cell>
        </row>
        <row r="244">
          <cell r="O244">
            <v>1505</v>
          </cell>
          <cell r="P244" t="str">
            <v>Meet Ghamr</v>
          </cell>
        </row>
        <row r="245">
          <cell r="D245" t="str">
            <v>L2_Vacant_Dakahlia 3</v>
          </cell>
          <cell r="E245" t="str">
            <v>Asmaa Morgan Elsayed Mahmoud</v>
          </cell>
          <cell r="F245" t="str">
            <v>Ahmed Samir Ibrahim</v>
          </cell>
          <cell r="G245" t="str">
            <v>Ibrahim Ammar</v>
          </cell>
          <cell r="H245" t="str">
            <v>Fulprazal Line</v>
          </cell>
          <cell r="I245" t="str">
            <v>AVR_39</v>
          </cell>
          <cell r="J245" t="str">
            <v>MR</v>
          </cell>
          <cell r="K245" t="str">
            <v>Delta</v>
          </cell>
        </row>
        <row r="245">
          <cell r="O245">
            <v>0</v>
          </cell>
        </row>
        <row r="246">
          <cell r="D246" t="str">
            <v>Sohaila Khaled Gamal</v>
          </cell>
          <cell r="E246" t="str">
            <v>Asmaa Morgan Elsayed Mahmoud</v>
          </cell>
          <cell r="F246" t="str">
            <v>Ahmed Samir Ibrahim</v>
          </cell>
          <cell r="G246" t="str">
            <v>Ibrahim Ammar</v>
          </cell>
          <cell r="H246" t="str">
            <v>Fulprazal Line</v>
          </cell>
          <cell r="I246" t="str">
            <v>AVR_64</v>
          </cell>
          <cell r="J246" t="str">
            <v>MR</v>
          </cell>
          <cell r="K246" t="str">
            <v>Delta</v>
          </cell>
          <cell r="L246">
            <v>1024032081</v>
          </cell>
          <cell r="M246">
            <v>45710</v>
          </cell>
        </row>
        <row r="246">
          <cell r="O246">
            <v>1553</v>
          </cell>
          <cell r="P246" t="str">
            <v>Port Saed</v>
          </cell>
        </row>
        <row r="247">
          <cell r="D247" t="str">
            <v>L3_Vacant_Dakahlia &amp; Domiat &amp; Port Said</v>
          </cell>
        </row>
        <row r="247">
          <cell r="F247" t="str">
            <v>Ahmed Samir Ibrahim</v>
          </cell>
          <cell r="G247" t="str">
            <v>Ibrahim Ammar</v>
          </cell>
          <cell r="H247" t="str">
            <v>Pumpizan Line</v>
          </cell>
          <cell r="I247" t="str">
            <v>DM_160</v>
          </cell>
          <cell r="J247" t="str">
            <v>DM</v>
          </cell>
          <cell r="K247" t="str">
            <v>Delta</v>
          </cell>
        </row>
        <row r="247">
          <cell r="O247">
            <v>0</v>
          </cell>
        </row>
        <row r="248">
          <cell r="D248" t="str">
            <v>Gamila Hamdi Ismail</v>
          </cell>
          <cell r="E248" t="str">
            <v>L3_Vacant_Dakahlia &amp; Domiat &amp; Port Said</v>
          </cell>
          <cell r="F248" t="str">
            <v>Ahmed Samir Ibrahim</v>
          </cell>
          <cell r="G248" t="str">
            <v>Ibrahim Ammar</v>
          </cell>
          <cell r="H248" t="str">
            <v>Pumpizan Line</v>
          </cell>
          <cell r="I248" t="str">
            <v>Rep1039</v>
          </cell>
          <cell r="J248" t="str">
            <v>MR</v>
          </cell>
          <cell r="K248" t="str">
            <v>Delta</v>
          </cell>
          <cell r="L248">
            <v>1027093314</v>
          </cell>
          <cell r="M248">
            <v>46088</v>
          </cell>
        </row>
        <row r="248">
          <cell r="O248">
            <v>1907</v>
          </cell>
          <cell r="P248" t="str">
            <v>Meet Ghamr</v>
          </cell>
        </row>
        <row r="249">
          <cell r="D249" t="str">
            <v>Bilal Eldaoudi Elsayed</v>
          </cell>
          <cell r="E249" t="str">
            <v>L3_Vacant_Dakahlia &amp; Domiat &amp; Port Said</v>
          </cell>
          <cell r="F249" t="str">
            <v>Ahmed Samir Ibrahim</v>
          </cell>
          <cell r="G249" t="str">
            <v>Ibrahim Ammar</v>
          </cell>
          <cell r="H249" t="str">
            <v>Pumpizan Line</v>
          </cell>
          <cell r="I249" t="str">
            <v>Rep1043</v>
          </cell>
          <cell r="J249" t="str">
            <v>MR</v>
          </cell>
          <cell r="K249" t="str">
            <v>Delta</v>
          </cell>
          <cell r="L249">
            <v>1066463528</v>
          </cell>
          <cell r="M249">
            <v>46082</v>
          </cell>
        </row>
        <row r="249">
          <cell r="O249">
            <v>1908</v>
          </cell>
          <cell r="P249" t="str">
            <v>Port Saed</v>
          </cell>
        </row>
        <row r="250">
          <cell r="D250" t="str">
            <v>Lamees Osama Nowara</v>
          </cell>
          <cell r="E250" t="str">
            <v>L3_Vacant_Dakahlia &amp; Domiat &amp; Port Said</v>
          </cell>
          <cell r="F250" t="str">
            <v>Ahmed Samir Ibrahim</v>
          </cell>
          <cell r="G250" t="str">
            <v>Ibrahim Ammar</v>
          </cell>
          <cell r="H250" t="str">
            <v>Pumpizan Line</v>
          </cell>
          <cell r="I250" t="str">
            <v>Rep1000101</v>
          </cell>
          <cell r="J250" t="str">
            <v>MR</v>
          </cell>
          <cell r="K250" t="str">
            <v>Delta</v>
          </cell>
          <cell r="L250">
            <v>1065477179</v>
          </cell>
          <cell r="M250">
            <v>45773</v>
          </cell>
        </row>
        <row r="250">
          <cell r="O250">
            <v>1620</v>
          </cell>
          <cell r="P250" t="str">
            <v>Domiat</v>
          </cell>
        </row>
        <row r="251">
          <cell r="D251" t="str">
            <v>Mahmoud Ahmed AlHasanin</v>
          </cell>
          <cell r="E251" t="str">
            <v>L3_Vacant_Dakahlia &amp; Domiat &amp; Port Said</v>
          </cell>
          <cell r="F251" t="str">
            <v>Ahmed Samir Ibrahim</v>
          </cell>
          <cell r="G251" t="str">
            <v>Ibrahim Ammar</v>
          </cell>
          <cell r="H251" t="str">
            <v>Pumpizan Line</v>
          </cell>
          <cell r="I251" t="str">
            <v>Rep970</v>
          </cell>
          <cell r="J251" t="str">
            <v>MR</v>
          </cell>
          <cell r="K251" t="str">
            <v>Delta</v>
          </cell>
          <cell r="L251">
            <v>1099063152</v>
          </cell>
          <cell r="M251">
            <v>45419</v>
          </cell>
        </row>
        <row r="251">
          <cell r="O251">
            <v>1353</v>
          </cell>
          <cell r="P251" t="str">
            <v>El Senbelaween</v>
          </cell>
        </row>
        <row r="252">
          <cell r="D252" t="str">
            <v>Noha Adel Abdelaziz</v>
          </cell>
          <cell r="E252" t="str">
            <v>L3_Vacant_Dakahlia &amp; Domiat &amp; Port Said</v>
          </cell>
          <cell r="F252" t="str">
            <v>Ahmed Samir Ibrahim</v>
          </cell>
          <cell r="G252" t="str">
            <v>Ibrahim Ammar</v>
          </cell>
          <cell r="H252" t="str">
            <v>Pumpizan Line</v>
          </cell>
          <cell r="I252" t="str">
            <v>Rep1060</v>
          </cell>
          <cell r="J252" t="str">
            <v>MR</v>
          </cell>
          <cell r="K252" t="str">
            <v>Delta</v>
          </cell>
          <cell r="L252">
            <v>1553939282</v>
          </cell>
          <cell r="M252">
            <v>46037</v>
          </cell>
        </row>
        <row r="252">
          <cell r="O252">
            <v>1833</v>
          </cell>
          <cell r="P252" t="str">
            <v>El Mansoura</v>
          </cell>
        </row>
        <row r="253">
          <cell r="D253" t="str">
            <v>Samah Khaled Mohamed</v>
          </cell>
          <cell r="E253" t="str">
            <v>L3_Vacant_Dakahlia &amp; Domiat &amp; Port Said</v>
          </cell>
          <cell r="F253" t="str">
            <v>Ahmed Samir Ibrahim</v>
          </cell>
          <cell r="G253" t="str">
            <v>Ibrahim Ammar</v>
          </cell>
          <cell r="H253" t="str">
            <v>Pumpizan Line</v>
          </cell>
          <cell r="I253" t="str">
            <v>Rep100025</v>
          </cell>
          <cell r="J253" t="str">
            <v>MR</v>
          </cell>
          <cell r="K253" t="str">
            <v>Delta</v>
          </cell>
          <cell r="L253">
            <v>1064761490</v>
          </cell>
          <cell r="M253">
            <v>45508</v>
          </cell>
        </row>
        <row r="253">
          <cell r="O253">
            <v>1427</v>
          </cell>
          <cell r="P253" t="str">
            <v>Dekernes</v>
          </cell>
        </row>
        <row r="254">
          <cell r="D254" t="str">
            <v>Sara Sabry Mahmoud Abdelwahab</v>
          </cell>
          <cell r="E254" t="str">
            <v>L3_Vacant_Dakahlia &amp; Domiat &amp; Port Said</v>
          </cell>
          <cell r="F254" t="str">
            <v>Ahmed Samir Ibrahim</v>
          </cell>
          <cell r="G254" t="str">
            <v>Ibrahim Ammar</v>
          </cell>
          <cell r="H254" t="str">
            <v>Pumpizan Line</v>
          </cell>
          <cell r="I254" t="str">
            <v>Rep_00152</v>
          </cell>
          <cell r="J254" t="str">
            <v>MR</v>
          </cell>
          <cell r="K254" t="str">
            <v>Delta</v>
          </cell>
          <cell r="L254">
            <v>1010699146</v>
          </cell>
          <cell r="M254">
            <v>46023</v>
          </cell>
        </row>
        <row r="254">
          <cell r="O254">
            <v>1822</v>
          </cell>
          <cell r="P254" t="str">
            <v>Belkas</v>
          </cell>
        </row>
        <row r="255">
          <cell r="D255" t="str">
            <v>L3_Vacant_Sharkia &amp; Qaluibia</v>
          </cell>
        </row>
        <row r="255">
          <cell r="F255" t="str">
            <v>Ahmed Samir Ibrahim</v>
          </cell>
          <cell r="G255" t="str">
            <v>Ibrahim Ammar</v>
          </cell>
          <cell r="H255" t="str">
            <v>Pumpizan Line</v>
          </cell>
          <cell r="I255" t="str">
            <v>DM_163</v>
          </cell>
          <cell r="J255" t="str">
            <v>DM</v>
          </cell>
          <cell r="K255" t="str">
            <v>Delta</v>
          </cell>
        </row>
        <row r="255">
          <cell r="O255">
            <v>0</v>
          </cell>
        </row>
        <row r="256">
          <cell r="D256" t="str">
            <v>Ahmed Mohamed Abdelfattah</v>
          </cell>
          <cell r="E256" t="str">
            <v>L3_Vacant_Sharkia &amp; Qaluibia</v>
          </cell>
          <cell r="F256" t="str">
            <v>Ahmed Samir Ibrahim</v>
          </cell>
          <cell r="G256" t="str">
            <v>Ibrahim Ammar</v>
          </cell>
          <cell r="H256" t="str">
            <v>Pumpizan Line</v>
          </cell>
          <cell r="I256" t="str">
            <v>Rep121</v>
          </cell>
          <cell r="J256" t="str">
            <v>MR</v>
          </cell>
          <cell r="K256" t="str">
            <v>Delta</v>
          </cell>
          <cell r="L256" t="str">
            <v> 01092023642</v>
          </cell>
          <cell r="M256">
            <v>43160</v>
          </cell>
        </row>
        <row r="256">
          <cell r="O256">
            <v>336</v>
          </cell>
          <cell r="P256" t="str">
            <v>Fakoos</v>
          </cell>
        </row>
        <row r="257">
          <cell r="D257" t="str">
            <v>Asmaa Ahmed ibrahim</v>
          </cell>
          <cell r="E257" t="str">
            <v>L3_Vacant_Sharkia &amp; Qaluibia</v>
          </cell>
          <cell r="F257" t="str">
            <v>Ahmed Samir Ibrahim</v>
          </cell>
          <cell r="G257" t="str">
            <v>Ibrahim Ammar</v>
          </cell>
          <cell r="H257" t="str">
            <v>Pumpizan Line</v>
          </cell>
          <cell r="I257" t="str">
            <v>Rep178</v>
          </cell>
          <cell r="J257" t="str">
            <v>MR</v>
          </cell>
          <cell r="K257" t="str">
            <v>Delta</v>
          </cell>
          <cell r="L257">
            <v>1553010651</v>
          </cell>
          <cell r="M257">
            <v>43770</v>
          </cell>
        </row>
        <row r="257">
          <cell r="O257">
            <v>487</v>
          </cell>
          <cell r="P257" t="str">
            <v>El Zakazik City</v>
          </cell>
        </row>
        <row r="258">
          <cell r="D258" t="str">
            <v>Reem Hatem Abdelhady</v>
          </cell>
          <cell r="E258" t="str">
            <v>L3_Vacant_Sharkia &amp; Qaluibia</v>
          </cell>
          <cell r="F258" t="str">
            <v>Ahmed Samir Ibrahim</v>
          </cell>
          <cell r="G258" t="str">
            <v>Ibrahim Ammar</v>
          </cell>
          <cell r="H258" t="str">
            <v>Pumpizan Line</v>
          </cell>
          <cell r="I258" t="str">
            <v>Rep1044</v>
          </cell>
          <cell r="J258" t="str">
            <v>MR</v>
          </cell>
          <cell r="K258" t="str">
            <v>Delta</v>
          </cell>
          <cell r="L258">
            <v>1221382723</v>
          </cell>
          <cell r="M258">
            <v>46054</v>
          </cell>
        </row>
        <row r="258">
          <cell r="O258">
            <v>1845</v>
          </cell>
          <cell r="P258" t="str">
            <v>10 th Ramadan</v>
          </cell>
        </row>
        <row r="259">
          <cell r="D259" t="str">
            <v>Manar Mohamed Mohamed Rashad</v>
          </cell>
          <cell r="E259" t="str">
            <v>L3_Vacant_Sharkia &amp; Qaluibia</v>
          </cell>
          <cell r="F259" t="str">
            <v>Ahmed Samir Ibrahim</v>
          </cell>
          <cell r="G259" t="str">
            <v>Ibrahim Ammar</v>
          </cell>
          <cell r="H259" t="str">
            <v>Pumpizan Line</v>
          </cell>
          <cell r="I259" t="str">
            <v>Rep100020</v>
          </cell>
          <cell r="J259" t="str">
            <v>MR</v>
          </cell>
          <cell r="K259" t="str">
            <v>Delta</v>
          </cell>
          <cell r="L259">
            <v>1553034097</v>
          </cell>
          <cell r="M259">
            <v>45505</v>
          </cell>
        </row>
        <row r="259">
          <cell r="O259">
            <v>1412</v>
          </cell>
          <cell r="P259" t="str">
            <v>Banha - Atreeb</v>
          </cell>
        </row>
        <row r="260">
          <cell r="D260" t="str">
            <v>L3_Vacant_Sharkia 3</v>
          </cell>
          <cell r="E260" t="str">
            <v>L3_Vacant_Sharkia &amp; Qaluibia</v>
          </cell>
          <cell r="F260" t="str">
            <v>Ahmed Samir Ibrahim</v>
          </cell>
          <cell r="G260" t="str">
            <v>Ibrahim Ammar</v>
          </cell>
          <cell r="H260" t="str">
            <v>Pumpizan Line</v>
          </cell>
          <cell r="I260" t="str">
            <v>AVR_33</v>
          </cell>
          <cell r="J260" t="str">
            <v>MR</v>
          </cell>
          <cell r="K260" t="str">
            <v>Delta</v>
          </cell>
        </row>
        <row r="260">
          <cell r="O260">
            <v>0</v>
          </cell>
        </row>
        <row r="261">
          <cell r="D261" t="str">
            <v>Nada Essam Makled</v>
          </cell>
          <cell r="E261" t="str">
            <v>L3_Vacant_Sharkia &amp; Qaluibia</v>
          </cell>
          <cell r="F261" t="str">
            <v>Ahmed Samir Ibrahim</v>
          </cell>
          <cell r="G261" t="str">
            <v>Ibrahim Ammar</v>
          </cell>
          <cell r="H261" t="str">
            <v>Pumpizan Line</v>
          </cell>
          <cell r="I261" t="str">
            <v>Rep_00086</v>
          </cell>
          <cell r="J261" t="str">
            <v>MR</v>
          </cell>
          <cell r="K261" t="str">
            <v>Delta</v>
          </cell>
          <cell r="L261">
            <v>1033834028</v>
          </cell>
          <cell r="M261">
            <v>45963</v>
          </cell>
        </row>
        <row r="261">
          <cell r="O261">
            <v>1782</v>
          </cell>
          <cell r="P261" t="str">
            <v>El Zakazik City</v>
          </cell>
        </row>
        <row r="262">
          <cell r="D262" t="str">
            <v>Yasmeen Samir Imam Mohamed Hanafy</v>
          </cell>
          <cell r="E262" t="str">
            <v>L3_Vacant_Sharkia &amp; Qaluibia</v>
          </cell>
          <cell r="F262" t="str">
            <v>Ahmed Samir Ibrahim</v>
          </cell>
          <cell r="G262" t="str">
            <v>Ibrahim Ammar</v>
          </cell>
          <cell r="H262" t="str">
            <v>Pumpizan Line</v>
          </cell>
          <cell r="I262" t="str">
            <v>Rep10003</v>
          </cell>
          <cell r="J262" t="str">
            <v>MR</v>
          </cell>
          <cell r="K262" t="str">
            <v>Delta</v>
          </cell>
          <cell r="L262">
            <v>1015173557</v>
          </cell>
          <cell r="M262">
            <v>45452</v>
          </cell>
        </row>
        <row r="262">
          <cell r="O262">
            <v>1394</v>
          </cell>
          <cell r="P262" t="str">
            <v>Shebien El Kanater</v>
          </cell>
        </row>
        <row r="263">
          <cell r="D263" t="str">
            <v>Ibrahim Ali ElAshwah</v>
          </cell>
        </row>
        <row r="263">
          <cell r="G263" t="str">
            <v>Ibrahim Ammar</v>
          </cell>
          <cell r="H263" t="str">
            <v>Fulprazal Line &amp; Pumpizan Line</v>
          </cell>
          <cell r="I263" t="str">
            <v>ZM_13</v>
          </cell>
          <cell r="J263" t="str">
            <v>AM</v>
          </cell>
          <cell r="K263" t="str">
            <v>Alex</v>
          </cell>
          <cell r="L263" t="str">
            <v> 01013322499</v>
          </cell>
          <cell r="M263">
            <v>41177</v>
          </cell>
          <cell r="N263" t="str">
            <v>ibrahim.elashwah@averroes-eg.com</v>
          </cell>
          <cell r="O263">
            <v>66</v>
          </cell>
          <cell r="P263" t="str">
            <v>Kotour</v>
          </cell>
        </row>
        <row r="264">
          <cell r="D264" t="str">
            <v>Mohamed Yousef Mohamed Elbadawy</v>
          </cell>
        </row>
        <row r="264">
          <cell r="F264" t="str">
            <v>Ibrahim Ali ElAshwah</v>
          </cell>
          <cell r="G264" t="str">
            <v>Ibrahim Ammar</v>
          </cell>
          <cell r="H264" t="str">
            <v>Fulprazal Line</v>
          </cell>
          <cell r="I264" t="str">
            <v>DM1017</v>
          </cell>
          <cell r="J264" t="str">
            <v>DM</v>
          </cell>
          <cell r="K264" t="str">
            <v>Delta</v>
          </cell>
          <cell r="L264">
            <v>1069120162</v>
          </cell>
          <cell r="M264">
            <v>45752</v>
          </cell>
          <cell r="N264" t="str">
            <v>Mohamed.Yousef.Mohamed@averroes-eg.com</v>
          </cell>
          <cell r="O264">
            <v>1603</v>
          </cell>
        </row>
        <row r="265">
          <cell r="D265" t="str">
            <v>Fares Ahmed Elkady</v>
          </cell>
          <cell r="E265" t="str">
            <v>Mohamed Yousef Mohamed Elbadawy</v>
          </cell>
          <cell r="F265" t="str">
            <v>Ibrahim Ali ElAshwah</v>
          </cell>
          <cell r="G265" t="str">
            <v>Ibrahim Ammar</v>
          </cell>
          <cell r="H265" t="str">
            <v>Fulprazal Line</v>
          </cell>
          <cell r="I265" t="str">
            <v>Rep10095</v>
          </cell>
          <cell r="J265" t="str">
            <v>MR</v>
          </cell>
          <cell r="K265" t="str">
            <v>Delta</v>
          </cell>
          <cell r="L265">
            <v>1010340921</v>
          </cell>
          <cell r="M265">
            <v>45845</v>
          </cell>
        </row>
        <row r="265">
          <cell r="O265">
            <v>1708</v>
          </cell>
          <cell r="P265" t="str">
            <v>Basioun</v>
          </cell>
        </row>
        <row r="266">
          <cell r="D266" t="str">
            <v>Hams Fayez Mohamed khalil</v>
          </cell>
          <cell r="E266" t="str">
            <v>Mohamed Yousef Mohamed Elbadawy</v>
          </cell>
          <cell r="F266" t="str">
            <v>Ibrahim Ali ElAshwah</v>
          </cell>
          <cell r="G266" t="str">
            <v>Ibrahim Ammar</v>
          </cell>
          <cell r="H266" t="str">
            <v>Fulprazal Line</v>
          </cell>
          <cell r="I266" t="str">
            <v>Rep1014</v>
          </cell>
          <cell r="J266" t="str">
            <v>MR</v>
          </cell>
          <cell r="K266" t="str">
            <v>Delta</v>
          </cell>
          <cell r="L266">
            <v>1090247333</v>
          </cell>
          <cell r="M266">
            <v>45752</v>
          </cell>
        </row>
        <row r="266">
          <cell r="O266">
            <v>1602</v>
          </cell>
          <cell r="P266" t="str">
            <v>Shebien El Kom</v>
          </cell>
        </row>
        <row r="267">
          <cell r="D267" t="str">
            <v>Mohamed Tarek Saad</v>
          </cell>
          <cell r="E267" t="str">
            <v>Mohamed Yousef Mohamed Elbadawy</v>
          </cell>
          <cell r="F267" t="str">
            <v>Ibrahim Ali ElAshwah</v>
          </cell>
          <cell r="G267" t="str">
            <v>Ibrahim Ammar</v>
          </cell>
          <cell r="H267" t="str">
            <v>Fulprazal Line</v>
          </cell>
          <cell r="I267" t="str">
            <v>Rep1052</v>
          </cell>
          <cell r="J267" t="str">
            <v>MR</v>
          </cell>
          <cell r="K267" t="str">
            <v>Delta</v>
          </cell>
          <cell r="L267">
            <v>1110551752</v>
          </cell>
          <cell r="M267">
            <v>46113</v>
          </cell>
        </row>
        <row r="267">
          <cell r="O267">
            <v>1914</v>
          </cell>
          <cell r="P267" t="str">
            <v>El Mahala El Kobra</v>
          </cell>
        </row>
        <row r="268">
          <cell r="D268" t="str">
            <v>Yara Hossam Abbas</v>
          </cell>
          <cell r="E268" t="str">
            <v>Mohamed Yousef Mohamed Elbadawy</v>
          </cell>
          <cell r="F268" t="str">
            <v>Ibrahim Ali ElAshwah</v>
          </cell>
          <cell r="G268" t="str">
            <v>Ibrahim Ammar</v>
          </cell>
          <cell r="H268" t="str">
            <v>Fulprazal Line</v>
          </cell>
          <cell r="I268" t="str">
            <v>Rep028</v>
          </cell>
          <cell r="J268" t="str">
            <v>MR</v>
          </cell>
          <cell r="K268" t="str">
            <v>Delta</v>
          </cell>
          <cell r="L268">
            <v>1063435710</v>
          </cell>
          <cell r="M268">
            <v>46063</v>
          </cell>
        </row>
        <row r="268">
          <cell r="O268">
            <v>1868</v>
          </cell>
          <cell r="P268" t="str">
            <v>El Mahala El Kobra</v>
          </cell>
        </row>
        <row r="269">
          <cell r="D269" t="str">
            <v>Ibrahim Osama Ibrahim Ammar</v>
          </cell>
          <cell r="E269" t="str">
            <v>Mohamed Yousef Mohamed Elbadawy</v>
          </cell>
          <cell r="F269" t="str">
            <v>Ibrahim Ali ElAshwah</v>
          </cell>
          <cell r="G269" t="str">
            <v>Ibrahim Ammar</v>
          </cell>
          <cell r="H269" t="str">
            <v>Fulprazal Line</v>
          </cell>
          <cell r="I269" t="str">
            <v>Rep100091</v>
          </cell>
          <cell r="J269" t="str">
            <v>MR</v>
          </cell>
          <cell r="K269" t="str">
            <v>Delta</v>
          </cell>
          <cell r="L269">
            <v>1096567648</v>
          </cell>
          <cell r="M269">
            <v>46060</v>
          </cell>
        </row>
        <row r="269">
          <cell r="O269">
            <v>1859</v>
          </cell>
          <cell r="P269" t="str">
            <v>Menof</v>
          </cell>
        </row>
        <row r="270">
          <cell r="D270" t="str">
            <v>Merna Sobhy Aziz</v>
          </cell>
          <cell r="E270" t="str">
            <v>Mohamed Yousef Mohamed Elbadawy</v>
          </cell>
          <cell r="F270" t="str">
            <v>Ibrahim Ali ElAshwah</v>
          </cell>
          <cell r="G270" t="str">
            <v>Ibrahim Ammar</v>
          </cell>
          <cell r="H270" t="str">
            <v>Fulprazal Line</v>
          </cell>
          <cell r="I270" t="str">
            <v>Rep881</v>
          </cell>
          <cell r="J270" t="str">
            <v>MR</v>
          </cell>
          <cell r="K270" t="str">
            <v>Delta</v>
          </cell>
          <cell r="L270">
            <v>1204850554</v>
          </cell>
          <cell r="M270">
            <v>45262</v>
          </cell>
        </row>
        <row r="270">
          <cell r="O270">
            <v>1304</v>
          </cell>
          <cell r="P270" t="str">
            <v>Kafr El zayat</v>
          </cell>
        </row>
        <row r="271">
          <cell r="D271" t="str">
            <v>Nourhan Bashir elagrood</v>
          </cell>
          <cell r="E271" t="str">
            <v>Mohamed Yousef Mohamed Elbadawy</v>
          </cell>
          <cell r="F271" t="str">
            <v>Ibrahim Ali ElAshwah</v>
          </cell>
          <cell r="G271" t="str">
            <v>Ibrahim Ammar</v>
          </cell>
          <cell r="H271" t="str">
            <v>Fulprazal Line</v>
          </cell>
          <cell r="I271" t="str">
            <v>Rep103</v>
          </cell>
          <cell r="J271" t="str">
            <v>MR</v>
          </cell>
          <cell r="K271" t="str">
            <v>Delta</v>
          </cell>
          <cell r="L271">
            <v>1002868312</v>
          </cell>
          <cell r="M271">
            <v>43851</v>
          </cell>
        </row>
        <row r="271">
          <cell r="O271">
            <v>550</v>
          </cell>
          <cell r="P271" t="str">
            <v>Shebien El Kom</v>
          </cell>
        </row>
        <row r="272">
          <cell r="D272" t="str">
            <v>Taha Mahmoud Taha Messlem</v>
          </cell>
          <cell r="E272" t="str">
            <v>Mohamed Yousef Mohamed Elbadawy</v>
          </cell>
          <cell r="F272" t="str">
            <v>Ibrahim Ali ElAshwah</v>
          </cell>
          <cell r="G272" t="str">
            <v>Ibrahim Ammar</v>
          </cell>
          <cell r="H272" t="str">
            <v>Fulprazal Line</v>
          </cell>
          <cell r="I272" t="str">
            <v>Rep353</v>
          </cell>
          <cell r="J272" t="str">
            <v>MR</v>
          </cell>
          <cell r="K272" t="str">
            <v>Delta</v>
          </cell>
          <cell r="L272">
            <v>1066420067</v>
          </cell>
          <cell r="M272">
            <v>44710</v>
          </cell>
        </row>
        <row r="272">
          <cell r="O272">
            <v>969</v>
          </cell>
          <cell r="P272" t="str">
            <v>El Sanata</v>
          </cell>
        </row>
        <row r="273">
          <cell r="D273" t="str">
            <v>Nader Elsayed Mahmoud</v>
          </cell>
        </row>
        <row r="273">
          <cell r="F273" t="str">
            <v>Ibrahim Ali ElAshwah</v>
          </cell>
          <cell r="G273" t="str">
            <v>Ibrahim Ammar</v>
          </cell>
          <cell r="H273" t="str">
            <v>Fulprazal Line</v>
          </cell>
          <cell r="I273" t="str">
            <v>Rep588</v>
          </cell>
          <cell r="J273" t="str">
            <v>DM</v>
          </cell>
          <cell r="K273" t="str">
            <v>Alex</v>
          </cell>
          <cell r="L273">
            <v>1016324647</v>
          </cell>
          <cell r="M273">
            <v>44928</v>
          </cell>
          <cell r="N273" t="str">
            <v>Nader.Elsayed.Mahmoud@averroes-eg.com</v>
          </cell>
          <cell r="O273">
            <v>1041</v>
          </cell>
          <cell r="P273" t="str">
            <v>Kafr El Shiekh</v>
          </cell>
        </row>
        <row r="274">
          <cell r="D274" t="str">
            <v>Abdelrahman Saber Elmaghraby</v>
          </cell>
          <cell r="E274" t="str">
            <v>Nader Elsayed Mahmoud</v>
          </cell>
          <cell r="F274" t="str">
            <v>Ibrahim Ali ElAshwah</v>
          </cell>
          <cell r="G274" t="str">
            <v>Ibrahim Ammar</v>
          </cell>
          <cell r="H274" t="str">
            <v>Fulprazal Line</v>
          </cell>
          <cell r="I274" t="str">
            <v>Rep1046</v>
          </cell>
          <cell r="J274" t="str">
            <v>MR</v>
          </cell>
          <cell r="K274" t="str">
            <v>Alex</v>
          </cell>
          <cell r="L274">
            <v>1021209573</v>
          </cell>
          <cell r="M274">
            <v>46023</v>
          </cell>
        </row>
        <row r="274">
          <cell r="O274">
            <v>1828</v>
          </cell>
          <cell r="P274" t="str">
            <v>Desouk</v>
          </cell>
        </row>
        <row r="275">
          <cell r="D275" t="str">
            <v>Aya Mohamed Fawzy Badawy</v>
          </cell>
          <cell r="E275" t="str">
            <v>Nader Elsayed Mahmoud</v>
          </cell>
          <cell r="F275" t="str">
            <v>Ibrahim Ali ElAshwah</v>
          </cell>
          <cell r="G275" t="str">
            <v>Ibrahim Ammar</v>
          </cell>
          <cell r="H275" t="str">
            <v>Fulprazal Line</v>
          </cell>
          <cell r="I275" t="str">
            <v>AVR_25</v>
          </cell>
          <cell r="J275" t="str">
            <v>MR</v>
          </cell>
          <cell r="K275" t="str">
            <v>Alex</v>
          </cell>
          <cell r="L275">
            <v>1023216007</v>
          </cell>
          <cell r="M275">
            <v>45689</v>
          </cell>
        </row>
        <row r="275">
          <cell r="O275">
            <v>1522</v>
          </cell>
          <cell r="P275" t="str">
            <v>Kafr El Shiekh</v>
          </cell>
        </row>
        <row r="276">
          <cell r="D276" t="str">
            <v>Eman Atta Mohamed Baz</v>
          </cell>
          <cell r="E276" t="str">
            <v>Nader Elsayed Mahmoud</v>
          </cell>
          <cell r="F276" t="str">
            <v>Ibrahim Ali ElAshwah</v>
          </cell>
          <cell r="G276" t="str">
            <v>Ibrahim Ammar</v>
          </cell>
          <cell r="H276" t="str">
            <v>Fulprazal Line</v>
          </cell>
          <cell r="I276" t="str">
            <v>AVR_63</v>
          </cell>
          <cell r="J276" t="str">
            <v>MR</v>
          </cell>
          <cell r="K276" t="str">
            <v>Alex</v>
          </cell>
          <cell r="L276">
            <v>1069136230</v>
          </cell>
          <cell r="M276">
            <v>45710</v>
          </cell>
        </row>
        <row r="276">
          <cell r="O276">
            <v>1552</v>
          </cell>
          <cell r="P276" t="str">
            <v>Kafr El Shiekh</v>
          </cell>
        </row>
        <row r="277">
          <cell r="D277" t="str">
            <v>Mohamed Ragab Aboghazala</v>
          </cell>
          <cell r="E277" t="str">
            <v>Nader Elsayed Mahmoud</v>
          </cell>
          <cell r="F277" t="str">
            <v>Ibrahim Ali ElAshwah</v>
          </cell>
          <cell r="G277" t="str">
            <v>Ibrahim Ammar</v>
          </cell>
          <cell r="H277" t="str">
            <v>Fulprazal Line</v>
          </cell>
          <cell r="I277" t="str">
            <v>rep000020</v>
          </cell>
          <cell r="J277" t="str">
            <v>MR</v>
          </cell>
          <cell r="K277" t="str">
            <v>Alex</v>
          </cell>
          <cell r="L277">
            <v>1014947200</v>
          </cell>
          <cell r="M277">
            <v>45934</v>
          </cell>
        </row>
        <row r="277">
          <cell r="O277">
            <v>1762</v>
          </cell>
          <cell r="P277" t="str">
            <v>Etay El Baroud</v>
          </cell>
        </row>
        <row r="278">
          <cell r="D278" t="str">
            <v>Farouk Mohamed Emara</v>
          </cell>
          <cell r="E278" t="str">
            <v>Nader Elsayed Mahmoud</v>
          </cell>
          <cell r="F278" t="str">
            <v>Ibrahim Ali ElAshwah</v>
          </cell>
          <cell r="G278" t="str">
            <v>Ibrahim Ammar</v>
          </cell>
          <cell r="H278" t="str">
            <v>Fulprazal Line</v>
          </cell>
        </row>
        <row r="278">
          <cell r="J278" t="str">
            <v>MR</v>
          </cell>
          <cell r="K278" t="str">
            <v>Alex</v>
          </cell>
          <cell r="L278">
            <v>1090632837</v>
          </cell>
          <cell r="M278">
            <v>46055</v>
          </cell>
        </row>
        <row r="278">
          <cell r="O278">
            <v>1854</v>
          </cell>
          <cell r="P278" t="str">
            <v>Housh Easa</v>
          </cell>
        </row>
        <row r="279">
          <cell r="D279" t="str">
            <v>L2_Vacant_Beheira 3</v>
          </cell>
          <cell r="E279" t="str">
            <v>Nader Elsayed Mahmoud</v>
          </cell>
          <cell r="F279" t="str">
            <v>Ibrahim Ali ElAshwah</v>
          </cell>
          <cell r="G279" t="str">
            <v>Ibrahim Ammar</v>
          </cell>
          <cell r="H279" t="str">
            <v>Fulprazal Line</v>
          </cell>
          <cell r="I279" t="str">
            <v>Rep1056</v>
          </cell>
          <cell r="J279" t="str">
            <v>MR</v>
          </cell>
          <cell r="K279" t="str">
            <v>Alex</v>
          </cell>
        </row>
        <row r="279">
          <cell r="O279">
            <v>0</v>
          </cell>
        </row>
        <row r="280">
          <cell r="D280" t="str">
            <v>Osama Mohamed Beais</v>
          </cell>
          <cell r="E280" t="str">
            <v>Nader Elsayed Mahmoud</v>
          </cell>
          <cell r="F280" t="str">
            <v>Ibrahim Ali ElAshwah</v>
          </cell>
          <cell r="G280" t="str">
            <v>Ibrahim Ammar</v>
          </cell>
          <cell r="H280" t="str">
            <v>Fulprazal Line</v>
          </cell>
          <cell r="I280" t="str">
            <v>Rep1023</v>
          </cell>
          <cell r="J280" t="str">
            <v>MR</v>
          </cell>
          <cell r="K280" t="str">
            <v>Alex</v>
          </cell>
          <cell r="L280">
            <v>1018162025</v>
          </cell>
          <cell r="M280">
            <v>45844</v>
          </cell>
        </row>
        <row r="280">
          <cell r="O280">
            <v>1703</v>
          </cell>
          <cell r="P280" t="str">
            <v>Damanhour</v>
          </cell>
        </row>
        <row r="281">
          <cell r="D281" t="str">
            <v>Shimaa Gamal Rizk</v>
          </cell>
          <cell r="E281" t="str">
            <v>Nader Elsayed Mahmoud</v>
          </cell>
          <cell r="F281" t="str">
            <v>Ibrahim Ali ElAshwah</v>
          </cell>
          <cell r="G281" t="str">
            <v>Ibrahim Ammar</v>
          </cell>
          <cell r="H281" t="str">
            <v>Fulprazal Line</v>
          </cell>
          <cell r="I281" t="str">
            <v>AVR_35</v>
          </cell>
          <cell r="J281" t="str">
            <v>MR</v>
          </cell>
          <cell r="K281" t="str">
            <v>Alex</v>
          </cell>
          <cell r="L281">
            <v>1207226923</v>
          </cell>
          <cell r="M281">
            <v>45696</v>
          </cell>
        </row>
        <row r="281">
          <cell r="O281">
            <v>1532</v>
          </cell>
          <cell r="P281" t="str">
            <v>Kafr El Dawar</v>
          </cell>
        </row>
        <row r="282">
          <cell r="D282" t="str">
            <v>Rahma Mohamed Shehata</v>
          </cell>
        </row>
        <row r="282">
          <cell r="F282" t="str">
            <v>Ibrahim Ali ElAshwah</v>
          </cell>
          <cell r="G282" t="str">
            <v>Ibrahim Ammar</v>
          </cell>
          <cell r="H282" t="str">
            <v>Fulprazal Line</v>
          </cell>
          <cell r="I282" t="str">
            <v>DM0397</v>
          </cell>
          <cell r="J282" t="str">
            <v>DM</v>
          </cell>
          <cell r="K282" t="str">
            <v>Alex</v>
          </cell>
          <cell r="L282">
            <v>1022162779</v>
          </cell>
          <cell r="M282">
            <v>44348</v>
          </cell>
          <cell r="N282" t="str">
            <v>Rahma.Mohamed.Shehata@averroes-eg.com</v>
          </cell>
          <cell r="O282">
            <v>784</v>
          </cell>
          <cell r="P282" t="str">
            <v>Moharam Bek</v>
          </cell>
        </row>
        <row r="283">
          <cell r="D283" t="str">
            <v>Clara Atef Fahmy</v>
          </cell>
          <cell r="E283" t="str">
            <v>Rahma Mohamed Shehata</v>
          </cell>
          <cell r="F283" t="str">
            <v>Ibrahim Ali ElAshwah</v>
          </cell>
          <cell r="G283" t="str">
            <v>Ibrahim Ammar</v>
          </cell>
          <cell r="H283" t="str">
            <v>Fulprazal Line</v>
          </cell>
          <cell r="I283" t="str">
            <v>Rep049</v>
          </cell>
          <cell r="J283" t="str">
            <v>MR</v>
          </cell>
          <cell r="K283" t="str">
            <v>Alex</v>
          </cell>
          <cell r="L283">
            <v>1222357698</v>
          </cell>
          <cell r="M283">
            <v>45449</v>
          </cell>
        </row>
        <row r="283">
          <cell r="O283">
            <v>1388</v>
          </cell>
          <cell r="P283" t="str">
            <v>Sidi Beshr Kebly</v>
          </cell>
        </row>
        <row r="284">
          <cell r="D284" t="str">
            <v>Fatma Ahmed Ali AbuZaid</v>
          </cell>
          <cell r="E284" t="str">
            <v>Rahma Mohamed Shehata</v>
          </cell>
          <cell r="F284" t="str">
            <v>Ibrahim Ali ElAshwah</v>
          </cell>
          <cell r="G284" t="str">
            <v>Ibrahim Ammar</v>
          </cell>
          <cell r="H284" t="str">
            <v>Fulprazal Line</v>
          </cell>
          <cell r="I284" t="str">
            <v>AVR_49</v>
          </cell>
          <cell r="J284" t="str">
            <v>MR</v>
          </cell>
          <cell r="K284" t="str">
            <v>Alex</v>
          </cell>
          <cell r="L284">
            <v>1278461301</v>
          </cell>
          <cell r="M284">
            <v>45703</v>
          </cell>
        </row>
        <row r="284">
          <cell r="O284">
            <v>1542</v>
          </cell>
          <cell r="P284" t="str">
            <v> Abo Talaat</v>
          </cell>
        </row>
        <row r="285">
          <cell r="D285" t="str">
            <v>Yara Osama Hashad</v>
          </cell>
          <cell r="E285" t="str">
            <v>Rahma Mohamed Shehata</v>
          </cell>
          <cell r="F285" t="str">
            <v>Ibrahim Ali ElAshwah</v>
          </cell>
          <cell r="G285" t="str">
            <v>Ibrahim Ammar</v>
          </cell>
          <cell r="H285" t="str">
            <v>Fulprazal Line</v>
          </cell>
          <cell r="I285" t="str">
            <v>Rep_00138</v>
          </cell>
          <cell r="J285" t="str">
            <v>MR</v>
          </cell>
          <cell r="K285" t="str">
            <v>Alex</v>
          </cell>
          <cell r="L285">
            <v>1063409352</v>
          </cell>
          <cell r="M285">
            <v>46042</v>
          </cell>
        </row>
        <row r="285">
          <cell r="O285">
            <v>1840</v>
          </cell>
          <cell r="P285" t="str">
            <v>Sidi Beshr Kebly</v>
          </cell>
        </row>
        <row r="286">
          <cell r="D286" t="str">
            <v>Esraa Abdelrehem Mohamed</v>
          </cell>
          <cell r="E286" t="str">
            <v>Rahma Mohamed Shehata</v>
          </cell>
          <cell r="F286" t="str">
            <v>Ibrahim Ali ElAshwah</v>
          </cell>
          <cell r="G286" t="str">
            <v>Ibrahim Ammar</v>
          </cell>
          <cell r="H286" t="str">
            <v>Fulprazal Line</v>
          </cell>
          <cell r="I286" t="str">
            <v>Rep0040</v>
          </cell>
          <cell r="J286" t="str">
            <v>MR</v>
          </cell>
          <cell r="K286" t="str">
            <v>Alex</v>
          </cell>
          <cell r="L286">
            <v>1158012822</v>
          </cell>
          <cell r="M286">
            <v>46067</v>
          </cell>
        </row>
        <row r="286">
          <cell r="O286">
            <v>1878</v>
          </cell>
          <cell r="P286" t="str">
            <v>El Awaied</v>
          </cell>
        </row>
        <row r="287">
          <cell r="D287" t="str">
            <v>L2_Vacant_Alex West 1</v>
          </cell>
          <cell r="E287" t="str">
            <v>Rahma Mohamed Shehata</v>
          </cell>
          <cell r="F287" t="str">
            <v>Ibrahim Ali ElAshwah</v>
          </cell>
          <cell r="G287" t="str">
            <v>Ibrahim Ammar</v>
          </cell>
          <cell r="H287" t="str">
            <v>Fulprazal Line</v>
          </cell>
          <cell r="I287" t="str">
            <v>Rep_00013</v>
          </cell>
          <cell r="J287" t="str">
            <v>MR</v>
          </cell>
          <cell r="K287" t="str">
            <v>Alex</v>
          </cell>
        </row>
        <row r="287">
          <cell r="O287">
            <v>0</v>
          </cell>
        </row>
        <row r="288">
          <cell r="D288" t="str">
            <v>Marina Reda Wadie</v>
          </cell>
          <cell r="E288" t="str">
            <v>Rahma Mohamed Shehata</v>
          </cell>
          <cell r="F288" t="str">
            <v>Ibrahim Ali ElAshwah</v>
          </cell>
          <cell r="G288" t="str">
            <v>Ibrahim Ammar</v>
          </cell>
          <cell r="H288" t="str">
            <v>Fulprazal Line</v>
          </cell>
          <cell r="I288" t="str">
            <v>AVR_47</v>
          </cell>
          <cell r="J288" t="str">
            <v>MR</v>
          </cell>
          <cell r="K288" t="str">
            <v>Alex</v>
          </cell>
          <cell r="L288">
            <v>1281913634</v>
          </cell>
          <cell r="M288">
            <v>46082</v>
          </cell>
        </row>
        <row r="288">
          <cell r="O288">
            <v>1896</v>
          </cell>
          <cell r="P288" t="str">
            <v>Miami</v>
          </cell>
        </row>
        <row r="289">
          <cell r="D289" t="str">
            <v>Sherif Kamal Eldin Saber</v>
          </cell>
          <cell r="E289" t="str">
            <v>Rahma Mohamed Shehata</v>
          </cell>
          <cell r="F289" t="str">
            <v>Ibrahim Ali ElAshwah</v>
          </cell>
          <cell r="G289" t="str">
            <v>Ibrahim Ammar</v>
          </cell>
          <cell r="H289" t="str">
            <v>Fulprazal Line</v>
          </cell>
          <cell r="I289" t="str">
            <v>Rep1057</v>
          </cell>
          <cell r="J289" t="str">
            <v>MR</v>
          </cell>
          <cell r="K289" t="str">
            <v>Alex</v>
          </cell>
          <cell r="L289">
            <v>1205032441</v>
          </cell>
          <cell r="M289">
            <v>46025</v>
          </cell>
        </row>
        <row r="289">
          <cell r="O289">
            <v>1832</v>
          </cell>
          <cell r="P289" t="str">
            <v>El Hadra El Gededa</v>
          </cell>
        </row>
        <row r="290">
          <cell r="D290" t="str">
            <v>Esraa Hassan Ibrahim</v>
          </cell>
        </row>
        <row r="290">
          <cell r="F290" t="str">
            <v>Ibrahim Ali ElAshwah</v>
          </cell>
          <cell r="G290" t="str">
            <v>Ibrahim Ammar</v>
          </cell>
          <cell r="H290" t="str">
            <v>Pumpizan Line</v>
          </cell>
          <cell r="I290" t="str">
            <v>Rep569</v>
          </cell>
          <cell r="J290" t="str">
            <v>DM</v>
          </cell>
          <cell r="K290" t="str">
            <v>Alex</v>
          </cell>
          <cell r="L290" t="str">
            <v> 01001255198</v>
          </cell>
          <cell r="M290">
            <v>44927</v>
          </cell>
          <cell r="N290" t="str">
            <v>Esraa.Hassan.Ibrahim@averroes-eg.com</v>
          </cell>
          <cell r="O290">
            <v>1038</v>
          </cell>
          <cell r="P290" t="str">
            <v>El Mahala El Kobra</v>
          </cell>
        </row>
        <row r="291">
          <cell r="D291" t="str">
            <v>Eman Tarek Ramadan</v>
          </cell>
          <cell r="E291" t="str">
            <v>Esraa Hassan Ibrahim</v>
          </cell>
          <cell r="F291" t="str">
            <v>Ibrahim Ali ElAshwah</v>
          </cell>
          <cell r="G291" t="str">
            <v>Ibrahim Ammar</v>
          </cell>
          <cell r="H291" t="str">
            <v>Pumpizan Line</v>
          </cell>
          <cell r="I291" t="str">
            <v>AVR_36</v>
          </cell>
          <cell r="J291" t="str">
            <v>MR</v>
          </cell>
          <cell r="K291" t="str">
            <v>Delta</v>
          </cell>
          <cell r="L291">
            <v>1276158599</v>
          </cell>
          <cell r="M291">
            <v>45696</v>
          </cell>
        </row>
        <row r="291">
          <cell r="O291">
            <v>1533</v>
          </cell>
          <cell r="P291" t="str">
            <v>Shebien El Kom</v>
          </cell>
        </row>
        <row r="292">
          <cell r="D292" t="str">
            <v>Fatma El-Zahraa Mahmoud Osman Khalaf</v>
          </cell>
          <cell r="E292" t="str">
            <v>Esraa Hassan Ibrahim</v>
          </cell>
          <cell r="F292" t="str">
            <v>Ibrahim Ali ElAshwah</v>
          </cell>
          <cell r="G292" t="str">
            <v>Ibrahim Ammar</v>
          </cell>
          <cell r="H292" t="str">
            <v>Pumpizan Line</v>
          </cell>
          <cell r="I292" t="str">
            <v>Rep108</v>
          </cell>
          <cell r="J292" t="str">
            <v>MR</v>
          </cell>
          <cell r="K292" t="str">
            <v>Delta</v>
          </cell>
          <cell r="L292">
            <v>1096781188</v>
          </cell>
          <cell r="M292">
            <v>44625</v>
          </cell>
        </row>
        <row r="292">
          <cell r="O292">
            <v>956</v>
          </cell>
          <cell r="P292" t="str">
            <v>El Sanata</v>
          </cell>
        </row>
        <row r="293">
          <cell r="D293" t="str">
            <v>Jala Zozo Mahrous</v>
          </cell>
          <cell r="E293" t="str">
            <v>Esraa Hassan Ibrahim</v>
          </cell>
          <cell r="F293" t="str">
            <v>Ibrahim Ali ElAshwah</v>
          </cell>
          <cell r="G293" t="str">
            <v>Ibrahim Ammar</v>
          </cell>
          <cell r="H293" t="str">
            <v>Pumpizan Line</v>
          </cell>
          <cell r="I293" t="str">
            <v>Rep100087</v>
          </cell>
          <cell r="J293" t="str">
            <v>MR</v>
          </cell>
          <cell r="K293" t="str">
            <v>Delta</v>
          </cell>
          <cell r="L293">
            <v>1552197356</v>
          </cell>
          <cell r="M293">
            <v>45658</v>
          </cell>
        </row>
        <row r="293">
          <cell r="O293">
            <v>1485</v>
          </cell>
        </row>
        <row r="294">
          <cell r="D294" t="str">
            <v>Toqa Assem Abohashem</v>
          </cell>
          <cell r="E294" t="str">
            <v>Esraa Hassan Ibrahim</v>
          </cell>
          <cell r="F294" t="str">
            <v>Ibrahim Ali ElAshwah</v>
          </cell>
          <cell r="G294" t="str">
            <v>Ibrahim Ammar</v>
          </cell>
          <cell r="H294" t="str">
            <v>Pumpizan Line</v>
          </cell>
          <cell r="I294" t="str">
            <v>Rep1042</v>
          </cell>
          <cell r="J294" t="str">
            <v>MR</v>
          </cell>
          <cell r="K294" t="str">
            <v>Delta</v>
          </cell>
          <cell r="L294">
            <v>1108669897</v>
          </cell>
          <cell r="M294">
            <v>46061</v>
          </cell>
        </row>
        <row r="294">
          <cell r="O294">
            <v>1866</v>
          </cell>
          <cell r="P294" t="str">
            <v>Shebien El Kom</v>
          </cell>
        </row>
        <row r="295">
          <cell r="D295" t="str">
            <v>Mai Osman AbdElHay</v>
          </cell>
          <cell r="E295" t="str">
            <v>Esraa Hassan Ibrahim</v>
          </cell>
          <cell r="F295" t="str">
            <v>Ibrahim Ali ElAshwah</v>
          </cell>
          <cell r="G295" t="str">
            <v>Ibrahim Ammar</v>
          </cell>
          <cell r="H295" t="str">
            <v>Pumpizan Line</v>
          </cell>
          <cell r="I295" t="str">
            <v>Rep454</v>
          </cell>
          <cell r="J295" t="str">
            <v>MR</v>
          </cell>
          <cell r="K295" t="str">
            <v>Delta</v>
          </cell>
          <cell r="L295">
            <v>1033948887</v>
          </cell>
          <cell r="M295">
            <v>44851</v>
          </cell>
        </row>
        <row r="295">
          <cell r="O295">
            <v>1011</v>
          </cell>
          <cell r="P295" t="str">
            <v>El Mahala El Kobra</v>
          </cell>
        </row>
        <row r="296">
          <cell r="D296" t="str">
            <v>Mostafa Emad AboTalep</v>
          </cell>
          <cell r="E296" t="str">
            <v>Esraa Hassan Ibrahim</v>
          </cell>
          <cell r="F296" t="str">
            <v>Ibrahim Ali ElAshwah</v>
          </cell>
          <cell r="G296" t="str">
            <v>Ibrahim Ammar</v>
          </cell>
          <cell r="H296" t="str">
            <v>Pumpizan Line</v>
          </cell>
          <cell r="I296" t="str">
            <v>Rep1021</v>
          </cell>
          <cell r="J296" t="str">
            <v>MR</v>
          </cell>
          <cell r="K296" t="str">
            <v>Delta</v>
          </cell>
          <cell r="L296">
            <v>1070859552</v>
          </cell>
          <cell r="M296">
            <v>45822</v>
          </cell>
        </row>
        <row r="296">
          <cell r="O296">
            <v>1701</v>
          </cell>
          <cell r="P296" t="str">
            <v>Menof</v>
          </cell>
        </row>
        <row r="297">
          <cell r="D297" t="str">
            <v>Nada ZainElAbdeen Ahmed</v>
          </cell>
          <cell r="E297" t="str">
            <v>Esraa Hassan Ibrahim</v>
          </cell>
          <cell r="F297" t="str">
            <v>Ibrahim Ali ElAshwah</v>
          </cell>
          <cell r="G297" t="str">
            <v>Ibrahim Ammar</v>
          </cell>
          <cell r="H297" t="str">
            <v>Pumpizan Line</v>
          </cell>
          <cell r="I297" t="str">
            <v>AVR_46</v>
          </cell>
          <cell r="J297" t="str">
            <v>MR</v>
          </cell>
          <cell r="K297" t="str">
            <v>Delta</v>
          </cell>
          <cell r="L297">
            <v>1205425576</v>
          </cell>
          <cell r="M297">
            <v>45697</v>
          </cell>
        </row>
        <row r="297">
          <cell r="O297">
            <v>1538</v>
          </cell>
          <cell r="P297" t="str">
            <v>Tanta City</v>
          </cell>
        </row>
        <row r="298">
          <cell r="D298" t="str">
            <v>Kyrollos Naguib Fakhry</v>
          </cell>
        </row>
        <row r="298">
          <cell r="F298" t="str">
            <v>Ibrahim Ali ElAshwah</v>
          </cell>
          <cell r="G298" t="str">
            <v>Ibrahim Ammar</v>
          </cell>
          <cell r="H298" t="str">
            <v>Pumpizan Line</v>
          </cell>
          <cell r="I298" t="str">
            <v>DM_18</v>
          </cell>
          <cell r="J298" t="str">
            <v>DM</v>
          </cell>
          <cell r="K298" t="str">
            <v>Alex</v>
          </cell>
          <cell r="L298" t="str">
            <v> 01273889796</v>
          </cell>
          <cell r="M298">
            <v>43202</v>
          </cell>
          <cell r="N298" t="str">
            <v>kerelis.naguib@averroes-eg.com</v>
          </cell>
          <cell r="O298">
            <v>280</v>
          </cell>
          <cell r="P298" t="str">
            <v>Moharam Bek</v>
          </cell>
        </row>
        <row r="299">
          <cell r="D299" t="str">
            <v>AbdElRahman Mohamed Ghanem</v>
          </cell>
          <cell r="E299" t="str">
            <v>Kyrollos Naguib Fakhry</v>
          </cell>
          <cell r="F299" t="str">
            <v>Ibrahim Ali ElAshwah</v>
          </cell>
          <cell r="G299" t="str">
            <v>Ibrahim Ammar</v>
          </cell>
          <cell r="H299" t="str">
            <v>Pumpizan Line</v>
          </cell>
          <cell r="I299" t="str">
            <v>Rep100031</v>
          </cell>
          <cell r="J299" t="str">
            <v>MR</v>
          </cell>
          <cell r="K299" t="str">
            <v>Alex</v>
          </cell>
          <cell r="L299">
            <v>1061838590</v>
          </cell>
          <cell r="M299">
            <v>45512</v>
          </cell>
        </row>
        <row r="299">
          <cell r="O299">
            <v>1421</v>
          </cell>
          <cell r="P299" t="str">
            <v>El Falaky (Alex)</v>
          </cell>
        </row>
        <row r="300">
          <cell r="D300" t="str">
            <v>Ahmed Wael ElSayed ElGohary</v>
          </cell>
          <cell r="E300" t="str">
            <v>Kyrollos Naguib Fakhry</v>
          </cell>
          <cell r="F300" t="str">
            <v>Ibrahim Ali ElAshwah</v>
          </cell>
          <cell r="G300" t="str">
            <v>Ibrahim Ammar</v>
          </cell>
          <cell r="H300" t="str">
            <v>Pumpizan Line</v>
          </cell>
          <cell r="I300" t="str">
            <v>Rep10008</v>
          </cell>
          <cell r="J300" t="str">
            <v>MR</v>
          </cell>
          <cell r="K300" t="str">
            <v>Alex</v>
          </cell>
          <cell r="L300">
            <v>1551375572</v>
          </cell>
          <cell r="M300">
            <v>45474</v>
          </cell>
        </row>
        <row r="300">
          <cell r="O300">
            <v>1403</v>
          </cell>
          <cell r="P300" t="str">
            <v>Moharam Bek</v>
          </cell>
        </row>
        <row r="301">
          <cell r="D301" t="str">
            <v>Aya Mohamed ElSayed</v>
          </cell>
          <cell r="E301" t="str">
            <v>Kyrollos Naguib Fakhry</v>
          </cell>
          <cell r="F301" t="str">
            <v>Ibrahim Ali ElAshwah</v>
          </cell>
          <cell r="G301" t="str">
            <v>Ibrahim Ammar</v>
          </cell>
          <cell r="H301" t="str">
            <v>Pumpizan Line</v>
          </cell>
          <cell r="I301" t="str">
            <v>Rep591</v>
          </cell>
          <cell r="J301" t="str">
            <v>MR</v>
          </cell>
          <cell r="K301" t="str">
            <v>Alex</v>
          </cell>
          <cell r="L301" t="str">
            <v> 01111760452</v>
          </cell>
          <cell r="M301">
            <v>44933</v>
          </cell>
        </row>
        <row r="301">
          <cell r="O301">
            <v>1057</v>
          </cell>
          <cell r="P301" t="str">
            <v>Karmous - Kom El Shoafa</v>
          </cell>
        </row>
        <row r="302">
          <cell r="D302" t="str">
            <v>Juliana Atef Adly</v>
          </cell>
          <cell r="E302" t="str">
            <v>Kyrollos Naguib Fakhry</v>
          </cell>
          <cell r="F302" t="str">
            <v>Ibrahim Ali ElAshwah</v>
          </cell>
          <cell r="G302" t="str">
            <v>Ibrahim Ammar</v>
          </cell>
          <cell r="H302" t="str">
            <v>Pumpizan Line</v>
          </cell>
          <cell r="I302" t="str">
            <v>Rep1040</v>
          </cell>
          <cell r="J302" t="str">
            <v>MR</v>
          </cell>
          <cell r="K302" t="str">
            <v>Alex</v>
          </cell>
          <cell r="L302">
            <v>1550324451</v>
          </cell>
          <cell r="M302">
            <v>46082</v>
          </cell>
        </row>
        <row r="302">
          <cell r="O302">
            <v>1885</v>
          </cell>
          <cell r="P302" t="str">
            <v>El Asafra</v>
          </cell>
        </row>
        <row r="303">
          <cell r="D303" t="str">
            <v>Salma Essam Abdo Ali</v>
          </cell>
          <cell r="E303" t="str">
            <v>Kyrollos Naguib Fakhry</v>
          </cell>
          <cell r="F303" t="str">
            <v>Ibrahim Ali ElAshwah</v>
          </cell>
          <cell r="G303" t="str">
            <v>Ibrahim Ammar</v>
          </cell>
          <cell r="H303" t="str">
            <v>Pumpizan Line</v>
          </cell>
          <cell r="I303" t="str">
            <v>Rep10058</v>
          </cell>
          <cell r="J303" t="str">
            <v>MR</v>
          </cell>
          <cell r="K303" t="str">
            <v>Alex</v>
          </cell>
          <cell r="L303">
            <v>1000983428</v>
          </cell>
          <cell r="M303">
            <v>45720</v>
          </cell>
        </row>
        <row r="303">
          <cell r="O303">
            <v>1579</v>
          </cell>
          <cell r="P303" t="str">
            <v>Baccos - El Raml El Meery</v>
          </cell>
        </row>
        <row r="304">
          <cell r="D304" t="str">
            <v>Ziad HossamElDin Khalil</v>
          </cell>
          <cell r="E304" t="str">
            <v>Kyrollos Naguib Fakhry</v>
          </cell>
          <cell r="F304" t="str">
            <v>Ibrahim Ali ElAshwah</v>
          </cell>
          <cell r="G304" t="str">
            <v>Ibrahim Ammar</v>
          </cell>
          <cell r="H304" t="str">
            <v>Pumpizan Line</v>
          </cell>
          <cell r="I304" t="str">
            <v>AVR_48</v>
          </cell>
          <cell r="J304" t="str">
            <v>MR</v>
          </cell>
          <cell r="K304" t="str">
            <v>Alex</v>
          </cell>
          <cell r="L304">
            <v>1025704989</v>
          </cell>
          <cell r="M304">
            <v>45699</v>
          </cell>
        </row>
        <row r="304">
          <cell r="O304">
            <v>1540</v>
          </cell>
          <cell r="P304" t="str">
            <v>El Laban</v>
          </cell>
        </row>
        <row r="305">
          <cell r="D305" t="str">
            <v>Salma ElSayed Khater</v>
          </cell>
        </row>
        <row r="305">
          <cell r="F305" t="str">
            <v>Ibrahim Ali ElAshwah</v>
          </cell>
          <cell r="G305" t="str">
            <v>Ibrahim Ammar</v>
          </cell>
          <cell r="H305" t="str">
            <v>Pumpizan Line</v>
          </cell>
          <cell r="I305" t="str">
            <v>DM_134</v>
          </cell>
          <cell r="J305" t="str">
            <v>DM</v>
          </cell>
          <cell r="K305" t="str">
            <v>Alex</v>
          </cell>
          <cell r="L305">
            <v>1020097433</v>
          </cell>
          <cell r="M305">
            <v>45269</v>
          </cell>
          <cell r="N305" t="str">
            <v>Salma.Khater@averroes-eg.com</v>
          </cell>
          <cell r="O305">
            <v>1316</v>
          </cell>
          <cell r="P305" t="str">
            <v>Shoubra (Damanhour)</v>
          </cell>
        </row>
        <row r="306">
          <cell r="D306" t="str">
            <v>Amr Ahmed Saied</v>
          </cell>
          <cell r="E306" t="str">
            <v>Salma ElSayed Khater</v>
          </cell>
          <cell r="F306" t="str">
            <v>Ibrahim Ali ElAshwah</v>
          </cell>
          <cell r="G306" t="str">
            <v>Ibrahim Ammar</v>
          </cell>
          <cell r="H306" t="str">
            <v>Pumpizan Line</v>
          </cell>
          <cell r="I306" t="str">
            <v>Rep526</v>
          </cell>
          <cell r="J306" t="str">
            <v>MR</v>
          </cell>
          <cell r="K306" t="str">
            <v>Alex</v>
          </cell>
          <cell r="L306" t="str">
            <v> 01006833645</v>
          </cell>
          <cell r="M306">
            <v>44933</v>
          </cell>
        </row>
        <row r="306">
          <cell r="O306">
            <v>1045</v>
          </cell>
          <cell r="P306" t="str">
            <v>Fowa</v>
          </cell>
        </row>
        <row r="307">
          <cell r="D307" t="str">
            <v>Eman Hasan Abdelrehim</v>
          </cell>
          <cell r="E307" t="str">
            <v>Salma ElSayed Khater</v>
          </cell>
          <cell r="F307" t="str">
            <v>Ibrahim Ali ElAshwah</v>
          </cell>
          <cell r="G307" t="str">
            <v>Ibrahim Ammar</v>
          </cell>
          <cell r="H307" t="str">
            <v>Pumpizan Line</v>
          </cell>
          <cell r="I307" t="str">
            <v>rep000021</v>
          </cell>
          <cell r="J307" t="str">
            <v>MR</v>
          </cell>
          <cell r="K307" t="str">
            <v>Alex</v>
          </cell>
          <cell r="L307">
            <v>1559667224</v>
          </cell>
          <cell r="M307">
            <v>45934</v>
          </cell>
        </row>
        <row r="307">
          <cell r="O307">
            <v>1763</v>
          </cell>
          <cell r="P307" t="str">
            <v>Damanhour</v>
          </cell>
        </row>
        <row r="308">
          <cell r="D308" t="str">
            <v>Salah Ayman Kotb</v>
          </cell>
          <cell r="E308" t="str">
            <v>Salma ElSayed Khater</v>
          </cell>
          <cell r="F308" t="str">
            <v>Ibrahim Ali ElAshwah</v>
          </cell>
          <cell r="G308" t="str">
            <v>Ibrahim Ammar</v>
          </cell>
          <cell r="H308" t="str">
            <v>Pumpizan Line</v>
          </cell>
          <cell r="I308" t="str">
            <v>Rep402</v>
          </cell>
          <cell r="J308" t="str">
            <v>MR</v>
          </cell>
          <cell r="K308" t="str">
            <v>Alex</v>
          </cell>
          <cell r="L308">
            <v>1024347610</v>
          </cell>
          <cell r="M308">
            <v>46061</v>
          </cell>
        </row>
        <row r="308">
          <cell r="O308">
            <v>1855</v>
          </cell>
          <cell r="P308" t="str">
            <v>Kafr El Shiekh</v>
          </cell>
        </row>
        <row r="309">
          <cell r="D309" t="str">
            <v>Amal Mohamed Askar</v>
          </cell>
          <cell r="E309" t="str">
            <v>Salma ElSayed Khater</v>
          </cell>
          <cell r="F309" t="str">
            <v>Ibrahim Ali ElAshwah</v>
          </cell>
          <cell r="G309" t="str">
            <v>Ibrahim Ammar</v>
          </cell>
          <cell r="H309" t="str">
            <v>Pumpizan Line</v>
          </cell>
          <cell r="I309" t="str">
            <v>Rep_00122</v>
          </cell>
          <cell r="J309" t="str">
            <v>MR</v>
          </cell>
          <cell r="K309" t="str">
            <v>Alex</v>
          </cell>
          <cell r="L309">
            <v>1091078618</v>
          </cell>
          <cell r="M309">
            <v>46082</v>
          </cell>
        </row>
        <row r="309">
          <cell r="O309">
            <v>1886</v>
          </cell>
          <cell r="P309" t="str">
            <v>Kafr El Dawar</v>
          </cell>
        </row>
        <row r="310">
          <cell r="D310" t="str">
            <v>L3_Vacant_Beheira 3</v>
          </cell>
          <cell r="E310" t="str">
            <v>Salma ElSayed Khater</v>
          </cell>
          <cell r="F310" t="str">
            <v>Ibrahim Ali ElAshwah</v>
          </cell>
          <cell r="G310" t="str">
            <v>Ibrahim Ammar</v>
          </cell>
          <cell r="H310" t="str">
            <v>Pumpizan Line</v>
          </cell>
          <cell r="I310" t="str">
            <v>Rep1059</v>
          </cell>
          <cell r="J310" t="str">
            <v>MR</v>
          </cell>
          <cell r="K310" t="str">
            <v>Alex</v>
          </cell>
        </row>
        <row r="310">
          <cell r="O310">
            <v>0</v>
          </cell>
        </row>
        <row r="311">
          <cell r="D311" t="str">
            <v>Mohamed Ibrahim Hassan</v>
          </cell>
          <cell r="E311" t="str">
            <v>Salma ElSayed Khater</v>
          </cell>
          <cell r="F311" t="str">
            <v>Ibrahim Ali ElAshwah</v>
          </cell>
          <cell r="G311" t="str">
            <v>Ibrahim Ammar</v>
          </cell>
          <cell r="H311" t="str">
            <v>Pumpizan Line</v>
          </cell>
          <cell r="I311" t="str">
            <v>Rep578</v>
          </cell>
          <cell r="J311" t="str">
            <v>MR</v>
          </cell>
          <cell r="K311" t="str">
            <v>Alex</v>
          </cell>
          <cell r="L311" t="str">
            <v> 01009537103</v>
          </cell>
          <cell r="M311">
            <v>44933</v>
          </cell>
        </row>
        <row r="311">
          <cell r="O311">
            <v>1047</v>
          </cell>
          <cell r="P311" t="str">
            <v>Shoubra (Damanhour)</v>
          </cell>
        </row>
        <row r="312">
          <cell r="D312" t="str">
            <v>Shimaa Mohamed Aboelsoad</v>
          </cell>
          <cell r="E312" t="str">
            <v>Salma ElSayed Khater</v>
          </cell>
          <cell r="F312" t="str">
            <v>Ibrahim Ali ElAshwah</v>
          </cell>
          <cell r="G312" t="str">
            <v>Ibrahim Ammar</v>
          </cell>
          <cell r="H312" t="str">
            <v>Pumpizan Line</v>
          </cell>
          <cell r="I312" t="str">
            <v>Rep176</v>
          </cell>
          <cell r="J312" t="str">
            <v>MR</v>
          </cell>
          <cell r="K312" t="str">
            <v>Alex</v>
          </cell>
          <cell r="L312">
            <v>1027591843</v>
          </cell>
          <cell r="M312">
            <v>44622</v>
          </cell>
        </row>
        <row r="312">
          <cell r="O312">
            <v>952</v>
          </cell>
          <cell r="P312" t="str">
            <v>Kafr El Shiekh</v>
          </cell>
        </row>
        <row r="313">
          <cell r="D313" t="str">
            <v>Habib Nady Habib</v>
          </cell>
        </row>
        <row r="313">
          <cell r="G313" t="str">
            <v>Ibrahim Ammar</v>
          </cell>
          <cell r="H313" t="str">
            <v>Fulprazal Line &amp; Pumpizan Line</v>
          </cell>
          <cell r="I313" t="str">
            <v>DM_77</v>
          </cell>
          <cell r="J313" t="str">
            <v>AM</v>
          </cell>
          <cell r="K313" t="str">
            <v>Upper Egypt</v>
          </cell>
          <cell r="L313" t="str">
            <v> 01228361150</v>
          </cell>
          <cell r="M313">
            <v>44819</v>
          </cell>
          <cell r="N313" t="str">
            <v>Habib.Nady.Habib@averroes-eg.com</v>
          </cell>
          <cell r="O313">
            <v>999</v>
          </cell>
          <cell r="P313" t="str">
            <v>Malawy</v>
          </cell>
        </row>
        <row r="314">
          <cell r="D314" t="str">
            <v>Ahmed Gaber Abdelhamid</v>
          </cell>
        </row>
        <row r="314">
          <cell r="F314" t="str">
            <v>Habib Nady Habib</v>
          </cell>
          <cell r="G314" t="str">
            <v>Ibrahim Ammar</v>
          </cell>
          <cell r="H314" t="str">
            <v>Fulprazal Line</v>
          </cell>
          <cell r="I314" t="str">
            <v>Rep323</v>
          </cell>
          <cell r="J314" t="str">
            <v>DM</v>
          </cell>
          <cell r="K314" t="str">
            <v>Upper Egypt</v>
          </cell>
          <cell r="L314" t="str">
            <v> 1050111554</v>
          </cell>
          <cell r="M314">
            <v>43876</v>
          </cell>
          <cell r="N314" t="str">
            <v>Ahmed.Gaber.Abdelhamid@averroes-eg.com</v>
          </cell>
          <cell r="O314">
            <v>617</v>
          </cell>
          <cell r="P314" t="str">
            <v>Sohag City</v>
          </cell>
        </row>
        <row r="315">
          <cell r="D315" t="str">
            <v>Aya AbdElLateef Ghazaly</v>
          </cell>
          <cell r="E315" t="str">
            <v>Ahmed Gaber Abdelhamid</v>
          </cell>
          <cell r="F315" t="str">
            <v>Habib Nady Habib</v>
          </cell>
          <cell r="G315" t="str">
            <v>Ibrahim Ammar</v>
          </cell>
          <cell r="H315" t="str">
            <v>Fulprazal Line</v>
          </cell>
          <cell r="I315" t="str">
            <v>Rep0060</v>
          </cell>
          <cell r="J315" t="str">
            <v>MR</v>
          </cell>
          <cell r="K315" t="str">
            <v>Upper Egypt</v>
          </cell>
          <cell r="L315">
            <v>1018125725</v>
          </cell>
          <cell r="M315">
            <v>45519</v>
          </cell>
        </row>
        <row r="315">
          <cell r="O315">
            <v>1431</v>
          </cell>
          <cell r="P315" t="str">
            <v>Aswan City</v>
          </cell>
        </row>
        <row r="316">
          <cell r="D316" t="str">
            <v>Mina Abdelmassih Fraiz</v>
          </cell>
          <cell r="E316" t="str">
            <v>Ahmed Gaber Abdelhamid</v>
          </cell>
          <cell r="F316" t="str">
            <v>Habib Nady Habib</v>
          </cell>
          <cell r="G316" t="str">
            <v>Ibrahim Ammar</v>
          </cell>
          <cell r="H316" t="str">
            <v>Fulprazal Line</v>
          </cell>
          <cell r="I316" t="str">
            <v>Rep1053</v>
          </cell>
          <cell r="J316" t="str">
            <v>MR</v>
          </cell>
          <cell r="K316" t="str">
            <v>Upper Egypt</v>
          </cell>
          <cell r="L316">
            <v>1226484163</v>
          </cell>
          <cell r="M316">
            <v>46067</v>
          </cell>
        </row>
        <row r="316">
          <cell r="O316">
            <v>1873</v>
          </cell>
          <cell r="P316" t="str">
            <v>Hurgada</v>
          </cell>
        </row>
        <row r="317">
          <cell r="D317" t="str">
            <v>Youstina Magdy Hezkial</v>
          </cell>
          <cell r="E317" t="str">
            <v>Ahmed Gaber Abdelhamid</v>
          </cell>
          <cell r="F317" t="str">
            <v>Habib Nady Habib</v>
          </cell>
          <cell r="G317" t="str">
            <v>Ibrahim Ammar</v>
          </cell>
          <cell r="H317" t="str">
            <v>Fulprazal Line</v>
          </cell>
          <cell r="I317" t="str">
            <v>Rep0038</v>
          </cell>
          <cell r="J317" t="str">
            <v>MR</v>
          </cell>
          <cell r="K317" t="str">
            <v>Upper Egypt</v>
          </cell>
          <cell r="L317">
            <v>1220078016</v>
          </cell>
          <cell r="M317">
            <v>46054</v>
          </cell>
        </row>
        <row r="317">
          <cell r="O317">
            <v>1851</v>
          </cell>
          <cell r="P317" t="str">
            <v>Sohag City</v>
          </cell>
        </row>
        <row r="318">
          <cell r="D318" t="str">
            <v>Maha Magdy Saber Rezk</v>
          </cell>
          <cell r="E318" t="str">
            <v>Ahmed Gaber Abdelhamid</v>
          </cell>
          <cell r="F318" t="str">
            <v>Habib Nady Habib</v>
          </cell>
          <cell r="G318" t="str">
            <v>Ibrahim Ammar</v>
          </cell>
          <cell r="H318" t="str">
            <v>Fulprazal Line</v>
          </cell>
          <cell r="I318" t="str">
            <v>Rep513</v>
          </cell>
          <cell r="J318" t="str">
            <v>MR</v>
          </cell>
          <cell r="K318" t="str">
            <v>Upper Egypt</v>
          </cell>
          <cell r="L318">
            <v>1098607150</v>
          </cell>
          <cell r="M318">
            <v>44880</v>
          </cell>
        </row>
        <row r="318">
          <cell r="O318">
            <v>1026</v>
          </cell>
          <cell r="P318" t="str">
            <v>Gerga</v>
          </cell>
        </row>
        <row r="319">
          <cell r="D319" t="str">
            <v>Mohamed Boughdady Mahmoud</v>
          </cell>
          <cell r="E319" t="str">
            <v>Ahmed Gaber Abdelhamid</v>
          </cell>
          <cell r="F319" t="str">
            <v>Habib Nady Habib</v>
          </cell>
          <cell r="G319" t="str">
            <v>Ibrahim Ammar</v>
          </cell>
          <cell r="H319" t="str">
            <v>Fulprazal Line</v>
          </cell>
          <cell r="I319" t="str">
            <v>Rep10060</v>
          </cell>
          <cell r="J319" t="str">
            <v>MR</v>
          </cell>
          <cell r="K319" t="str">
            <v>Upper Egypt</v>
          </cell>
          <cell r="L319">
            <v>1152582958</v>
          </cell>
          <cell r="M319">
            <v>45724</v>
          </cell>
        </row>
        <row r="319">
          <cell r="O319">
            <v>1581</v>
          </cell>
          <cell r="P319" t="str">
            <v>Luxor City</v>
          </cell>
        </row>
        <row r="320">
          <cell r="D320" t="str">
            <v>Nahla Maghraby AbdElSalam</v>
          </cell>
          <cell r="E320" t="str">
            <v>Ahmed Gaber Abdelhamid</v>
          </cell>
          <cell r="F320" t="str">
            <v>Habib Nady Habib</v>
          </cell>
          <cell r="G320" t="str">
            <v>Ibrahim Ammar</v>
          </cell>
          <cell r="H320" t="str">
            <v>Fulprazal Line</v>
          </cell>
          <cell r="I320" t="str">
            <v>Rep10059</v>
          </cell>
          <cell r="J320" t="str">
            <v>MR</v>
          </cell>
          <cell r="K320" t="str">
            <v>Upper Egypt</v>
          </cell>
          <cell r="L320">
            <v>1015177409</v>
          </cell>
          <cell r="M320">
            <v>45724</v>
          </cell>
        </row>
        <row r="320">
          <cell r="O320">
            <v>1580</v>
          </cell>
          <cell r="P320" t="str">
            <v>Quena City</v>
          </cell>
        </row>
        <row r="321">
          <cell r="D321" t="str">
            <v>Renad Khaled Mohamed</v>
          </cell>
          <cell r="E321" t="str">
            <v>Ahmed Gaber Abdelhamid</v>
          </cell>
          <cell r="F321" t="str">
            <v>Habib Nady Habib</v>
          </cell>
          <cell r="G321" t="str">
            <v>Ibrahim Ammar</v>
          </cell>
          <cell r="H321" t="str">
            <v>Fulprazal Line</v>
          </cell>
          <cell r="I321" t="str">
            <v>Rep_00125</v>
          </cell>
          <cell r="J321" t="str">
            <v>MR</v>
          </cell>
          <cell r="K321" t="str">
            <v>Upper Egypt</v>
          </cell>
          <cell r="L321">
            <v>1065978606</v>
          </cell>
          <cell r="M321">
            <v>45997</v>
          </cell>
        </row>
        <row r="321">
          <cell r="O321">
            <v>1809</v>
          </cell>
          <cell r="P321" t="str">
            <v>Nagaa Hamady</v>
          </cell>
        </row>
        <row r="322">
          <cell r="D322" t="str">
            <v>Shimaa Atef Moussa</v>
          </cell>
          <cell r="E322" t="str">
            <v>Ahmed Gaber Abdelhamid</v>
          </cell>
          <cell r="F322" t="str">
            <v>Habib Nady Habib</v>
          </cell>
          <cell r="G322" t="str">
            <v>Ibrahim Ammar</v>
          </cell>
          <cell r="H322" t="str">
            <v>Fulprazal Line</v>
          </cell>
          <cell r="I322" t="str">
            <v>Rep10018</v>
          </cell>
          <cell r="J322" t="str">
            <v>MR</v>
          </cell>
          <cell r="K322" t="str">
            <v>Upper Egypt</v>
          </cell>
          <cell r="L322">
            <v>1145077868</v>
          </cell>
          <cell r="M322">
            <v>45505</v>
          </cell>
        </row>
        <row r="322">
          <cell r="O322">
            <v>1428</v>
          </cell>
          <cell r="P322" t="str">
            <v>El Maragha</v>
          </cell>
        </row>
        <row r="323">
          <cell r="D323" t="str">
            <v>Mostafa Mahmoud Ali Elkady</v>
          </cell>
        </row>
        <row r="323">
          <cell r="F323" t="str">
            <v>Habib Nady Habib</v>
          </cell>
          <cell r="G323" t="str">
            <v>Ibrahim Ammar</v>
          </cell>
          <cell r="H323" t="str">
            <v>Fulprazal Line</v>
          </cell>
          <cell r="I323" t="str">
            <v>DM0398</v>
          </cell>
          <cell r="J323" t="str">
            <v>DM</v>
          </cell>
          <cell r="K323" t="str">
            <v>Upper Egypt</v>
          </cell>
          <cell r="L323">
            <v>1062117440</v>
          </cell>
          <cell r="M323">
            <v>45719</v>
          </cell>
          <cell r="N323" t="str">
            <v>Mostafa.Mahmoud.Elkady@averroes-eg.com</v>
          </cell>
          <cell r="O323">
            <v>1585</v>
          </cell>
          <cell r="P323" t="str">
            <v>Assuit City</v>
          </cell>
        </row>
        <row r="324">
          <cell r="D324" t="str">
            <v>Alber Alfons Fayek</v>
          </cell>
          <cell r="E324" t="str">
            <v>Mostafa Mahmoud Ali Elkady</v>
          </cell>
          <cell r="F324" t="str">
            <v>Habib Nady Habib</v>
          </cell>
          <cell r="G324" t="str">
            <v>Ibrahim Ammar</v>
          </cell>
          <cell r="H324" t="str">
            <v>Fulprazal Line</v>
          </cell>
          <cell r="I324" t="str">
            <v>Rep10061</v>
          </cell>
          <cell r="J324" t="str">
            <v>MR</v>
          </cell>
          <cell r="K324" t="str">
            <v>Upper Egypt</v>
          </cell>
          <cell r="L324">
            <v>1143134856</v>
          </cell>
          <cell r="M324">
            <v>45717</v>
          </cell>
        </row>
        <row r="324">
          <cell r="O324">
            <v>1584</v>
          </cell>
          <cell r="P324" t="str">
            <v>Assuit City</v>
          </cell>
        </row>
        <row r="325">
          <cell r="D325" t="str">
            <v>Alber Nabil Boshra</v>
          </cell>
          <cell r="E325" t="str">
            <v>Mostafa Mahmoud Ali Elkady</v>
          </cell>
          <cell r="F325" t="str">
            <v>Habib Nady Habib</v>
          </cell>
          <cell r="G325" t="str">
            <v>Ibrahim Ammar</v>
          </cell>
          <cell r="H325" t="str">
            <v>Fulprazal Line</v>
          </cell>
          <cell r="I325" t="str">
            <v>Rep529</v>
          </cell>
          <cell r="J325" t="str">
            <v>MR</v>
          </cell>
          <cell r="K325" t="str">
            <v>Upper Egypt</v>
          </cell>
          <cell r="L325" t="str">
            <v> 01274256429</v>
          </cell>
          <cell r="M325">
            <v>44931</v>
          </cell>
        </row>
        <row r="325">
          <cell r="O325">
            <v>1042</v>
          </cell>
          <cell r="P325" t="str">
            <v>Dayrout</v>
          </cell>
        </row>
        <row r="326">
          <cell r="D326" t="str">
            <v>Mohamed Ahmed Mohamed Ahmed Zidan</v>
          </cell>
          <cell r="E326" t="str">
            <v>Mostafa Mahmoud Ali Elkady</v>
          </cell>
          <cell r="F326" t="str">
            <v>Habib Nady Habib</v>
          </cell>
          <cell r="G326" t="str">
            <v>Ibrahim Ammar</v>
          </cell>
          <cell r="H326" t="str">
            <v>Fulprazal Line</v>
          </cell>
          <cell r="I326" t="str">
            <v>Rep6111</v>
          </cell>
          <cell r="J326" t="str">
            <v>MR</v>
          </cell>
          <cell r="K326" t="str">
            <v>Upper Egypt</v>
          </cell>
          <cell r="L326">
            <v>1098109916</v>
          </cell>
          <cell r="M326">
            <v>46123</v>
          </cell>
        </row>
        <row r="326">
          <cell r="O326">
            <v>1932</v>
          </cell>
          <cell r="P326" t="str">
            <v>Bani Swaif City</v>
          </cell>
        </row>
        <row r="327">
          <cell r="D327" t="str">
            <v>Antonius Maged Tharwat Quiser</v>
          </cell>
          <cell r="E327" t="str">
            <v>Mostafa Mahmoud Ali Elkady</v>
          </cell>
          <cell r="F327" t="str">
            <v>Habib Nady Habib</v>
          </cell>
          <cell r="G327" t="str">
            <v>Ibrahim Ammar</v>
          </cell>
          <cell r="H327" t="str">
            <v>Fulprazal Line</v>
          </cell>
          <cell r="I327" t="str">
            <v>Rep938</v>
          </cell>
          <cell r="J327" t="str">
            <v>MR</v>
          </cell>
          <cell r="K327" t="str">
            <v>Upper Egypt</v>
          </cell>
          <cell r="L327">
            <v>1001203357</v>
          </cell>
          <cell r="M327">
            <v>46082</v>
          </cell>
        </row>
        <row r="327">
          <cell r="O327">
            <v>1888</v>
          </cell>
          <cell r="P327" t="str">
            <v>Assuit City</v>
          </cell>
        </row>
        <row r="328">
          <cell r="D328" t="str">
            <v>Yesmeen Kamal Hassan Mohamed</v>
          </cell>
          <cell r="E328" t="str">
            <v>Mostafa Mahmoud Ali Elkady</v>
          </cell>
          <cell r="F328" t="str">
            <v>Habib Nady Habib</v>
          </cell>
          <cell r="G328" t="str">
            <v>Ibrahim Ammar</v>
          </cell>
          <cell r="H328" t="str">
            <v>Fulprazal Line</v>
          </cell>
          <cell r="I328" t="str">
            <v>Rep6105</v>
          </cell>
          <cell r="J328" t="str">
            <v>MR</v>
          </cell>
          <cell r="K328" t="str">
            <v>Upper Egypt</v>
          </cell>
          <cell r="L328">
            <v>1008352320</v>
          </cell>
          <cell r="M328">
            <v>46056</v>
          </cell>
        </row>
        <row r="328">
          <cell r="O328">
            <v>1864</v>
          </cell>
          <cell r="P328" t="str">
            <v>El Menia City</v>
          </cell>
        </row>
        <row r="329">
          <cell r="D329" t="str">
            <v>Nancy Naguib Nashed</v>
          </cell>
          <cell r="E329" t="str">
            <v>Mostafa Mahmoud Ali Elkady</v>
          </cell>
          <cell r="F329" t="str">
            <v>Habib Nady Habib</v>
          </cell>
          <cell r="G329" t="str">
            <v>Ibrahim Ammar</v>
          </cell>
          <cell r="H329" t="str">
            <v>Fulprazal Line</v>
          </cell>
          <cell r="I329" t="str">
            <v>Rep100058</v>
          </cell>
          <cell r="J329" t="str">
            <v>MR</v>
          </cell>
          <cell r="K329" t="str">
            <v>Upper Egypt</v>
          </cell>
          <cell r="L329">
            <v>1552062824</v>
          </cell>
          <cell r="M329">
            <v>45640</v>
          </cell>
        </row>
        <row r="329">
          <cell r="O329">
            <v>1475</v>
          </cell>
          <cell r="P329" t="str">
            <v>Bani Mazar</v>
          </cell>
        </row>
        <row r="330">
          <cell r="D330" t="str">
            <v>Rehab Ramadan AboAlYamin</v>
          </cell>
          <cell r="E330" t="str">
            <v>Mostafa Mahmoud Ali Elkady</v>
          </cell>
          <cell r="F330" t="str">
            <v>Habib Nady Habib</v>
          </cell>
          <cell r="G330" t="str">
            <v>Ibrahim Ammar</v>
          </cell>
          <cell r="H330" t="str">
            <v>Fulprazal Line</v>
          </cell>
          <cell r="I330" t="str">
            <v>Rep0072</v>
          </cell>
          <cell r="J330" t="str">
            <v>MR</v>
          </cell>
          <cell r="K330" t="str">
            <v>Upper Egypt</v>
          </cell>
          <cell r="L330">
            <v>1211720449</v>
          </cell>
          <cell r="M330">
            <v>45627</v>
          </cell>
        </row>
        <row r="330">
          <cell r="O330">
            <v>1463</v>
          </cell>
          <cell r="P330" t="str">
            <v>Abou Korkas</v>
          </cell>
        </row>
        <row r="331">
          <cell r="D331" t="str">
            <v>Mahmoud Sayed Ahmed Galal</v>
          </cell>
        </row>
        <row r="331">
          <cell r="F331" t="str">
            <v>Habib Nady Habib</v>
          </cell>
          <cell r="G331" t="str">
            <v>Ibrahim Ammar</v>
          </cell>
          <cell r="H331" t="str">
            <v>Pumpizan Line</v>
          </cell>
          <cell r="I331" t="str">
            <v>DM_118</v>
          </cell>
          <cell r="J331" t="str">
            <v>DM</v>
          </cell>
          <cell r="K331" t="str">
            <v>Upper Egypt</v>
          </cell>
          <cell r="L331">
            <v>1000613861</v>
          </cell>
          <cell r="M331">
            <v>45087</v>
          </cell>
          <cell r="N331" t="str">
            <v>Mahmoud.Sayed.Ahmed@averroes-eg.com</v>
          </cell>
          <cell r="O331">
            <v>1224</v>
          </cell>
          <cell r="P331" t="str">
            <v>Luxor City</v>
          </cell>
        </row>
        <row r="332">
          <cell r="D332" t="str">
            <v>Ahmed AbdelSattar Mohamed Ahmed</v>
          </cell>
          <cell r="E332" t="str">
            <v>Mahmoud Sayed Ahmed Galal</v>
          </cell>
          <cell r="F332" t="str">
            <v>Habib Nady Habib</v>
          </cell>
          <cell r="G332" t="str">
            <v>Ibrahim Ammar</v>
          </cell>
          <cell r="H332" t="str">
            <v>Pumpizan Line</v>
          </cell>
          <cell r="I332" t="str">
            <v>Rep1025</v>
          </cell>
          <cell r="J332" t="str">
            <v>MR</v>
          </cell>
          <cell r="K332" t="str">
            <v>Upper Egypt</v>
          </cell>
          <cell r="L332">
            <v>1098199449</v>
          </cell>
          <cell r="M332">
            <v>45843</v>
          </cell>
        </row>
        <row r="332">
          <cell r="O332">
            <v>1705</v>
          </cell>
          <cell r="P332" t="str">
            <v>Quena City </v>
          </cell>
        </row>
        <row r="333">
          <cell r="D333" t="str">
            <v>Martina Nashaat Khairy Aziz</v>
          </cell>
          <cell r="E333" t="str">
            <v>Mahmoud Sayed Ahmed Galal</v>
          </cell>
          <cell r="F333" t="str">
            <v>Habib Nady Habib</v>
          </cell>
          <cell r="G333" t="str">
            <v>Ibrahim Ammar</v>
          </cell>
          <cell r="H333" t="str">
            <v>Pumpizan Line</v>
          </cell>
          <cell r="I333" t="str">
            <v>Rep_00158</v>
          </cell>
          <cell r="J333" t="str">
            <v>MR</v>
          </cell>
          <cell r="K333" t="str">
            <v>Upper Egypt</v>
          </cell>
          <cell r="L333">
            <v>1226879326</v>
          </cell>
          <cell r="M333">
            <v>46123</v>
          </cell>
        </row>
        <row r="333">
          <cell r="O333">
            <v>1931</v>
          </cell>
          <cell r="P333" t="str">
            <v>Sohag City</v>
          </cell>
        </row>
        <row r="334">
          <cell r="D334" t="str">
            <v>Mahmoud Sobhy Sayed</v>
          </cell>
          <cell r="E334" t="str">
            <v>Mahmoud Sayed Ahmed Galal</v>
          </cell>
          <cell r="F334" t="str">
            <v>Habib Nady Habib</v>
          </cell>
          <cell r="G334" t="str">
            <v>Ibrahim Ammar</v>
          </cell>
          <cell r="H334" t="str">
            <v>Pumpizan Line</v>
          </cell>
          <cell r="I334" t="str">
            <v>AVR_74</v>
          </cell>
          <cell r="J334" t="str">
            <v>MR</v>
          </cell>
          <cell r="K334" t="str">
            <v>Upper Egypt</v>
          </cell>
          <cell r="L334">
            <v>1021414333</v>
          </cell>
          <cell r="M334">
            <v>45710</v>
          </cell>
        </row>
        <row r="334">
          <cell r="O334">
            <v>1558</v>
          </cell>
          <cell r="P334" t="str">
            <v>Hurghada </v>
          </cell>
        </row>
        <row r="335">
          <cell r="D335" t="str">
            <v>Merna Nashaat Nakhla</v>
          </cell>
          <cell r="E335" t="str">
            <v>Mahmoud Sayed Ahmed Galal</v>
          </cell>
          <cell r="F335" t="str">
            <v>Habib Nady Habib</v>
          </cell>
          <cell r="G335" t="str">
            <v>Ibrahim Ammar</v>
          </cell>
          <cell r="H335" t="str">
            <v>Pumpizan Line</v>
          </cell>
          <cell r="I335" t="str">
            <v>Rep100034</v>
          </cell>
          <cell r="J335" t="str">
            <v>MR</v>
          </cell>
          <cell r="K335" t="str">
            <v>Upper Egypt</v>
          </cell>
          <cell r="L335">
            <v>1224865172</v>
          </cell>
          <cell r="M335">
            <v>45535</v>
          </cell>
        </row>
        <row r="335">
          <cell r="O335">
            <v>1436</v>
          </cell>
          <cell r="P335" t="str">
            <v>Gerga</v>
          </cell>
        </row>
        <row r="336">
          <cell r="D336" t="str">
            <v>Merna Nassan Ryad</v>
          </cell>
          <cell r="E336" t="str">
            <v>Mahmoud Sayed Ahmed Galal</v>
          </cell>
          <cell r="F336" t="str">
            <v>Habib Nady Habib</v>
          </cell>
          <cell r="G336" t="str">
            <v>Ibrahim Ammar</v>
          </cell>
          <cell r="H336" t="str">
            <v>Pumpizan Line</v>
          </cell>
          <cell r="I336" t="str">
            <v>Rep530</v>
          </cell>
          <cell r="J336" t="str">
            <v>MR</v>
          </cell>
          <cell r="K336" t="str">
            <v>Upper Egypt</v>
          </cell>
          <cell r="L336" t="str">
            <v> 01282580330</v>
          </cell>
          <cell r="M336">
            <v>44931</v>
          </cell>
        </row>
        <row r="336">
          <cell r="O336">
            <v>1049</v>
          </cell>
          <cell r="P336" t="str">
            <v>Tema</v>
          </cell>
        </row>
        <row r="337">
          <cell r="D337" t="str">
            <v>Nader Ahmed Kenawy</v>
          </cell>
          <cell r="E337" t="str">
            <v>Mahmoud Sayed Ahmed Galal</v>
          </cell>
          <cell r="F337" t="str">
            <v>Habib Nady Habib</v>
          </cell>
          <cell r="G337" t="str">
            <v>Ibrahim Ammar</v>
          </cell>
          <cell r="H337" t="str">
            <v>Pumpizan Line</v>
          </cell>
          <cell r="I337" t="str">
            <v>Rep0052</v>
          </cell>
          <cell r="J337" t="str">
            <v>MR</v>
          </cell>
          <cell r="K337" t="str">
            <v>Upper Egypt</v>
          </cell>
          <cell r="L337">
            <v>1020403405</v>
          </cell>
          <cell r="M337">
            <v>45479</v>
          </cell>
        </row>
        <row r="337">
          <cell r="O337">
            <v>1405</v>
          </cell>
          <cell r="P337" t="str">
            <v>Luxor City</v>
          </cell>
        </row>
        <row r="338">
          <cell r="D338" t="str">
            <v>Omima Hassan Temsah</v>
          </cell>
          <cell r="E338" t="str">
            <v>Mahmoud Sayed Ahmed Galal</v>
          </cell>
          <cell r="F338" t="str">
            <v>Habib Nady Habib</v>
          </cell>
          <cell r="G338" t="str">
            <v>Ibrahim Ammar</v>
          </cell>
          <cell r="H338" t="str">
            <v>Pumpizan Line</v>
          </cell>
          <cell r="I338" t="str">
            <v>Rep876</v>
          </cell>
          <cell r="J338" t="str">
            <v>MR</v>
          </cell>
          <cell r="K338" t="str">
            <v>Upper Egypt</v>
          </cell>
          <cell r="L338">
            <v>1142750065</v>
          </cell>
          <cell r="M338">
            <v>45269</v>
          </cell>
        </row>
        <row r="338">
          <cell r="O338">
            <v>1313</v>
          </cell>
          <cell r="P338" t="str">
            <v>Aswan City</v>
          </cell>
        </row>
        <row r="339">
          <cell r="D339" t="str">
            <v>Sama Mohamed Metwaly Hefny</v>
          </cell>
          <cell r="E339" t="str">
            <v>Mahmoud Sayed Ahmed Galal</v>
          </cell>
          <cell r="F339" t="str">
            <v>Habib Nady Habib</v>
          </cell>
          <cell r="G339" t="str">
            <v>Ibrahim Ammar</v>
          </cell>
          <cell r="H339" t="str">
            <v>Pumpizan Line</v>
          </cell>
          <cell r="I339" t="str">
            <v>Rep100153</v>
          </cell>
          <cell r="J339" t="str">
            <v>MR</v>
          </cell>
          <cell r="K339" t="str">
            <v>Upper Egypt</v>
          </cell>
          <cell r="L339">
            <v>1061847797</v>
          </cell>
          <cell r="M339">
            <v>45836</v>
          </cell>
        </row>
        <row r="339">
          <cell r="O339">
            <v>1698</v>
          </cell>
          <cell r="P339" t="str">
            <v>Naga Hamady </v>
          </cell>
        </row>
        <row r="340">
          <cell r="D340" t="str">
            <v>Osama Nabil Ahmed</v>
          </cell>
        </row>
        <row r="340">
          <cell r="F340" t="str">
            <v>Habib Nady Habib</v>
          </cell>
          <cell r="G340" t="str">
            <v>Ibrahim Ammar</v>
          </cell>
          <cell r="H340" t="str">
            <v>Pumpizan Line</v>
          </cell>
          <cell r="I340" t="str">
            <v>Rep395</v>
          </cell>
          <cell r="J340" t="str">
            <v>DM</v>
          </cell>
          <cell r="K340" t="str">
            <v>Upper Egypt</v>
          </cell>
          <cell r="L340">
            <v>1127568118</v>
          </cell>
          <cell r="M340">
            <v>44774</v>
          </cell>
          <cell r="N340" t="str">
            <v>Osama.Nabil.Ahmed@averroes-eg.com</v>
          </cell>
          <cell r="O340">
            <v>980</v>
          </cell>
          <cell r="P340" t="str">
            <v>El Menia City</v>
          </cell>
        </row>
        <row r="341">
          <cell r="D341" t="str">
            <v>Ahmed Nasser Ahmed</v>
          </cell>
          <cell r="E341" t="str">
            <v>Osama Nabil Ahmed</v>
          </cell>
          <cell r="F341" t="str">
            <v>Habib Nady Habib</v>
          </cell>
          <cell r="G341" t="str">
            <v>Ibrahim Ammar</v>
          </cell>
          <cell r="H341" t="str">
            <v>Pumpizan Line</v>
          </cell>
          <cell r="I341" t="str">
            <v>Rep100070</v>
          </cell>
          <cell r="J341" t="str">
            <v>MR</v>
          </cell>
          <cell r="K341" t="str">
            <v>Upper Egypt</v>
          </cell>
          <cell r="L341">
            <v>1090818727</v>
          </cell>
          <cell r="M341">
            <v>45640</v>
          </cell>
        </row>
        <row r="341">
          <cell r="O341">
            <v>1486</v>
          </cell>
          <cell r="P341" t="str">
            <v>Bosh</v>
          </cell>
        </row>
        <row r="342">
          <cell r="D342" t="str">
            <v>Kholoud Badr Ismael</v>
          </cell>
          <cell r="E342" t="str">
            <v>Osama Nabil Ahmed</v>
          </cell>
          <cell r="F342" t="str">
            <v>Habib Nady Habib</v>
          </cell>
          <cell r="G342" t="str">
            <v>Ibrahim Ammar</v>
          </cell>
          <cell r="H342" t="str">
            <v>Pumpizan Line</v>
          </cell>
          <cell r="I342" t="str">
            <v>Rep198</v>
          </cell>
          <cell r="J342" t="str">
            <v>MR</v>
          </cell>
          <cell r="K342" t="str">
            <v>Upper Egypt</v>
          </cell>
          <cell r="L342" t="str">
            <v> 1090517953</v>
          </cell>
          <cell r="M342">
            <v>43160</v>
          </cell>
        </row>
        <row r="342">
          <cell r="O342">
            <v>259</v>
          </cell>
          <cell r="P342" t="str">
            <v>Malawy</v>
          </cell>
        </row>
        <row r="343">
          <cell r="D343" t="str">
            <v>Kerolos Magdy Zaky</v>
          </cell>
          <cell r="E343" t="str">
            <v>Osama Nabil Ahmed</v>
          </cell>
          <cell r="F343" t="str">
            <v>Habib Nady Habib</v>
          </cell>
          <cell r="G343" t="str">
            <v>Ibrahim Ammar</v>
          </cell>
          <cell r="H343" t="str">
            <v>Pumpizan Line</v>
          </cell>
          <cell r="I343" t="str">
            <v>Rep376</v>
          </cell>
          <cell r="J343" t="str">
            <v>MR</v>
          </cell>
          <cell r="K343" t="str">
            <v>Upper Egypt</v>
          </cell>
          <cell r="L343">
            <v>1281416886</v>
          </cell>
          <cell r="M343">
            <v>46054</v>
          </cell>
        </row>
        <row r="343">
          <cell r="O343">
            <v>1850</v>
          </cell>
          <cell r="P343" t="str">
            <v>Manfalout</v>
          </cell>
        </row>
        <row r="344">
          <cell r="D344" t="str">
            <v>Youssef Maged Haroun</v>
          </cell>
          <cell r="E344" t="str">
            <v>Osama Nabil Ahmed</v>
          </cell>
          <cell r="F344" t="str">
            <v>Habib Nady Habib</v>
          </cell>
          <cell r="G344" t="str">
            <v>Ibrahim Ammar</v>
          </cell>
          <cell r="H344" t="str">
            <v>Pumpizan Line</v>
          </cell>
          <cell r="I344" t="str">
            <v>Rep10069</v>
          </cell>
          <cell r="J344" t="str">
            <v>MR</v>
          </cell>
          <cell r="K344" t="str">
            <v>Upper Egypt</v>
          </cell>
          <cell r="L344">
            <v>1220892070</v>
          </cell>
          <cell r="M344">
            <v>46082</v>
          </cell>
        </row>
        <row r="344">
          <cell r="O344">
            <v>1881</v>
          </cell>
          <cell r="P344" t="str">
            <v>Assiut City</v>
          </cell>
        </row>
        <row r="345">
          <cell r="D345" t="str">
            <v>Michael Metry Wanees</v>
          </cell>
          <cell r="E345" t="str">
            <v>Osama Nabil Ahmed</v>
          </cell>
          <cell r="F345" t="str">
            <v>Habib Nady Habib</v>
          </cell>
          <cell r="G345" t="str">
            <v>Ibrahim Ammar</v>
          </cell>
          <cell r="H345" t="str">
            <v>Pumpizan Line</v>
          </cell>
          <cell r="I345" t="str">
            <v>Rep1063</v>
          </cell>
          <cell r="J345" t="str">
            <v>MR</v>
          </cell>
          <cell r="K345" t="str">
            <v>Upper Egypt</v>
          </cell>
          <cell r="L345">
            <v>1221919585</v>
          </cell>
          <cell r="M345">
            <v>46054</v>
          </cell>
        </row>
        <row r="345">
          <cell r="O345">
            <v>1849</v>
          </cell>
          <cell r="P345" t="str">
            <v>Abou Teeg</v>
          </cell>
        </row>
        <row r="346">
          <cell r="D346" t="str">
            <v>Mariam Samy Makram</v>
          </cell>
          <cell r="E346" t="str">
            <v>Osama Nabil Ahmed</v>
          </cell>
          <cell r="F346" t="str">
            <v>Habib Nady Habib</v>
          </cell>
          <cell r="G346" t="str">
            <v>Ibrahim Ammar</v>
          </cell>
          <cell r="H346" t="str">
            <v>Pumpizan Line</v>
          </cell>
          <cell r="I346" t="str">
            <v>Rep1062</v>
          </cell>
          <cell r="J346" t="str">
            <v>MR</v>
          </cell>
          <cell r="K346" t="str">
            <v>Upper Egypt</v>
          </cell>
          <cell r="L346">
            <v>1226671737</v>
          </cell>
          <cell r="M346">
            <v>46113</v>
          </cell>
        </row>
        <row r="346">
          <cell r="O346">
            <v>1925</v>
          </cell>
          <cell r="P346" t="str">
            <v>El Menia City</v>
          </cell>
        </row>
        <row r="347">
          <cell r="D347" t="str">
            <v>Youstina Nady habib</v>
          </cell>
          <cell r="E347" t="str">
            <v>Osama Nabil Ahmed</v>
          </cell>
          <cell r="F347" t="str">
            <v>Habib Nady Habib</v>
          </cell>
          <cell r="G347" t="str">
            <v>Ibrahim Ammar</v>
          </cell>
          <cell r="H347" t="str">
            <v>Pumpizan Line</v>
          </cell>
          <cell r="I347" t="str">
            <v>Rep196</v>
          </cell>
          <cell r="J347" t="str">
            <v>MR</v>
          </cell>
          <cell r="K347" t="str">
            <v>Upper Egypt</v>
          </cell>
          <cell r="L347" t="str">
            <v> 1285899058</v>
          </cell>
          <cell r="M347">
            <v>41314</v>
          </cell>
        </row>
        <row r="347">
          <cell r="O347">
            <v>104</v>
          </cell>
          <cell r="P347" t="str">
            <v>Bani Mazar</v>
          </cell>
        </row>
        <row r="348">
          <cell r="D348" t="str">
            <v>Karam Belal Mohamed</v>
          </cell>
        </row>
        <row r="348">
          <cell r="G348" t="str">
            <v>Abo El Abbas Samir</v>
          </cell>
          <cell r="H348" t="str">
            <v>CVM 1 Line &amp; CVM 2 Line</v>
          </cell>
          <cell r="I348" t="str">
            <v>ZM_10</v>
          </cell>
          <cell r="J348" t="str">
            <v>AM</v>
          </cell>
          <cell r="K348" t="str">
            <v>Delta</v>
          </cell>
          <cell r="L348" t="str">
            <v> 1028045240</v>
          </cell>
          <cell r="M348">
            <v>41601</v>
          </cell>
          <cell r="N348" t="str">
            <v>karam.belal@averroes-eg.com</v>
          </cell>
          <cell r="O348">
            <v>69</v>
          </cell>
          <cell r="P348" t="str">
            <v>Kafr El Shiekh</v>
          </cell>
        </row>
        <row r="349">
          <cell r="D349" t="str">
            <v>Dina Ahmed Bar</v>
          </cell>
        </row>
        <row r="349">
          <cell r="F349" t="str">
            <v>Karam Belal Mohamed</v>
          </cell>
          <cell r="G349" t="str">
            <v>Abo El Abbas Samir</v>
          </cell>
          <cell r="H349" t="str">
            <v>CVM 1 Line</v>
          </cell>
          <cell r="I349" t="str">
            <v>DM_153</v>
          </cell>
          <cell r="J349" t="str">
            <v>DM</v>
          </cell>
          <cell r="K349" t="str">
            <v>Delta</v>
          </cell>
          <cell r="L349">
            <v>1062953274</v>
          </cell>
          <cell r="M349">
            <v>46081</v>
          </cell>
          <cell r="N349" t="str">
            <v>Dina.Ahmed.Bar@averroes-eg.com</v>
          </cell>
          <cell r="O349">
            <v>1882</v>
          </cell>
          <cell r="P349" t="str">
            <v>Tanta City</v>
          </cell>
        </row>
        <row r="350">
          <cell r="D350" t="str">
            <v>Aya Adel ElDeeb</v>
          </cell>
          <cell r="E350" t="str">
            <v>Dina Ahmed Bar</v>
          </cell>
          <cell r="F350" t="str">
            <v>Karam Belal Mohamed</v>
          </cell>
          <cell r="G350" t="str">
            <v>Abo El Abbas Samir</v>
          </cell>
          <cell r="H350" t="str">
            <v>CVM 1 Line</v>
          </cell>
          <cell r="I350" t="str">
            <v>AVR_81</v>
          </cell>
          <cell r="J350" t="str">
            <v>MR</v>
          </cell>
          <cell r="K350" t="str">
            <v>Delta</v>
          </cell>
          <cell r="L350">
            <v>1028507568</v>
          </cell>
          <cell r="M350">
            <v>45717</v>
          </cell>
        </row>
        <row r="350">
          <cell r="O350">
            <v>1559</v>
          </cell>
          <cell r="P350" t="str">
            <v>El sanata</v>
          </cell>
        </row>
        <row r="351">
          <cell r="D351" t="str">
            <v>Aya Ezzat Ismail</v>
          </cell>
          <cell r="E351" t="str">
            <v>Dina Ahmed Bar</v>
          </cell>
          <cell r="F351" t="str">
            <v>Karam Belal Mohamed</v>
          </cell>
          <cell r="G351" t="str">
            <v>Abo El Abbas Samir</v>
          </cell>
          <cell r="H351" t="str">
            <v>CVM 1 Line</v>
          </cell>
          <cell r="I351" t="str">
            <v>Rep832</v>
          </cell>
          <cell r="J351" t="str">
            <v>MR</v>
          </cell>
          <cell r="K351" t="str">
            <v>Delta</v>
          </cell>
          <cell r="L351">
            <v>1112370702</v>
          </cell>
          <cell r="M351">
            <v>45161</v>
          </cell>
        </row>
        <row r="351">
          <cell r="O351">
            <v>1248</v>
          </cell>
          <cell r="P351" t="str">
            <v>El Bagour</v>
          </cell>
        </row>
        <row r="352">
          <cell r="D352" t="str">
            <v>Eman Mohamed Ibrahim</v>
          </cell>
          <cell r="E352" t="str">
            <v>Dina Ahmed Bar</v>
          </cell>
          <cell r="F352" t="str">
            <v>Karam Belal Mohamed</v>
          </cell>
          <cell r="G352" t="str">
            <v>Abo El Abbas Samir</v>
          </cell>
          <cell r="H352" t="str">
            <v>CVM 1 Line</v>
          </cell>
          <cell r="I352" t="str">
            <v>Rep10072</v>
          </cell>
          <cell r="J352" t="str">
            <v>MR</v>
          </cell>
          <cell r="K352" t="str">
            <v>Delta</v>
          </cell>
          <cell r="L352">
            <v>1069724373</v>
          </cell>
          <cell r="M352">
            <v>45809</v>
          </cell>
        </row>
        <row r="352">
          <cell r="O352">
            <v>1684</v>
          </cell>
          <cell r="P352" t="str">
            <v>Shebien El Kom</v>
          </cell>
        </row>
        <row r="353">
          <cell r="D353" t="str">
            <v>Esraa Osama Matter</v>
          </cell>
          <cell r="E353" t="str">
            <v>Dina Ahmed Bar</v>
          </cell>
          <cell r="F353" t="str">
            <v>Karam Belal Mohamed</v>
          </cell>
          <cell r="G353" t="str">
            <v>Abo El Abbas Samir</v>
          </cell>
          <cell r="H353" t="str">
            <v>CVM 1 Line</v>
          </cell>
          <cell r="I353" t="str">
            <v>Rep10102</v>
          </cell>
          <cell r="J353" t="str">
            <v>MR</v>
          </cell>
          <cell r="K353" t="str">
            <v>Delta</v>
          </cell>
          <cell r="L353">
            <v>1029175007</v>
          </cell>
          <cell r="M353">
            <v>45885</v>
          </cell>
        </row>
        <row r="353">
          <cell r="O353">
            <v>1730</v>
          </cell>
          <cell r="P353" t="str">
            <v>Kfr zayat </v>
          </cell>
        </row>
        <row r="354">
          <cell r="D354" t="str">
            <v>Mariam Sherif ElMessery</v>
          </cell>
          <cell r="E354" t="str">
            <v>Dina Ahmed Bar</v>
          </cell>
          <cell r="F354" t="str">
            <v>Karam Belal Mohamed</v>
          </cell>
          <cell r="G354" t="str">
            <v>Abo El Abbas Samir</v>
          </cell>
          <cell r="H354" t="str">
            <v>CVM 1 Line</v>
          </cell>
          <cell r="I354" t="str">
            <v>Rep100127</v>
          </cell>
          <cell r="J354" t="str">
            <v>MR</v>
          </cell>
          <cell r="K354" t="str">
            <v>Delta</v>
          </cell>
          <cell r="L354">
            <v>1140921800</v>
          </cell>
          <cell r="M354">
            <v>45780</v>
          </cell>
        </row>
        <row r="354">
          <cell r="O354">
            <v>1637</v>
          </cell>
          <cell r="P354" t="str">
            <v>El Mahala El Kobra</v>
          </cell>
        </row>
        <row r="355">
          <cell r="D355" t="str">
            <v>Nada Hamdy Fathy</v>
          </cell>
          <cell r="E355" t="str">
            <v>Dina Ahmed Bar</v>
          </cell>
          <cell r="F355" t="str">
            <v>Karam Belal Mohamed</v>
          </cell>
          <cell r="G355" t="str">
            <v>Abo El Abbas Samir</v>
          </cell>
          <cell r="H355" t="str">
            <v>CVM 1 Line</v>
          </cell>
          <cell r="I355" t="str">
            <v>AVR_82</v>
          </cell>
          <cell r="J355" t="str">
            <v>MR</v>
          </cell>
          <cell r="K355" t="str">
            <v>Delta</v>
          </cell>
          <cell r="L355">
            <v>1202861515</v>
          </cell>
          <cell r="M355">
            <v>45717</v>
          </cell>
        </row>
        <row r="355">
          <cell r="O355">
            <v>1560</v>
          </cell>
          <cell r="P355" t="str">
            <v>Tanta City</v>
          </cell>
        </row>
        <row r="356">
          <cell r="D356" t="str">
            <v>Nermeen Mabrouk Mahmoud</v>
          </cell>
          <cell r="E356" t="str">
            <v>Dina Ahmed Bar</v>
          </cell>
          <cell r="F356" t="str">
            <v>Karam Belal Mohamed</v>
          </cell>
          <cell r="G356" t="str">
            <v>Abo El Abbas Samir</v>
          </cell>
          <cell r="H356" t="str">
            <v>CVM 1 Line</v>
          </cell>
          <cell r="I356" t="str">
            <v>Rep288</v>
          </cell>
          <cell r="J356" t="str">
            <v>MR</v>
          </cell>
          <cell r="K356" t="str">
            <v>Delta</v>
          </cell>
          <cell r="L356" t="str">
            <v> 1050111662</v>
          </cell>
          <cell r="M356">
            <v>43863</v>
          </cell>
        </row>
        <row r="356">
          <cell r="O356">
            <v>591</v>
          </cell>
          <cell r="P356" t="str">
            <v>Beket ElSabaa</v>
          </cell>
        </row>
        <row r="357">
          <cell r="D357" t="str">
            <v>Osama Abdelkader Elsayed</v>
          </cell>
        </row>
        <row r="357">
          <cell r="F357" t="str">
            <v>Karam Belal Mohamed</v>
          </cell>
          <cell r="G357" t="str">
            <v>Abo El Abbas Samir</v>
          </cell>
          <cell r="H357" t="str">
            <v>CVM 1 Line</v>
          </cell>
          <cell r="I357" t="str">
            <v>DM_41</v>
          </cell>
          <cell r="J357" t="str">
            <v>DM</v>
          </cell>
          <cell r="K357" t="str">
            <v>Delta</v>
          </cell>
          <cell r="L357" t="str">
            <v> 1007960128</v>
          </cell>
          <cell r="M357">
            <v>44228</v>
          </cell>
          <cell r="N357" t="str">
            <v>Osama.Abdelkader@averroes-eg.com</v>
          </cell>
          <cell r="O357">
            <v>718</v>
          </cell>
          <cell r="P357" t="str">
            <v>Center</v>
          </cell>
        </row>
        <row r="358">
          <cell r="D358" t="str">
            <v>Ahmed Wagieh AbdElaziz</v>
          </cell>
          <cell r="E358" t="str">
            <v>Osama Abdelkader Elsayed</v>
          </cell>
          <cell r="F358" t="str">
            <v>Karam Belal Mohamed</v>
          </cell>
          <cell r="G358" t="str">
            <v>Abo El Abbas Samir</v>
          </cell>
          <cell r="H358" t="str">
            <v>CVM 1 Line</v>
          </cell>
          <cell r="I358" t="str">
            <v>Rep285</v>
          </cell>
          <cell r="J358" t="str">
            <v>MR</v>
          </cell>
          <cell r="K358" t="str">
            <v>Delta</v>
          </cell>
          <cell r="L358" t="str">
            <v> 1555838723</v>
          </cell>
          <cell r="M358">
            <v>44593</v>
          </cell>
        </row>
        <row r="358">
          <cell r="O358">
            <v>898</v>
          </cell>
          <cell r="P358" t="str">
            <v>Banha - Atreeb</v>
          </cell>
        </row>
        <row r="359">
          <cell r="D359" t="str">
            <v>Asmaa Mohamed AbdElAal</v>
          </cell>
          <cell r="E359" t="str">
            <v>Osama Abdelkader Elsayed</v>
          </cell>
          <cell r="F359" t="str">
            <v>Karam Belal Mohamed</v>
          </cell>
          <cell r="G359" t="str">
            <v>Abo El Abbas Samir</v>
          </cell>
          <cell r="H359" t="str">
            <v>CVM 1 Line</v>
          </cell>
          <cell r="I359" t="str">
            <v>Rep10045</v>
          </cell>
          <cell r="J359" t="str">
            <v>MR</v>
          </cell>
          <cell r="K359" t="str">
            <v>Delta</v>
          </cell>
          <cell r="L359">
            <v>1016372964</v>
          </cell>
          <cell r="M359">
            <v>45636</v>
          </cell>
        </row>
        <row r="359">
          <cell r="O359">
            <v>1472</v>
          </cell>
          <cell r="P359" t="str">
            <v>Shebien El Kanater</v>
          </cell>
        </row>
        <row r="360">
          <cell r="D360" t="str">
            <v>Omar Ahmed Abdelazeim Mahmoud</v>
          </cell>
          <cell r="E360" t="str">
            <v>Osama Abdelkader Elsayed</v>
          </cell>
          <cell r="F360" t="str">
            <v>Karam Belal Mohamed</v>
          </cell>
          <cell r="G360" t="str">
            <v>Abo El Abbas Samir</v>
          </cell>
          <cell r="H360" t="str">
            <v>CVM 1 Line</v>
          </cell>
          <cell r="I360" t="str">
            <v>Rep888</v>
          </cell>
          <cell r="J360" t="str">
            <v>MR</v>
          </cell>
          <cell r="K360" t="str">
            <v>Delta</v>
          </cell>
          <cell r="L360">
            <v>1023917759</v>
          </cell>
          <cell r="M360">
            <v>46116</v>
          </cell>
        </row>
        <row r="360">
          <cell r="O360">
            <v>1926</v>
          </cell>
          <cell r="P360" t="str">
            <v>Kafr Sakr</v>
          </cell>
        </row>
        <row r="361">
          <cell r="D361" t="str">
            <v>L5_Vacant_Sharkia 1</v>
          </cell>
          <cell r="E361" t="str">
            <v>Osama Abdelkader Elsayed</v>
          </cell>
          <cell r="F361" t="str">
            <v>Karam Belal Mohamed</v>
          </cell>
          <cell r="G361" t="str">
            <v>Abo El Abbas Samir</v>
          </cell>
          <cell r="H361" t="str">
            <v>CVM 1 Line</v>
          </cell>
          <cell r="I361" t="str">
            <v>Rep1104</v>
          </cell>
          <cell r="J361" t="str">
            <v>MR</v>
          </cell>
          <cell r="K361" t="str">
            <v>Delta</v>
          </cell>
        </row>
        <row r="361">
          <cell r="O361">
            <v>0</v>
          </cell>
        </row>
        <row r="362">
          <cell r="D362" t="str">
            <v>Mohamed Osama Elsayed Mohamed</v>
          </cell>
          <cell r="E362" t="str">
            <v>Osama Abdelkader Elsayed</v>
          </cell>
          <cell r="F362" t="str">
            <v>Karam Belal Mohamed</v>
          </cell>
          <cell r="G362" t="str">
            <v>Abo El Abbas Samir</v>
          </cell>
          <cell r="H362" t="str">
            <v>CVM 1 Line</v>
          </cell>
          <cell r="I362" t="str">
            <v>Rep_00157</v>
          </cell>
          <cell r="J362" t="str">
            <v>MR</v>
          </cell>
          <cell r="K362" t="str">
            <v>Delta</v>
          </cell>
          <cell r="L362">
            <v>1096968169</v>
          </cell>
          <cell r="M362">
            <v>46025</v>
          </cell>
        </row>
        <row r="362">
          <cell r="O362">
            <v>1827</v>
          </cell>
          <cell r="P362" t="str">
            <v>Fakoos</v>
          </cell>
        </row>
        <row r="363">
          <cell r="D363" t="str">
            <v>Rana Khaled ElMogy</v>
          </cell>
          <cell r="E363" t="str">
            <v>Osama Abdelkader Elsayed</v>
          </cell>
          <cell r="F363" t="str">
            <v>Karam Belal Mohamed</v>
          </cell>
          <cell r="G363" t="str">
            <v>Abo El Abbas Samir</v>
          </cell>
          <cell r="H363" t="str">
            <v>CVM 1 Line</v>
          </cell>
          <cell r="I363" t="str">
            <v>Rep0020</v>
          </cell>
          <cell r="J363" t="str">
            <v>MR</v>
          </cell>
          <cell r="K363" t="str">
            <v>Delta</v>
          </cell>
          <cell r="L363">
            <v>1050215810</v>
          </cell>
          <cell r="M363">
            <v>45444</v>
          </cell>
        </row>
        <row r="363">
          <cell r="O363">
            <v>1372</v>
          </cell>
          <cell r="P363" t="str">
            <v>Belbais</v>
          </cell>
        </row>
        <row r="364">
          <cell r="D364" t="str">
            <v>Rawan Ahmed Fathy</v>
          </cell>
          <cell r="E364" t="str">
            <v>Osama Abdelkader Elsayed</v>
          </cell>
          <cell r="F364" t="str">
            <v>Karam Belal Mohamed</v>
          </cell>
          <cell r="G364" t="str">
            <v>Abo El Abbas Samir</v>
          </cell>
          <cell r="H364" t="str">
            <v>CVM 1 Line</v>
          </cell>
          <cell r="I364" t="str">
            <v>Rep1106</v>
          </cell>
          <cell r="J364" t="str">
            <v>MR</v>
          </cell>
          <cell r="K364" t="str">
            <v>Delta</v>
          </cell>
          <cell r="L364">
            <v>1092250404</v>
          </cell>
          <cell r="M364">
            <v>45871</v>
          </cell>
        </row>
        <row r="364">
          <cell r="O364">
            <v>1725</v>
          </cell>
          <cell r="P364" t="str">
            <v>El Zakazik City</v>
          </cell>
        </row>
        <row r="365">
          <cell r="D365" t="str">
            <v>Sara Fathi Azam</v>
          </cell>
        </row>
        <row r="365">
          <cell r="F365" t="str">
            <v>Karam Belal Mohamed</v>
          </cell>
          <cell r="G365" t="str">
            <v>Abo El Abbas Samir</v>
          </cell>
          <cell r="H365" t="str">
            <v>CVM 1 Line</v>
          </cell>
          <cell r="I365" t="str">
            <v>AVR_201</v>
          </cell>
          <cell r="J365" t="str">
            <v>DM</v>
          </cell>
          <cell r="K365" t="str">
            <v>Delta</v>
          </cell>
          <cell r="L365">
            <v>1096446526</v>
          </cell>
          <cell r="M365">
            <v>45780</v>
          </cell>
          <cell r="N365" t="str">
            <v>Sara.Fathi.Azam@averroes-eg.com</v>
          </cell>
          <cell r="O365">
            <v>1629</v>
          </cell>
          <cell r="P365" t="str">
            <v>El Mansoura</v>
          </cell>
        </row>
        <row r="366">
          <cell r="D366" t="str">
            <v>Adham Sherief AbdElhamid</v>
          </cell>
          <cell r="E366" t="str">
            <v>Sara Fathi Azam</v>
          </cell>
          <cell r="F366" t="str">
            <v>Karam Belal Mohamed</v>
          </cell>
          <cell r="G366" t="str">
            <v>Abo El Abbas Samir</v>
          </cell>
          <cell r="H366" t="str">
            <v>CVM 1 Line</v>
          </cell>
          <cell r="I366" t="str">
            <v>Rep053</v>
          </cell>
          <cell r="J366" t="str">
            <v>MR</v>
          </cell>
          <cell r="K366" t="str">
            <v>Delta</v>
          </cell>
          <cell r="L366">
            <v>1023684432</v>
          </cell>
          <cell r="M366">
            <v>45451</v>
          </cell>
        </row>
        <row r="366">
          <cell r="O366">
            <v>1392</v>
          </cell>
          <cell r="P366" t="str">
            <v>Domiat</v>
          </cell>
        </row>
        <row r="367">
          <cell r="D367" t="str">
            <v>Amr Khaled Belal</v>
          </cell>
          <cell r="E367" t="str">
            <v>Sara Fathi Azam</v>
          </cell>
          <cell r="F367" t="str">
            <v>Karam Belal Mohamed</v>
          </cell>
          <cell r="G367" t="str">
            <v>Abo El Abbas Samir</v>
          </cell>
          <cell r="H367" t="str">
            <v>CVM 1 Line</v>
          </cell>
          <cell r="I367" t="str">
            <v>AVR_83</v>
          </cell>
          <cell r="J367" t="str">
            <v>MR</v>
          </cell>
          <cell r="K367" t="str">
            <v>Delta</v>
          </cell>
          <cell r="L367">
            <v>1286052148</v>
          </cell>
          <cell r="M367">
            <v>45717</v>
          </cell>
        </row>
        <row r="367">
          <cell r="O367">
            <v>1561</v>
          </cell>
          <cell r="P367" t="str">
            <v>El Manzala</v>
          </cell>
        </row>
        <row r="368">
          <cell r="D368" t="str">
            <v>Kareem Khaled Mohamed Samir</v>
          </cell>
          <cell r="E368" t="str">
            <v>Sara Fathi Azam</v>
          </cell>
          <cell r="F368" t="str">
            <v>Karam Belal Mohamed</v>
          </cell>
          <cell r="G368" t="str">
            <v>Abo El Abbas Samir</v>
          </cell>
          <cell r="H368" t="str">
            <v>CVM 1 Line</v>
          </cell>
          <cell r="I368" t="str">
            <v>Rep100122</v>
          </cell>
          <cell r="J368" t="str">
            <v>MR</v>
          </cell>
          <cell r="K368" t="str">
            <v>Delta</v>
          </cell>
          <cell r="L368">
            <v>1008340456</v>
          </cell>
          <cell r="M368">
            <v>45766</v>
          </cell>
        </row>
        <row r="368">
          <cell r="O368">
            <v>1617</v>
          </cell>
          <cell r="P368" t="str">
            <v>El Mansoura</v>
          </cell>
        </row>
        <row r="369">
          <cell r="D369" t="str">
            <v>Marina Ehab Tawfeek</v>
          </cell>
          <cell r="E369" t="str">
            <v>Sara Fathi Azam</v>
          </cell>
          <cell r="F369" t="str">
            <v>Karam Belal Mohamed</v>
          </cell>
          <cell r="G369" t="str">
            <v>Abo El Abbas Samir</v>
          </cell>
          <cell r="H369" t="str">
            <v>CVM 1 Line</v>
          </cell>
          <cell r="I369" t="str">
            <v>Rep_00126</v>
          </cell>
          <cell r="J369" t="str">
            <v>MR</v>
          </cell>
          <cell r="K369" t="str">
            <v>Delta</v>
          </cell>
          <cell r="L369">
            <v>1033028614</v>
          </cell>
          <cell r="M369">
            <v>45997</v>
          </cell>
        </row>
        <row r="369">
          <cell r="O369">
            <v>1810</v>
          </cell>
          <cell r="P369" t="str">
            <v>Mansoura</v>
          </cell>
        </row>
        <row r="370">
          <cell r="D370" t="str">
            <v>Nourhan Sherif Mohamed</v>
          </cell>
          <cell r="E370" t="str">
            <v>Sara Fathi Azam</v>
          </cell>
          <cell r="F370" t="str">
            <v>Karam Belal Mohamed</v>
          </cell>
          <cell r="G370" t="str">
            <v>Abo El Abbas Samir</v>
          </cell>
          <cell r="H370" t="str">
            <v>CVM 1 Line</v>
          </cell>
          <cell r="I370" t="str">
            <v>AVR_84</v>
          </cell>
          <cell r="J370" t="str">
            <v>MR</v>
          </cell>
          <cell r="K370" t="str">
            <v>Delta</v>
          </cell>
          <cell r="L370">
            <v>1124830067</v>
          </cell>
          <cell r="M370">
            <v>45717</v>
          </cell>
        </row>
        <row r="370">
          <cell r="O370">
            <v>1562</v>
          </cell>
          <cell r="P370" t="str">
            <v>Meet Ghamr</v>
          </cell>
        </row>
        <row r="371">
          <cell r="D371" t="str">
            <v>Omar Ashraf Fekry</v>
          </cell>
          <cell r="E371" t="str">
            <v>Sara Fathi Azam</v>
          </cell>
          <cell r="F371" t="str">
            <v>Karam Belal Mohamed</v>
          </cell>
          <cell r="G371" t="str">
            <v>Abo El Abbas Samir</v>
          </cell>
          <cell r="H371" t="str">
            <v>CVM 1 Line</v>
          </cell>
          <cell r="I371" t="str">
            <v>Rep10066</v>
          </cell>
          <cell r="J371" t="str">
            <v>MR</v>
          </cell>
          <cell r="K371" t="str">
            <v>Delta</v>
          </cell>
          <cell r="L371">
            <v>1018292275</v>
          </cell>
          <cell r="M371">
            <v>45759</v>
          </cell>
        </row>
        <row r="371">
          <cell r="O371">
            <v>1612</v>
          </cell>
          <cell r="P371" t="str">
            <v>Sherbeen</v>
          </cell>
        </row>
        <row r="372">
          <cell r="D372" t="str">
            <v>Saad Mohamed Abdelaziz Abdallah</v>
          </cell>
        </row>
        <row r="372">
          <cell r="F372" t="str">
            <v>Karam Belal Mohamed</v>
          </cell>
          <cell r="G372" t="str">
            <v>Abo El Abbas Samir</v>
          </cell>
          <cell r="H372" t="str">
            <v>CVM 2 Line</v>
          </cell>
          <cell r="I372" t="str">
            <v>DM_152</v>
          </cell>
          <cell r="J372" t="str">
            <v>DM</v>
          </cell>
          <cell r="K372" t="str">
            <v>Delta</v>
          </cell>
          <cell r="L372">
            <v>1005800657</v>
          </cell>
          <cell r="M372">
            <v>46113</v>
          </cell>
          <cell r="N372" t="str">
            <v>Saad.Mohamed.Abdelaziz@averroes-eg.com</v>
          </cell>
          <cell r="O372">
            <v>1927</v>
          </cell>
          <cell r="P372" t="str">
            <v>Talkha</v>
          </cell>
        </row>
        <row r="373">
          <cell r="D373" t="str">
            <v>Abdullah Reda Ragab Eleraqi</v>
          </cell>
          <cell r="E373" t="str">
            <v>Saad Mohamed Abdelaziz Abdallah</v>
          </cell>
          <cell r="F373" t="str">
            <v>Karam Belal Mohamed</v>
          </cell>
          <cell r="G373" t="str">
            <v>Abo El Abbas Samir</v>
          </cell>
          <cell r="H373" t="str">
            <v>CVM 2 Line</v>
          </cell>
          <cell r="I373" t="str">
            <v>Rep1035</v>
          </cell>
          <cell r="J373" t="str">
            <v>MR</v>
          </cell>
          <cell r="K373" t="str">
            <v>Delta</v>
          </cell>
          <cell r="L373">
            <v>1550809085</v>
          </cell>
          <cell r="M373">
            <v>46113</v>
          </cell>
        </row>
        <row r="373">
          <cell r="O373">
            <v>1928</v>
          </cell>
          <cell r="P373" t="str">
            <v>El Mansoura</v>
          </cell>
        </row>
        <row r="374">
          <cell r="D374" t="str">
            <v>Marwa Taha Ahmed</v>
          </cell>
          <cell r="E374" t="str">
            <v>Saad Mohamed Abdelaziz Abdallah</v>
          </cell>
          <cell r="F374" t="str">
            <v>Karam Belal Mohamed</v>
          </cell>
          <cell r="G374" t="str">
            <v>Abo El Abbas Samir</v>
          </cell>
          <cell r="H374" t="str">
            <v>CVM 2 Line</v>
          </cell>
          <cell r="I374" t="str">
            <v>MR_1880</v>
          </cell>
          <cell r="J374" t="str">
            <v>MR</v>
          </cell>
          <cell r="K374" t="str">
            <v>Delta</v>
          </cell>
          <cell r="L374">
            <v>1063854197</v>
          </cell>
          <cell r="M374">
            <v>45783</v>
          </cell>
        </row>
        <row r="374">
          <cell r="O374">
            <v>1643</v>
          </cell>
          <cell r="P374" t="str">
            <v>Domiatte</v>
          </cell>
        </row>
        <row r="375">
          <cell r="D375" t="str">
            <v>Menna Fakhry Metwally</v>
          </cell>
          <cell r="E375" t="str">
            <v>Saad Mohamed Abdelaziz Abdallah</v>
          </cell>
          <cell r="F375" t="str">
            <v>Karam Belal Mohamed</v>
          </cell>
          <cell r="G375" t="str">
            <v>Abo El Abbas Samir</v>
          </cell>
          <cell r="H375" t="str">
            <v>CVM 2 Line</v>
          </cell>
          <cell r="I375" t="str">
            <v>MR_1881</v>
          </cell>
          <cell r="J375" t="str">
            <v>MR</v>
          </cell>
          <cell r="K375" t="str">
            <v>Delta</v>
          </cell>
          <cell r="L375">
            <v>1001303361</v>
          </cell>
          <cell r="M375">
            <v>45783</v>
          </cell>
        </row>
        <row r="375">
          <cell r="O375">
            <v>1644</v>
          </cell>
          <cell r="P375" t="str">
            <v>Mansoura</v>
          </cell>
        </row>
        <row r="376">
          <cell r="D376" t="str">
            <v>Mohamed Adel Hassan</v>
          </cell>
          <cell r="E376" t="str">
            <v>Saad Mohamed Abdelaziz Abdallah</v>
          </cell>
          <cell r="F376" t="str">
            <v>Karam Belal Mohamed</v>
          </cell>
          <cell r="G376" t="str">
            <v>Abo El Abbas Samir</v>
          </cell>
          <cell r="H376" t="str">
            <v>CVM 2 Line</v>
          </cell>
          <cell r="I376" t="str">
            <v>MR_1882</v>
          </cell>
          <cell r="J376" t="str">
            <v>MR</v>
          </cell>
          <cell r="K376" t="str">
            <v>Delta</v>
          </cell>
          <cell r="L376">
            <v>1014902948</v>
          </cell>
          <cell r="M376">
            <v>45780</v>
          </cell>
        </row>
        <row r="376">
          <cell r="O376">
            <v>1645</v>
          </cell>
          <cell r="P376" t="str">
            <v>Mit ghamr</v>
          </cell>
        </row>
        <row r="377">
          <cell r="D377" t="str">
            <v>Yara Tarek Gaber</v>
          </cell>
          <cell r="E377" t="str">
            <v>Saad Mohamed Abdelaziz Abdallah</v>
          </cell>
          <cell r="F377" t="str">
            <v>Karam Belal Mohamed</v>
          </cell>
          <cell r="G377" t="str">
            <v>Abo El Abbas Samir</v>
          </cell>
          <cell r="H377" t="str">
            <v>CVM 2 Line</v>
          </cell>
          <cell r="I377" t="str">
            <v>MR_1883</v>
          </cell>
          <cell r="J377" t="str">
            <v>MR</v>
          </cell>
          <cell r="K377" t="str">
            <v>Delta</v>
          </cell>
          <cell r="L377">
            <v>1287860208</v>
          </cell>
          <cell r="M377">
            <v>45780</v>
          </cell>
        </row>
        <row r="377">
          <cell r="O377">
            <v>1646</v>
          </cell>
          <cell r="P377" t="str">
            <v>Manzala</v>
          </cell>
        </row>
        <row r="378">
          <cell r="D378" t="str">
            <v>Yousef Mohamed ElSerwi</v>
          </cell>
          <cell r="E378" t="str">
            <v>Saad Mohamed Abdelaziz Abdallah</v>
          </cell>
          <cell r="F378" t="str">
            <v>Karam Belal Mohamed</v>
          </cell>
          <cell r="G378" t="str">
            <v>Abo El Abbas Samir</v>
          </cell>
          <cell r="H378" t="str">
            <v>CVM 2 Line</v>
          </cell>
          <cell r="I378" t="str">
            <v>MR_1884</v>
          </cell>
          <cell r="J378" t="str">
            <v>MR</v>
          </cell>
          <cell r="K378" t="str">
            <v>Delta</v>
          </cell>
          <cell r="L378">
            <v>1001868967</v>
          </cell>
          <cell r="M378">
            <v>45783</v>
          </cell>
        </row>
        <row r="378">
          <cell r="O378">
            <v>1647</v>
          </cell>
          <cell r="P378" t="str">
            <v>Mansoura</v>
          </cell>
        </row>
        <row r="379">
          <cell r="D379" t="str">
            <v>Abanoub Eid Fouad</v>
          </cell>
        </row>
        <row r="379">
          <cell r="F379" t="str">
            <v>Karam Belal Mohamed</v>
          </cell>
          <cell r="G379" t="str">
            <v>Abo El Abbas Samir</v>
          </cell>
          <cell r="H379" t="str">
            <v>CVM 2 Line</v>
          </cell>
          <cell r="I379" t="str">
            <v>DM_153</v>
          </cell>
          <cell r="J379" t="str">
            <v>DM</v>
          </cell>
          <cell r="K379" t="str">
            <v>Delta</v>
          </cell>
          <cell r="L379">
            <v>1011160924</v>
          </cell>
          <cell r="M379">
            <v>46081</v>
          </cell>
          <cell r="N379" t="str">
            <v>Abanoub.Eid.Fouad@averroes-eg.com</v>
          </cell>
          <cell r="O379">
            <v>1883</v>
          </cell>
          <cell r="P379" t="str">
            <v>Shebien El Kom</v>
          </cell>
        </row>
        <row r="380">
          <cell r="D380" t="str">
            <v>Ahmed Abdelhamid Ali Atallah</v>
          </cell>
          <cell r="E380" t="str">
            <v>Abanoub Eid Fouad</v>
          </cell>
          <cell r="F380" t="str">
            <v>Karam Belal Mohamed</v>
          </cell>
          <cell r="G380" t="str">
            <v>Abo El Abbas Samir</v>
          </cell>
          <cell r="H380" t="str">
            <v>CVM 2 Line</v>
          </cell>
          <cell r="I380" t="str">
            <v>Rep_00089</v>
          </cell>
          <cell r="J380" t="str">
            <v>MR</v>
          </cell>
          <cell r="K380" t="str">
            <v>Delta</v>
          </cell>
          <cell r="L380">
            <v>1007570734</v>
          </cell>
          <cell r="M380">
            <v>45962</v>
          </cell>
        </row>
        <row r="380">
          <cell r="O380">
            <v>1785</v>
          </cell>
          <cell r="P380" t="str">
            <v>Beket ElSabaa</v>
          </cell>
        </row>
        <row r="381">
          <cell r="D381" t="str">
            <v>Asala Ahmed Elfeky</v>
          </cell>
          <cell r="E381" t="str">
            <v>Abanoub Eid Fouad</v>
          </cell>
          <cell r="F381" t="str">
            <v>Karam Belal Mohamed</v>
          </cell>
          <cell r="G381" t="str">
            <v>Abo El Abbas Samir</v>
          </cell>
          <cell r="H381" t="str">
            <v>CVM 2 Line</v>
          </cell>
          <cell r="I381" t="str">
            <v>MR_1870</v>
          </cell>
          <cell r="J381" t="str">
            <v>MR</v>
          </cell>
          <cell r="K381" t="str">
            <v>Delta</v>
          </cell>
          <cell r="L381">
            <v>1227067386</v>
          </cell>
          <cell r="M381">
            <v>45780</v>
          </cell>
        </row>
        <row r="381">
          <cell r="O381">
            <v>1635</v>
          </cell>
          <cell r="P381" t="str">
            <v>Kfr zayat </v>
          </cell>
        </row>
        <row r="382">
          <cell r="D382" t="str">
            <v>Ibrahim Khalid ElSayed Salama</v>
          </cell>
          <cell r="E382" t="str">
            <v>Abanoub Eid Fouad</v>
          </cell>
          <cell r="F382" t="str">
            <v>Karam Belal Mohamed</v>
          </cell>
          <cell r="G382" t="str">
            <v>Abo El Abbas Samir</v>
          </cell>
          <cell r="H382" t="str">
            <v>CVM 2 Line</v>
          </cell>
          <cell r="I382" t="str">
            <v>Rep10076</v>
          </cell>
          <cell r="J382" t="str">
            <v>MR</v>
          </cell>
          <cell r="K382" t="str">
            <v>Delta</v>
          </cell>
          <cell r="L382">
            <v>1092913323</v>
          </cell>
          <cell r="M382">
            <v>45811</v>
          </cell>
        </row>
        <row r="382">
          <cell r="O382">
            <v>1688</v>
          </cell>
          <cell r="P382" t="str">
            <v>Tanta City</v>
          </cell>
        </row>
        <row r="383">
          <cell r="D383" t="str">
            <v>Islam Mosaad Mohamed</v>
          </cell>
          <cell r="E383" t="str">
            <v>Abanoub Eid Fouad</v>
          </cell>
          <cell r="F383" t="str">
            <v>Karam Belal Mohamed</v>
          </cell>
          <cell r="G383" t="str">
            <v>Abo El Abbas Samir</v>
          </cell>
          <cell r="H383" t="str">
            <v>CVM 2 Line</v>
          </cell>
          <cell r="I383" t="str">
            <v>MR_1871</v>
          </cell>
          <cell r="J383" t="str">
            <v>MR</v>
          </cell>
          <cell r="K383" t="str">
            <v>Delta</v>
          </cell>
          <cell r="L383">
            <v>1140921800</v>
          </cell>
          <cell r="M383">
            <v>45780</v>
          </cell>
        </row>
        <row r="383">
          <cell r="O383">
            <v>1636</v>
          </cell>
          <cell r="P383" t="str">
            <v>Zefta</v>
          </cell>
        </row>
        <row r="384">
          <cell r="D384" t="str">
            <v>Kholoud Mohamed Hashad</v>
          </cell>
          <cell r="E384" t="str">
            <v>Abanoub Eid Fouad</v>
          </cell>
          <cell r="F384" t="str">
            <v>Karam Belal Mohamed</v>
          </cell>
          <cell r="G384" t="str">
            <v>Abo El Abbas Samir</v>
          </cell>
          <cell r="H384" t="str">
            <v>CVM 2 Line</v>
          </cell>
          <cell r="I384" t="str">
            <v>Rep104</v>
          </cell>
          <cell r="J384" t="str">
            <v>MR</v>
          </cell>
          <cell r="K384" t="str">
            <v>Delta</v>
          </cell>
          <cell r="L384">
            <v>1003456648</v>
          </cell>
          <cell r="M384">
            <v>44222</v>
          </cell>
        </row>
        <row r="384">
          <cell r="O384">
            <v>711</v>
          </cell>
          <cell r="P384" t="str">
            <v>Shebien El Kom</v>
          </cell>
        </row>
        <row r="385">
          <cell r="D385" t="str">
            <v>Mona Mohamed Elshahat</v>
          </cell>
          <cell r="E385" t="str">
            <v>Abanoub Eid Fouad</v>
          </cell>
          <cell r="F385" t="str">
            <v>Karam Belal Mohamed</v>
          </cell>
          <cell r="G385" t="str">
            <v>Abo El Abbas Samir</v>
          </cell>
          <cell r="H385" t="str">
            <v>CVM 2 Line</v>
          </cell>
          <cell r="I385" t="str">
            <v>Rep_00145</v>
          </cell>
          <cell r="J385" t="str">
            <v>MR</v>
          </cell>
          <cell r="K385" t="str">
            <v>Delta</v>
          </cell>
        </row>
        <row r="385">
          <cell r="M385">
            <v>46054</v>
          </cell>
        </row>
        <row r="385">
          <cell r="O385">
            <v>1847</v>
          </cell>
        </row>
        <row r="386">
          <cell r="D386" t="str">
            <v>Ahmed Adel Mohamed</v>
          </cell>
          <cell r="E386" t="str">
            <v>Abanoub Eid Fouad</v>
          </cell>
          <cell r="F386" t="str">
            <v>Karam Belal Mohamed</v>
          </cell>
          <cell r="G386" t="str">
            <v>Abo El Abbas Samir</v>
          </cell>
          <cell r="H386" t="str">
            <v>CVM 2 Line</v>
          </cell>
          <cell r="I386" t="str">
            <v>Rep100001</v>
          </cell>
          <cell r="J386" t="str">
            <v>MR</v>
          </cell>
          <cell r="K386" t="str">
            <v>Delta</v>
          </cell>
          <cell r="L386">
            <v>1097112085</v>
          </cell>
          <cell r="M386">
            <v>45780</v>
          </cell>
        </row>
        <row r="386">
          <cell r="O386">
            <v>1638</v>
          </cell>
          <cell r="P386" t="str">
            <v>El Bagour</v>
          </cell>
        </row>
        <row r="387">
          <cell r="D387" t="str">
            <v>Mahmoud AbdElSattar AbdElWahab</v>
          </cell>
        </row>
        <row r="387">
          <cell r="F387" t="str">
            <v>Karam Belal Mohamed</v>
          </cell>
          <cell r="G387" t="str">
            <v>Abo El Abbas Samir</v>
          </cell>
          <cell r="H387" t="str">
            <v>CVM 2 Line</v>
          </cell>
          <cell r="I387" t="str">
            <v>Rep0029</v>
          </cell>
          <cell r="J387" t="str">
            <v>DM</v>
          </cell>
          <cell r="K387" t="str">
            <v>Delta</v>
          </cell>
          <cell r="L387">
            <v>1007037612</v>
          </cell>
          <cell r="M387">
            <v>45444</v>
          </cell>
          <cell r="N387" t="str">
            <v>Mahmoud.AbdElSattar.AbdElWahab@averroes-eg.com</v>
          </cell>
          <cell r="O387">
            <v>1368</v>
          </cell>
          <cell r="P387" t="str">
            <v>Menyet Elkamh</v>
          </cell>
        </row>
        <row r="388">
          <cell r="D388" t="str">
            <v>Amany Mohamed El Sayed</v>
          </cell>
          <cell r="E388" t="str">
            <v>Mahmoud AbdElSattar AbdElWahab</v>
          </cell>
          <cell r="F388" t="str">
            <v>Karam Belal Mohamed</v>
          </cell>
          <cell r="G388" t="str">
            <v>Abo El Abbas Samir</v>
          </cell>
          <cell r="H388" t="str">
            <v>CVM 2 Line</v>
          </cell>
          <cell r="I388" t="str">
            <v>MR_1874</v>
          </cell>
          <cell r="J388" t="str">
            <v>MR</v>
          </cell>
          <cell r="K388" t="str">
            <v>Delta</v>
          </cell>
          <cell r="L388">
            <v>1551452530</v>
          </cell>
          <cell r="M388">
            <v>45783</v>
          </cell>
        </row>
        <row r="388">
          <cell r="O388">
            <v>1639</v>
          </cell>
          <cell r="P388" t="str">
            <v>Banha - Atreeb</v>
          </cell>
        </row>
        <row r="389">
          <cell r="D389" t="str">
            <v>Amira ElSayed Behkit Saeed</v>
          </cell>
          <cell r="E389" t="str">
            <v>Mahmoud AbdElSattar AbdElWahab</v>
          </cell>
          <cell r="F389" t="str">
            <v>Karam Belal Mohamed</v>
          </cell>
          <cell r="G389" t="str">
            <v>Abo El Abbas Samir</v>
          </cell>
          <cell r="H389" t="str">
            <v>CVM 2 Line</v>
          </cell>
          <cell r="I389" t="str">
            <v>MR_1877</v>
          </cell>
          <cell r="J389" t="str">
            <v>MR</v>
          </cell>
          <cell r="K389" t="str">
            <v>Delta</v>
          </cell>
          <cell r="L389">
            <v>1277040381</v>
          </cell>
          <cell r="M389">
            <v>45780</v>
          </cell>
        </row>
        <row r="389">
          <cell r="O389">
            <v>1641</v>
          </cell>
          <cell r="P389" t="str">
            <v>Hehia</v>
          </cell>
        </row>
        <row r="390">
          <cell r="D390" t="str">
            <v>Esraa Shokry Mohamed Gad</v>
          </cell>
          <cell r="E390" t="str">
            <v>Mahmoud AbdElSattar AbdElWahab</v>
          </cell>
          <cell r="F390" t="str">
            <v>Karam Belal Mohamed</v>
          </cell>
          <cell r="G390" t="str">
            <v>Abo El Abbas Samir</v>
          </cell>
          <cell r="H390" t="str">
            <v>CVM 2 Line</v>
          </cell>
          <cell r="I390" t="str">
            <v>Rep_00080</v>
          </cell>
          <cell r="J390" t="str">
            <v>MR</v>
          </cell>
          <cell r="K390" t="str">
            <v>Delta</v>
          </cell>
          <cell r="L390">
            <v>1553246058</v>
          </cell>
          <cell r="M390">
            <v>45962</v>
          </cell>
        </row>
        <row r="390">
          <cell r="O390">
            <v>1777</v>
          </cell>
          <cell r="P390" t="str">
            <v>Belbais</v>
          </cell>
        </row>
        <row r="391">
          <cell r="D391" t="str">
            <v>Khaled Ahmed Fathy</v>
          </cell>
          <cell r="E391" t="str">
            <v>Mahmoud AbdElSattar AbdElWahab</v>
          </cell>
          <cell r="F391" t="str">
            <v>Karam Belal Mohamed</v>
          </cell>
          <cell r="G391" t="str">
            <v>Abo El Abbas Samir</v>
          </cell>
          <cell r="H391" t="str">
            <v>CVM 2 Line</v>
          </cell>
          <cell r="I391" t="str">
            <v>Rep10071</v>
          </cell>
          <cell r="J391" t="str">
            <v>MR</v>
          </cell>
          <cell r="K391" t="str">
            <v>Delta</v>
          </cell>
          <cell r="L391">
            <v>1223027139</v>
          </cell>
          <cell r="M391">
            <v>45810</v>
          </cell>
        </row>
        <row r="391">
          <cell r="O391">
            <v>1683</v>
          </cell>
          <cell r="P391" t="str">
            <v>Shebien El Kanater</v>
          </cell>
        </row>
        <row r="392">
          <cell r="D392" t="str">
            <v>Elsayed Tawfik Elsayed Khater</v>
          </cell>
          <cell r="E392" t="str">
            <v>Mahmoud AbdElSattar AbdElWahab</v>
          </cell>
          <cell r="F392" t="str">
            <v>Karam Belal Mohamed</v>
          </cell>
          <cell r="G392" t="str">
            <v>Abo El Abbas Samir</v>
          </cell>
          <cell r="H392" t="str">
            <v>CVM 2 Line</v>
          </cell>
          <cell r="I392" t="str">
            <v>Rep_00127</v>
          </cell>
          <cell r="J392" t="str">
            <v>MR</v>
          </cell>
          <cell r="K392" t="str">
            <v>Delta</v>
          </cell>
          <cell r="L392">
            <v>1050709450</v>
          </cell>
          <cell r="M392">
            <v>46070</v>
          </cell>
        </row>
        <row r="392">
          <cell r="O392">
            <v>1877</v>
          </cell>
          <cell r="P392" t="str">
            <v>El Zakazik City</v>
          </cell>
        </row>
        <row r="393">
          <cell r="D393" t="str">
            <v>Moaz Samy Abdelraouf</v>
          </cell>
          <cell r="E393" t="str">
            <v>Mahmoud AbdElSattar AbdElWahab</v>
          </cell>
          <cell r="F393" t="str">
            <v>Karam Belal Mohamed</v>
          </cell>
          <cell r="G393" t="str">
            <v>Abo El Abbas Samir</v>
          </cell>
          <cell r="H393" t="str">
            <v>CVM 2 Line</v>
          </cell>
          <cell r="I393" t="str">
            <v>Rep1034</v>
          </cell>
          <cell r="J393" t="str">
            <v>MR</v>
          </cell>
          <cell r="K393" t="str">
            <v>Delta</v>
          </cell>
          <cell r="L393">
            <v>1068040454</v>
          </cell>
          <cell r="M393">
            <v>46025</v>
          </cell>
        </row>
        <row r="393">
          <cell r="O393">
            <v>1838</v>
          </cell>
          <cell r="P393" t="str">
            <v>El Zakazik City</v>
          </cell>
        </row>
        <row r="394">
          <cell r="D394" t="str">
            <v>Mohamed Ibrahim Hamed</v>
          </cell>
          <cell r="E394" t="str">
            <v>Mahmoud AbdElSattar AbdElWahab</v>
          </cell>
          <cell r="F394" t="str">
            <v>Karam Belal Mohamed</v>
          </cell>
          <cell r="G394" t="str">
            <v>Abo El Abbas Samir</v>
          </cell>
          <cell r="H394" t="str">
            <v>CVM 2 Line</v>
          </cell>
          <cell r="I394" t="str">
            <v>Rep_00155</v>
          </cell>
          <cell r="J394" t="str">
            <v>MR</v>
          </cell>
          <cell r="K394" t="str">
            <v>Delta</v>
          </cell>
          <cell r="L394">
            <v>1116336056</v>
          </cell>
          <cell r="M394">
            <v>46025</v>
          </cell>
        </row>
        <row r="394">
          <cell r="O394">
            <v>1825</v>
          </cell>
          <cell r="P394" t="str">
            <v>Fakoos</v>
          </cell>
        </row>
        <row r="395">
          <cell r="D395" t="str">
            <v>Mohamed Mostafa Osman</v>
          </cell>
        </row>
        <row r="395">
          <cell r="G395" t="str">
            <v>Abo El Abbas Samir</v>
          </cell>
          <cell r="H395" t="str">
            <v>CVM 1 Line &amp; CVM 2 Line</v>
          </cell>
          <cell r="I395" t="str">
            <v>DM_50</v>
          </cell>
          <cell r="J395" t="str">
            <v>AM</v>
          </cell>
          <cell r="K395" t="str">
            <v>Cairo</v>
          </cell>
          <cell r="L395" t="str">
            <v> 1270022536</v>
          </cell>
          <cell r="M395">
            <v>44654</v>
          </cell>
          <cell r="N395" t="str">
            <v>Mohamed.Osman@Averroes-eg.com</v>
          </cell>
          <cell r="O395">
            <v>964</v>
          </cell>
          <cell r="P395" t="str">
            <v>Shobra El Khiema</v>
          </cell>
        </row>
        <row r="396">
          <cell r="D396" t="str">
            <v>Ahmed Adel Kasem</v>
          </cell>
        </row>
        <row r="396">
          <cell r="F396" t="str">
            <v>Mohamed Mostafa Osman</v>
          </cell>
          <cell r="G396" t="str">
            <v>Abo El Abbas Samir</v>
          </cell>
          <cell r="H396" t="str">
            <v>CVM 1 Line</v>
          </cell>
          <cell r="I396" t="str">
            <v>DM_94</v>
          </cell>
          <cell r="J396" t="str">
            <v>DM</v>
          </cell>
          <cell r="K396" t="str">
            <v>Cairo</v>
          </cell>
          <cell r="L396" t="str">
            <v> 01121229559</v>
          </cell>
          <cell r="M396">
            <v>44940</v>
          </cell>
          <cell r="N396" t="str">
            <v>Ahmed.Adel.Kasem@averroes-eg.com</v>
          </cell>
          <cell r="O396">
            <v>1080</v>
          </cell>
          <cell r="P396" t="str">
            <v>El Badrashien</v>
          </cell>
        </row>
        <row r="397">
          <cell r="D397" t="str">
            <v>AbdelRahman Raafat Helmy</v>
          </cell>
          <cell r="E397" t="str">
            <v>Ahmed Adel Kasem</v>
          </cell>
          <cell r="F397" t="str">
            <v>Mohamed Mostafa Osman</v>
          </cell>
          <cell r="G397" t="str">
            <v>Abo El Abbas Samir</v>
          </cell>
          <cell r="H397" t="str">
            <v>CVM 1 Line</v>
          </cell>
          <cell r="I397" t="str">
            <v>Rep728</v>
          </cell>
          <cell r="J397" t="str">
            <v>MR</v>
          </cell>
          <cell r="K397" t="str">
            <v>Cairo</v>
          </cell>
          <cell r="L397">
            <v>1030086979</v>
          </cell>
          <cell r="M397">
            <v>44982</v>
          </cell>
        </row>
        <row r="397">
          <cell r="O397">
            <v>1203</v>
          </cell>
          <cell r="P397" t="str">
            <v>El Omrania</v>
          </cell>
        </row>
        <row r="398">
          <cell r="D398" t="str">
            <v>Esraa ELDesoky Saad</v>
          </cell>
          <cell r="E398" t="str">
            <v>Ahmed Adel Kasem</v>
          </cell>
          <cell r="F398" t="str">
            <v>Mohamed Mostafa Osman</v>
          </cell>
          <cell r="G398" t="str">
            <v>Abo El Abbas Samir</v>
          </cell>
          <cell r="H398" t="str">
            <v>CVM 1 Line</v>
          </cell>
          <cell r="I398" t="str">
            <v>Rep100029</v>
          </cell>
          <cell r="J398" t="str">
            <v>MR</v>
          </cell>
          <cell r="K398" t="str">
            <v>Cairo</v>
          </cell>
          <cell r="L398">
            <v>1128800071</v>
          </cell>
          <cell r="M398">
            <v>45507</v>
          </cell>
        </row>
        <row r="398">
          <cell r="O398">
            <v>1420</v>
          </cell>
          <cell r="P398" t="str">
            <v>El Talbeia (Faisal)</v>
          </cell>
        </row>
        <row r="399">
          <cell r="D399" t="str">
            <v>L5_Vacant_Faisal &amp; Bolak</v>
          </cell>
          <cell r="E399" t="str">
            <v>Ahmed Adel Kasem</v>
          </cell>
          <cell r="F399" t="str">
            <v>Mohamed Mostafa Osman</v>
          </cell>
          <cell r="G399" t="str">
            <v>Abo El Abbas Samir</v>
          </cell>
          <cell r="H399" t="str">
            <v>CVM 1 Line</v>
          </cell>
          <cell r="I399" t="str">
            <v>Rep1038</v>
          </cell>
          <cell r="J399" t="str">
            <v>MR</v>
          </cell>
          <cell r="K399" t="str">
            <v>Cairo</v>
          </cell>
        </row>
        <row r="399">
          <cell r="O399">
            <v>0</v>
          </cell>
        </row>
        <row r="400">
          <cell r="D400" t="str">
            <v>Fekrya Hamdy Anwar</v>
          </cell>
          <cell r="E400" t="str">
            <v>Ahmed Adel Kasem</v>
          </cell>
          <cell r="F400" t="str">
            <v>Mohamed Mostafa Osman</v>
          </cell>
          <cell r="G400" t="str">
            <v>Abo El Abbas Samir</v>
          </cell>
          <cell r="H400" t="str">
            <v>CVM 1 Line</v>
          </cell>
          <cell r="I400" t="str">
            <v>Rep_00149</v>
          </cell>
          <cell r="J400" t="str">
            <v>MR</v>
          </cell>
          <cell r="K400" t="str">
            <v>Cairo</v>
          </cell>
          <cell r="L400">
            <v>1150729830</v>
          </cell>
          <cell r="M400">
            <v>46070</v>
          </cell>
        </row>
        <row r="400">
          <cell r="O400">
            <v>1874</v>
          </cell>
          <cell r="P400" t="str">
            <v>El Marazeek (Badrasheen)</v>
          </cell>
        </row>
        <row r="401">
          <cell r="D401" t="str">
            <v>Mohannad Mohamed Salah</v>
          </cell>
          <cell r="E401" t="str">
            <v>Ahmed Adel Kasem</v>
          </cell>
          <cell r="F401" t="str">
            <v>Mohamed Mostafa Osman</v>
          </cell>
          <cell r="G401" t="str">
            <v>Abo El Abbas Samir</v>
          </cell>
          <cell r="H401" t="str">
            <v>CVM 1 Line</v>
          </cell>
          <cell r="I401" t="str">
            <v>Rep100059</v>
          </cell>
          <cell r="J401" t="str">
            <v>MR</v>
          </cell>
          <cell r="K401" t="str">
            <v>Cairo</v>
          </cell>
          <cell r="L401">
            <v>1007877709</v>
          </cell>
          <cell r="M401">
            <v>45643</v>
          </cell>
        </row>
        <row r="401">
          <cell r="O401">
            <v>1478</v>
          </cell>
          <cell r="P401" t="str">
            <v>Fayoum</v>
          </cell>
        </row>
        <row r="402">
          <cell r="D402" t="str">
            <v>Nasra Mohamed Maher</v>
          </cell>
          <cell r="E402" t="str">
            <v>Ahmed Adel Kasem</v>
          </cell>
          <cell r="F402" t="str">
            <v>Mohamed Mostafa Osman</v>
          </cell>
          <cell r="G402" t="str">
            <v>Abo El Abbas Samir</v>
          </cell>
          <cell r="H402" t="str">
            <v>CVM 1 Line</v>
          </cell>
          <cell r="I402" t="str">
            <v>Rep_00139</v>
          </cell>
          <cell r="J402" t="str">
            <v>MR</v>
          </cell>
          <cell r="K402" t="str">
            <v>Cairo</v>
          </cell>
          <cell r="L402">
            <v>1503003193</v>
          </cell>
          <cell r="M402">
            <v>46006</v>
          </cell>
        </row>
        <row r="402">
          <cell r="O402">
            <v>1820</v>
          </cell>
          <cell r="P402" t="str">
            <v>6th of October City</v>
          </cell>
        </row>
        <row r="403">
          <cell r="D403" t="str">
            <v>Moustafa Mohamed Diab</v>
          </cell>
        </row>
        <row r="403">
          <cell r="F403" t="str">
            <v>Mohamed Mostafa Osman</v>
          </cell>
          <cell r="G403" t="str">
            <v>Abo El Abbas Samir</v>
          </cell>
          <cell r="H403" t="str">
            <v>CVM 1 Line</v>
          </cell>
          <cell r="I403" t="str">
            <v>Rep275</v>
          </cell>
          <cell r="J403" t="str">
            <v>DM</v>
          </cell>
          <cell r="K403" t="str">
            <v>Cairo</v>
          </cell>
          <cell r="L403" t="str">
            <v> 1150520440</v>
          </cell>
          <cell r="M403">
            <v>44598</v>
          </cell>
          <cell r="N403" t="str">
            <v>Moustafa.Diab@averroes-eg.com</v>
          </cell>
          <cell r="O403">
            <v>919</v>
          </cell>
          <cell r="P403" t="str">
            <v>El Marg</v>
          </cell>
        </row>
        <row r="404">
          <cell r="D404" t="str">
            <v>Alaa Sameh Mohamed</v>
          </cell>
          <cell r="E404" t="str">
            <v>Moustafa Mohamed Diab</v>
          </cell>
          <cell r="F404" t="str">
            <v>Mohamed Mostafa Osman</v>
          </cell>
          <cell r="G404" t="str">
            <v>Abo El Abbas Samir</v>
          </cell>
          <cell r="H404" t="str">
            <v>CVM 1 Line</v>
          </cell>
          <cell r="I404" t="str">
            <v>Rep313</v>
          </cell>
          <cell r="J404" t="str">
            <v>MR</v>
          </cell>
          <cell r="K404" t="str">
            <v>Cairo</v>
          </cell>
          <cell r="L404" t="str">
            <v> 1021465722</v>
          </cell>
          <cell r="M404">
            <v>44625</v>
          </cell>
        </row>
        <row r="404">
          <cell r="O404">
            <v>957</v>
          </cell>
          <cell r="P404" t="str">
            <v>Ismaelia City</v>
          </cell>
        </row>
        <row r="405">
          <cell r="D405" t="str">
            <v>Asmaa Ahmed Farrag</v>
          </cell>
          <cell r="E405" t="str">
            <v>Moustafa Mohamed Diab</v>
          </cell>
          <cell r="F405" t="str">
            <v>Mohamed Mostafa Osman</v>
          </cell>
          <cell r="G405" t="str">
            <v>Abo El Abbas Samir</v>
          </cell>
          <cell r="H405" t="str">
            <v>CVM 1 Line</v>
          </cell>
          <cell r="I405" t="str">
            <v>Rep10054</v>
          </cell>
          <cell r="J405" t="str">
            <v>MR</v>
          </cell>
          <cell r="K405" t="str">
            <v>Cairo</v>
          </cell>
          <cell r="L405">
            <v>1017334085</v>
          </cell>
          <cell r="M405">
            <v>45717</v>
          </cell>
        </row>
        <row r="405">
          <cell r="O405">
            <v>1575</v>
          </cell>
          <cell r="P405" t="str">
            <v>El Salam</v>
          </cell>
        </row>
        <row r="406">
          <cell r="D406" t="str">
            <v>Donia Sherif Ahmed</v>
          </cell>
          <cell r="E406" t="str">
            <v>Moustafa Mohamed Diab</v>
          </cell>
          <cell r="F406" t="str">
            <v>Mohamed Mostafa Osman</v>
          </cell>
          <cell r="G406" t="str">
            <v>Abo El Abbas Samir</v>
          </cell>
          <cell r="H406" t="str">
            <v>CVM 1 Line</v>
          </cell>
          <cell r="I406" t="str">
            <v>Rep_00132</v>
          </cell>
          <cell r="J406" t="str">
            <v>MR</v>
          </cell>
          <cell r="K406" t="str">
            <v>Cairo</v>
          </cell>
          <cell r="L406">
            <v>1019106855</v>
          </cell>
          <cell r="M406">
            <v>46088</v>
          </cell>
        </row>
        <row r="406">
          <cell r="O406">
            <v>1898</v>
          </cell>
          <cell r="P406" t="str">
            <v>El kobbah</v>
          </cell>
        </row>
        <row r="407">
          <cell r="D407" t="str">
            <v>Nour Khaled Esmail</v>
          </cell>
          <cell r="E407" t="str">
            <v>Moustafa Mohamed Diab</v>
          </cell>
          <cell r="F407" t="str">
            <v>Mohamed Mostafa Osman</v>
          </cell>
          <cell r="G407" t="str">
            <v>Abo El Abbas Samir</v>
          </cell>
          <cell r="H407" t="str">
            <v>CVM 1 Line</v>
          </cell>
          <cell r="I407" t="str">
            <v>Rep_00096</v>
          </cell>
          <cell r="J407" t="str">
            <v>MR</v>
          </cell>
          <cell r="K407" t="str">
            <v>Cairo</v>
          </cell>
          <cell r="L407">
            <v>1127287680</v>
          </cell>
          <cell r="M407">
            <v>46113</v>
          </cell>
        </row>
        <row r="407">
          <cell r="O407">
            <v>1935</v>
          </cell>
          <cell r="P407" t="str">
            <v>NASR CITY I</v>
          </cell>
        </row>
        <row r="408">
          <cell r="D408" t="str">
            <v>L5_Vacant_Nasr City 2</v>
          </cell>
          <cell r="E408" t="str">
            <v>Moustafa Mohamed Diab</v>
          </cell>
          <cell r="F408" t="str">
            <v>Mohamed Mostafa Osman</v>
          </cell>
          <cell r="G408" t="str">
            <v>Abo El Abbas Samir</v>
          </cell>
          <cell r="H408" t="str">
            <v>CVM 1 Line</v>
          </cell>
          <cell r="I408" t="str">
            <v>Rep_00097</v>
          </cell>
          <cell r="J408" t="str">
            <v>MR</v>
          </cell>
          <cell r="K408" t="str">
            <v>Cairo</v>
          </cell>
        </row>
        <row r="408">
          <cell r="O408">
            <v>0</v>
          </cell>
        </row>
        <row r="409">
          <cell r="D409" t="str">
            <v>Moustafa AbdElhalim Mohamed Osman</v>
          </cell>
          <cell r="E409" t="str">
            <v>Moustafa Mohamed Diab</v>
          </cell>
          <cell r="F409" t="str">
            <v>Mohamed Mostafa Osman</v>
          </cell>
          <cell r="G409" t="str">
            <v>Abo El Abbas Samir</v>
          </cell>
          <cell r="H409" t="str">
            <v>CVM 1 Line</v>
          </cell>
          <cell r="I409" t="str">
            <v>Rep147</v>
          </cell>
          <cell r="J409" t="str">
            <v>MR</v>
          </cell>
          <cell r="K409" t="str">
            <v>Cairo</v>
          </cell>
          <cell r="L409">
            <v>1113219760</v>
          </cell>
          <cell r="M409">
            <v>44440</v>
          </cell>
        </row>
        <row r="409">
          <cell r="O409">
            <v>822</v>
          </cell>
          <cell r="P409" t="str">
            <v>Roksi</v>
          </cell>
        </row>
        <row r="410">
          <cell r="D410" t="str">
            <v>Salma Karem Mahmoud Khalifa</v>
          </cell>
          <cell r="E410" t="str">
            <v>Moustafa Mohamed Diab</v>
          </cell>
          <cell r="F410" t="str">
            <v>Mohamed Mostafa Osman</v>
          </cell>
          <cell r="G410" t="str">
            <v>Abo El Abbas Samir</v>
          </cell>
          <cell r="H410" t="str">
            <v>CVM 1 Line</v>
          </cell>
          <cell r="I410" t="str">
            <v>Rep0030</v>
          </cell>
          <cell r="J410" t="str">
            <v>MR</v>
          </cell>
          <cell r="K410" t="str">
            <v>Cairo</v>
          </cell>
          <cell r="L410">
            <v>1151554870</v>
          </cell>
          <cell r="M410">
            <v>45444</v>
          </cell>
        </row>
        <row r="410">
          <cell r="O410">
            <v>1378</v>
          </cell>
          <cell r="P410" t="str">
            <v>El Marg</v>
          </cell>
        </row>
        <row r="411">
          <cell r="D411" t="str">
            <v>Nourhan Mohamed Ali</v>
          </cell>
        </row>
        <row r="411">
          <cell r="F411" t="str">
            <v>Mohamed Mostafa Osman</v>
          </cell>
          <cell r="G411" t="str">
            <v>Abo El Abbas Samir</v>
          </cell>
          <cell r="H411" t="str">
            <v>CVM 1 Line</v>
          </cell>
          <cell r="I411" t="str">
            <v>Rep279</v>
          </cell>
          <cell r="J411" t="str">
            <v>DM</v>
          </cell>
          <cell r="K411" t="str">
            <v>Cairo</v>
          </cell>
          <cell r="L411" t="str">
            <v> 1140755966</v>
          </cell>
          <cell r="M411">
            <v>44598</v>
          </cell>
          <cell r="N411" t="str">
            <v>Nourhan.Mohamed.Ali@averroes-eg.com</v>
          </cell>
          <cell r="O411">
            <v>902</v>
          </cell>
          <cell r="P411" t="str">
            <v>Helwan</v>
          </cell>
        </row>
        <row r="412">
          <cell r="D412" t="str">
            <v>Ahmed khaled AboNwar</v>
          </cell>
          <cell r="E412" t="str">
            <v>Nourhan Mohamed Ali</v>
          </cell>
          <cell r="F412" t="str">
            <v>Mohamed Mostafa Osman</v>
          </cell>
          <cell r="G412" t="str">
            <v>Abo El Abbas Samir</v>
          </cell>
          <cell r="H412" t="str">
            <v>CVM 1 Line</v>
          </cell>
          <cell r="I412" t="str">
            <v>Rep100027</v>
          </cell>
          <cell r="J412" t="str">
            <v>MR</v>
          </cell>
          <cell r="K412" t="str">
            <v>Cairo</v>
          </cell>
          <cell r="L412">
            <v>1150767238</v>
          </cell>
          <cell r="M412">
            <v>45514</v>
          </cell>
        </row>
        <row r="412">
          <cell r="O412">
            <v>1423</v>
          </cell>
          <cell r="P412" t="str">
            <v>Embaba</v>
          </cell>
        </row>
        <row r="413">
          <cell r="D413" t="str">
            <v>Mohamed Hamouda Abdelal</v>
          </cell>
          <cell r="E413" t="str">
            <v>Nourhan Mohamed Ali</v>
          </cell>
          <cell r="F413" t="str">
            <v>Mohamed Mostafa Osman</v>
          </cell>
          <cell r="G413" t="str">
            <v>Abo El Abbas Samir</v>
          </cell>
          <cell r="H413" t="str">
            <v>CVM 1 Line</v>
          </cell>
          <cell r="I413" t="str">
            <v>Rep100073</v>
          </cell>
          <cell r="J413" t="str">
            <v>MR</v>
          </cell>
          <cell r="K413" t="str">
            <v>Cairo</v>
          </cell>
          <cell r="L413">
            <v>1205958572</v>
          </cell>
          <cell r="M413">
            <v>46105</v>
          </cell>
        </row>
        <row r="413">
          <cell r="O413">
            <v>1905</v>
          </cell>
          <cell r="P413" t="str">
            <v>Ahmed Helmy St</v>
          </cell>
        </row>
        <row r="414">
          <cell r="D414" t="str">
            <v>Salah Safwat Mohamed Sayed</v>
          </cell>
          <cell r="E414" t="str">
            <v>Nourhan Mohamed Ali</v>
          </cell>
          <cell r="F414" t="str">
            <v>Mohamed Mostafa Osman</v>
          </cell>
          <cell r="G414" t="str">
            <v>Abo El Abbas Samir</v>
          </cell>
          <cell r="H414" t="str">
            <v>CVM 1 Line</v>
          </cell>
          <cell r="I414" t="str">
            <v>Rep058</v>
          </cell>
          <cell r="J414" t="str">
            <v>MR</v>
          </cell>
          <cell r="K414" t="str">
            <v>Cairo</v>
          </cell>
          <cell r="L414">
            <v>1126329255</v>
          </cell>
          <cell r="M414">
            <v>46082</v>
          </cell>
        </row>
        <row r="414">
          <cell r="O414">
            <v>1891</v>
          </cell>
          <cell r="P414" t="str">
            <v>Helwan</v>
          </cell>
        </row>
        <row r="415">
          <cell r="D415" t="str">
            <v>Moamen Mohamed Saleh</v>
          </cell>
          <cell r="E415" t="str">
            <v>Nourhan Mohamed Ali</v>
          </cell>
          <cell r="F415" t="str">
            <v>Mohamed Mostafa Osman</v>
          </cell>
          <cell r="G415" t="str">
            <v>Abo El Abbas Samir</v>
          </cell>
          <cell r="H415" t="str">
            <v>CVM 1 Line</v>
          </cell>
          <cell r="I415" t="str">
            <v>AVR_30</v>
          </cell>
          <cell r="J415" t="str">
            <v>MR</v>
          </cell>
          <cell r="K415" t="str">
            <v>Cairo</v>
          </cell>
          <cell r="L415">
            <v>1221429587</v>
          </cell>
          <cell r="M415">
            <v>45689</v>
          </cell>
        </row>
        <row r="415">
          <cell r="O415">
            <v>1527</v>
          </cell>
        </row>
        <row r="416">
          <cell r="D416" t="str">
            <v>Sarah Safwat Fadel Mohamed</v>
          </cell>
          <cell r="E416" t="str">
            <v>Nourhan Mohamed Ali</v>
          </cell>
          <cell r="F416" t="str">
            <v>Mohamed Mostafa Osman</v>
          </cell>
          <cell r="G416" t="str">
            <v>Abo El Abbas Samir</v>
          </cell>
          <cell r="H416" t="str">
            <v>CVM 1 Line</v>
          </cell>
          <cell r="I416" t="str">
            <v>Rep10009</v>
          </cell>
          <cell r="J416" t="str">
            <v>MR</v>
          </cell>
          <cell r="K416" t="str">
            <v>Cairo</v>
          </cell>
          <cell r="L416">
            <v>1094978573</v>
          </cell>
          <cell r="M416">
            <v>45465</v>
          </cell>
        </row>
        <row r="416">
          <cell r="O416">
            <v>1402</v>
          </cell>
          <cell r="P416" t="str">
            <v>Shobra El Khiema</v>
          </cell>
        </row>
        <row r="417">
          <cell r="D417" t="str">
            <v>Shimaa Esmat Mohamed</v>
          </cell>
          <cell r="E417" t="str">
            <v>Nourhan Mohamed Ali</v>
          </cell>
          <cell r="F417" t="str">
            <v>Mohamed Mostafa Osman</v>
          </cell>
          <cell r="G417" t="str">
            <v>Abo El Abbas Samir</v>
          </cell>
          <cell r="H417" t="str">
            <v>CVM 1 Line</v>
          </cell>
          <cell r="I417" t="str">
            <v>Rep1018</v>
          </cell>
          <cell r="J417" t="str">
            <v>MR</v>
          </cell>
          <cell r="K417" t="str">
            <v>Cairo</v>
          </cell>
          <cell r="L417">
            <v>1155571637</v>
          </cell>
          <cell r="M417">
            <v>45752</v>
          </cell>
        </row>
        <row r="417">
          <cell r="O417">
            <v>1607</v>
          </cell>
          <cell r="P417" t="str">
            <v>El Maasara</v>
          </cell>
        </row>
        <row r="418">
          <cell r="D418" t="str">
            <v>Ahmed Mohamed ElSayed Ali</v>
          </cell>
        </row>
        <row r="418">
          <cell r="F418" t="str">
            <v>Mohamed Mostafa Osman</v>
          </cell>
          <cell r="G418" t="str">
            <v>Abo El Abbas Samir</v>
          </cell>
          <cell r="H418" t="str">
            <v>CVM 2 Line</v>
          </cell>
          <cell r="I418" t="str">
            <v>DM1016</v>
          </cell>
          <cell r="J418" t="str">
            <v>DM</v>
          </cell>
          <cell r="K418" t="str">
            <v>Cairo</v>
          </cell>
          <cell r="L418">
            <v>1152596661</v>
          </cell>
          <cell r="M418">
            <v>45752</v>
          </cell>
          <cell r="N418" t="str">
            <v>Ahmed.Mohamed.ElSayed@averroes-eg.com</v>
          </cell>
          <cell r="O418">
            <v>1600</v>
          </cell>
          <cell r="P418" t="str">
            <v>Elmataria</v>
          </cell>
        </row>
        <row r="419">
          <cell r="D419" t="str">
            <v>Androw Ayman Gaied Sharmoch</v>
          </cell>
          <cell r="E419" t="str">
            <v>Ahmed Mohamed ElSayed Ali</v>
          </cell>
          <cell r="F419" t="str">
            <v>Mohamed Mostafa Osman</v>
          </cell>
          <cell r="G419" t="str">
            <v>Abo El Abbas Samir</v>
          </cell>
          <cell r="H419" t="str">
            <v>CVM 2 Line</v>
          </cell>
          <cell r="I419" t="str">
            <v>MR_1891</v>
          </cell>
          <cell r="J419" t="str">
            <v>MR</v>
          </cell>
          <cell r="K419" t="str">
            <v>Cairo</v>
          </cell>
          <cell r="L419">
            <v>1278644170</v>
          </cell>
          <cell r="M419">
            <v>45780</v>
          </cell>
        </row>
        <row r="419">
          <cell r="O419">
            <v>1653</v>
          </cell>
          <cell r="P419" t="str">
            <v>Hadayek elkobba</v>
          </cell>
        </row>
        <row r="420">
          <cell r="D420" t="str">
            <v>L11_Vacant_Elmarg</v>
          </cell>
          <cell r="E420" t="str">
            <v>Ahmed Mohamed ElSayed Ali</v>
          </cell>
          <cell r="F420" t="str">
            <v>Mohamed Mostafa Osman</v>
          </cell>
          <cell r="G420" t="str">
            <v>Abo El Abbas Samir</v>
          </cell>
          <cell r="H420" t="str">
            <v>CVM 2 Line</v>
          </cell>
          <cell r="I420" t="str">
            <v>MR_1892</v>
          </cell>
          <cell r="J420" t="str">
            <v>MR</v>
          </cell>
          <cell r="K420" t="str">
            <v>Cairo</v>
          </cell>
        </row>
        <row r="420">
          <cell r="O420">
            <v>0</v>
          </cell>
        </row>
        <row r="421">
          <cell r="D421" t="str">
            <v>Lena Kasem Fadel</v>
          </cell>
          <cell r="E421" t="str">
            <v>Ahmed Mohamed ElSayed Ali</v>
          </cell>
          <cell r="F421" t="str">
            <v>Mohamed Mostafa Osman</v>
          </cell>
          <cell r="G421" t="str">
            <v>Abo El Abbas Samir</v>
          </cell>
          <cell r="H421" t="str">
            <v>CVM 2 Line</v>
          </cell>
          <cell r="I421" t="str">
            <v>Rep_00135</v>
          </cell>
          <cell r="J421" t="str">
            <v>MR</v>
          </cell>
          <cell r="K421" t="str">
            <v>Cairo</v>
          </cell>
          <cell r="L421">
            <v>1030761317</v>
          </cell>
          <cell r="M421">
            <v>45997</v>
          </cell>
        </row>
        <row r="421">
          <cell r="O421">
            <v>1818</v>
          </cell>
          <cell r="P421" t="str">
            <v>El Obour City</v>
          </cell>
        </row>
        <row r="422">
          <cell r="D422" t="str">
            <v>L11_Vacant_Heliopolis</v>
          </cell>
          <cell r="E422" t="str">
            <v>Ahmed Mohamed ElSayed Ali</v>
          </cell>
          <cell r="F422" t="str">
            <v>Mohamed Mostafa Osman</v>
          </cell>
          <cell r="G422" t="str">
            <v>Abo El Abbas Samir</v>
          </cell>
          <cell r="H422" t="str">
            <v>CVM 2 Line</v>
          </cell>
          <cell r="I422" t="str">
            <v>Rep1032</v>
          </cell>
          <cell r="J422" t="str">
            <v>MR</v>
          </cell>
          <cell r="K422" t="str">
            <v>Cairo</v>
          </cell>
        </row>
        <row r="422">
          <cell r="O422">
            <v>0</v>
          </cell>
        </row>
        <row r="423">
          <cell r="D423" t="str">
            <v>Nourhan Ahmed Abdelhamed</v>
          </cell>
          <cell r="E423" t="str">
            <v>Ahmed Mohamed ElSayed Ali</v>
          </cell>
          <cell r="F423" t="str">
            <v>Mohamed Mostafa Osman</v>
          </cell>
          <cell r="G423" t="str">
            <v>Abo El Abbas Samir</v>
          </cell>
          <cell r="H423" t="str">
            <v>CVM 2 Line</v>
          </cell>
          <cell r="I423" t="str">
            <v>MR_1890</v>
          </cell>
          <cell r="J423" t="str">
            <v>MR</v>
          </cell>
          <cell r="K423" t="str">
            <v>Cairo</v>
          </cell>
          <cell r="L423">
            <v>1068982036</v>
          </cell>
          <cell r="M423">
            <v>45780</v>
          </cell>
        </row>
        <row r="423">
          <cell r="O423">
            <v>1655</v>
          </cell>
          <cell r="P423" t="str">
            <v>Ismaillia</v>
          </cell>
        </row>
        <row r="424">
          <cell r="D424" t="str">
            <v>Mostafa Gamal Mahmoud</v>
          </cell>
        </row>
        <row r="424">
          <cell r="F424" t="str">
            <v>Mohamed Mostafa Osman</v>
          </cell>
          <cell r="G424" t="str">
            <v>Abo El Abbas Samir</v>
          </cell>
          <cell r="H424" t="str">
            <v>CVM 2 Line</v>
          </cell>
          <cell r="I424" t="str">
            <v>DM_171</v>
          </cell>
          <cell r="J424" t="str">
            <v>DM</v>
          </cell>
          <cell r="K424" t="str">
            <v>Cairo</v>
          </cell>
          <cell r="L424">
            <v>1095703343</v>
          </cell>
          <cell r="M424">
            <v>46113</v>
          </cell>
          <cell r="N424" t="str">
            <v>Mostafa.Gamal.Mahmoud@averroes-eg.com</v>
          </cell>
          <cell r="O424">
            <v>1917</v>
          </cell>
          <cell r="P424" t="str">
            <v>Hadayek Al Ahram</v>
          </cell>
        </row>
        <row r="425">
          <cell r="D425" t="str">
            <v>Amgad Fayez Khalil</v>
          </cell>
          <cell r="E425" t="str">
            <v>Mostafa Gamal Mahmoud</v>
          </cell>
          <cell r="F425" t="str">
            <v>Mohamed Mostafa Osman</v>
          </cell>
          <cell r="G425" t="str">
            <v>Abo El Abbas Samir</v>
          </cell>
          <cell r="H425" t="str">
            <v>CVM 2 Line</v>
          </cell>
          <cell r="I425" t="str">
            <v>Rep_00148</v>
          </cell>
          <cell r="J425" t="str">
            <v>MR</v>
          </cell>
          <cell r="K425" t="str">
            <v>Cairo</v>
          </cell>
          <cell r="L425">
            <v>1207667044</v>
          </cell>
          <cell r="M425">
            <v>46113</v>
          </cell>
        </row>
        <row r="425">
          <cell r="O425">
            <v>1916</v>
          </cell>
          <cell r="P425" t="str">
            <v>Fayoum City</v>
          </cell>
        </row>
        <row r="426">
          <cell r="D426" t="str">
            <v>Saifallah Ayman Omar</v>
          </cell>
          <cell r="E426" t="str">
            <v>Mostafa Gamal Mahmoud</v>
          </cell>
          <cell r="F426" t="str">
            <v>Mohamed Mostafa Osman</v>
          </cell>
          <cell r="G426" t="str">
            <v>Abo El Abbas Samir</v>
          </cell>
          <cell r="H426" t="str">
            <v>CVM 2 Line</v>
          </cell>
          <cell r="I426" t="str">
            <v>Rep1036</v>
          </cell>
          <cell r="J426" t="str">
            <v>MR</v>
          </cell>
          <cell r="K426" t="str">
            <v>Cairo</v>
          </cell>
          <cell r="L426">
            <v>1013219918</v>
          </cell>
          <cell r="M426">
            <v>46113</v>
          </cell>
        </row>
        <row r="426">
          <cell r="O426">
            <v>1915</v>
          </cell>
          <cell r="P426" t="str">
            <v>El Haram</v>
          </cell>
        </row>
        <row r="427">
          <cell r="D427" t="str">
            <v>Mai Mahmoud Hamed</v>
          </cell>
          <cell r="E427" t="str">
            <v>Mostafa Gamal Mahmoud</v>
          </cell>
          <cell r="F427" t="str">
            <v>Mohamed Mostafa Osman</v>
          </cell>
          <cell r="G427" t="str">
            <v>Abo El Abbas Samir</v>
          </cell>
          <cell r="H427" t="str">
            <v>CVM 2 Line</v>
          </cell>
          <cell r="I427" t="str">
            <v>Rep_00123</v>
          </cell>
          <cell r="J427" t="str">
            <v>MR</v>
          </cell>
          <cell r="K427" t="str">
            <v>Cairo</v>
          </cell>
          <cell r="L427">
            <v>1143258719</v>
          </cell>
          <cell r="M427">
            <v>45992</v>
          </cell>
        </row>
        <row r="427">
          <cell r="O427">
            <v>1807</v>
          </cell>
          <cell r="P427" t="str">
            <v>El Ayat</v>
          </cell>
        </row>
        <row r="428">
          <cell r="D428" t="str">
            <v>Mohamed Yasser Zakaria Mohamed</v>
          </cell>
          <cell r="E428" t="str">
            <v>Mostafa Gamal Mahmoud</v>
          </cell>
          <cell r="F428" t="str">
            <v>Mohamed Mostafa Osman</v>
          </cell>
          <cell r="G428" t="str">
            <v>Abo El Abbas Samir</v>
          </cell>
          <cell r="H428" t="str">
            <v>CVM 2 Line</v>
          </cell>
          <cell r="I428" t="str">
            <v>MR_1888</v>
          </cell>
          <cell r="J428" t="str">
            <v>MR</v>
          </cell>
          <cell r="K428" t="str">
            <v>Cairo</v>
          </cell>
          <cell r="L428">
            <v>1060036380</v>
          </cell>
          <cell r="M428">
            <v>45780</v>
          </cell>
        </row>
        <row r="428">
          <cell r="O428">
            <v>1651</v>
          </cell>
          <cell r="P428" t="str">
            <v>October</v>
          </cell>
        </row>
        <row r="429">
          <cell r="D429" t="str">
            <v>Mostafa Ekramy Mostafa</v>
          </cell>
          <cell r="E429" t="str">
            <v>Mostafa Gamal Mahmoud</v>
          </cell>
          <cell r="F429" t="str">
            <v>Mohamed Mostafa Osman</v>
          </cell>
          <cell r="G429" t="str">
            <v>Abo El Abbas Samir</v>
          </cell>
          <cell r="H429" t="str">
            <v>CVM 2 Line</v>
          </cell>
          <cell r="I429" t="str">
            <v>Rep100009</v>
          </cell>
          <cell r="J429" t="str">
            <v>MR</v>
          </cell>
          <cell r="K429" t="str">
            <v>Cairo</v>
          </cell>
          <cell r="L429">
            <v>1111751972</v>
          </cell>
          <cell r="M429">
            <v>45920</v>
          </cell>
        </row>
        <row r="429">
          <cell r="O429">
            <v>1753</v>
          </cell>
          <cell r="P429" t="str">
            <v>Faisal</v>
          </cell>
        </row>
        <row r="430">
          <cell r="D430" t="str">
            <v>Shahd Alaa Zakaria</v>
          </cell>
          <cell r="E430" t="str">
            <v>Mostafa Gamal Mahmoud</v>
          </cell>
          <cell r="F430" t="str">
            <v>Mohamed Mostafa Osman</v>
          </cell>
          <cell r="G430" t="str">
            <v>Abo El Abbas Samir</v>
          </cell>
          <cell r="H430" t="str">
            <v>CVM 2 Line</v>
          </cell>
          <cell r="I430" t="str">
            <v>Rep1000009</v>
          </cell>
          <cell r="J430" t="str">
            <v>MR</v>
          </cell>
          <cell r="K430" t="str">
            <v>Cairo</v>
          </cell>
          <cell r="L430">
            <v>1008528492</v>
          </cell>
          <cell r="M430">
            <v>45885</v>
          </cell>
        </row>
        <row r="430">
          <cell r="O430">
            <v>1737</v>
          </cell>
          <cell r="P430" t="str">
            <v>El Warak</v>
          </cell>
        </row>
        <row r="431">
          <cell r="D431" t="str">
            <v>Nermeen Zaki AbdElMaseh</v>
          </cell>
        </row>
        <row r="431">
          <cell r="F431" t="str">
            <v>Mohamed Mostafa Osman</v>
          </cell>
          <cell r="G431" t="str">
            <v>Abo El Abbas Samir</v>
          </cell>
          <cell r="H431" t="str">
            <v>CVM 2 Line</v>
          </cell>
          <cell r="I431" t="str">
            <v>DM_143</v>
          </cell>
          <cell r="J431" t="str">
            <v>DM</v>
          </cell>
          <cell r="K431" t="str">
            <v>Cairo</v>
          </cell>
          <cell r="L431">
            <v>1068816736</v>
          </cell>
          <cell r="M431">
            <v>45419</v>
          </cell>
          <cell r="N431" t="str">
            <v>Nermeen.Zaki.AbdElMaseh@averroes-eg.com</v>
          </cell>
          <cell r="O431">
            <v>1350</v>
          </cell>
          <cell r="P431" t="str">
            <v>el sahel</v>
          </cell>
        </row>
        <row r="432">
          <cell r="D432" t="str">
            <v>Alaa Ragab Ibrahim Mahran</v>
          </cell>
          <cell r="E432" t="str">
            <v>Nermeen Zaki AbdElMaseh</v>
          </cell>
          <cell r="F432" t="str">
            <v>Mohamed Mostafa Osman</v>
          </cell>
          <cell r="G432" t="str">
            <v>Abo El Abbas Samir</v>
          </cell>
          <cell r="H432" t="str">
            <v>CVM 2 Line</v>
          </cell>
          <cell r="I432" t="str">
            <v>MR_1889</v>
          </cell>
          <cell r="J432" t="str">
            <v>MR</v>
          </cell>
          <cell r="K432" t="str">
            <v>Cairo</v>
          </cell>
          <cell r="L432">
            <v>1012890069</v>
          </cell>
          <cell r="M432">
            <v>45780</v>
          </cell>
        </row>
        <row r="432">
          <cell r="O432">
            <v>1652</v>
          </cell>
          <cell r="P432" t="str">
            <v>Shoubra</v>
          </cell>
        </row>
        <row r="433">
          <cell r="D433" t="str">
            <v>Donia Nasry Afandy</v>
          </cell>
          <cell r="E433" t="str">
            <v>Nermeen Zaki AbdElMaseh</v>
          </cell>
          <cell r="F433" t="str">
            <v>Mohamed Mostafa Osman</v>
          </cell>
          <cell r="G433" t="str">
            <v>Abo El Abbas Samir</v>
          </cell>
          <cell r="H433" t="str">
            <v>CVM 2 Line</v>
          </cell>
          <cell r="I433" t="str">
            <v>MR_1894</v>
          </cell>
          <cell r="J433" t="str">
            <v>MR</v>
          </cell>
          <cell r="K433" t="str">
            <v>Cairo</v>
          </cell>
          <cell r="L433">
            <v>1284911947</v>
          </cell>
          <cell r="M433">
            <v>45780</v>
          </cell>
        </row>
        <row r="433">
          <cell r="O433">
            <v>1656</v>
          </cell>
          <cell r="P433" t="str">
            <v>Imbaba</v>
          </cell>
        </row>
        <row r="434">
          <cell r="D434" t="str">
            <v>Abdelrahman Kamal Saleh</v>
          </cell>
          <cell r="E434" t="str">
            <v>Nermeen Zaki AbdElMaseh</v>
          </cell>
          <cell r="F434" t="str">
            <v>Mohamed Mostafa Osman</v>
          </cell>
          <cell r="G434" t="str">
            <v>Abo El Abbas Samir</v>
          </cell>
          <cell r="H434" t="str">
            <v>CVM 2 Line</v>
          </cell>
          <cell r="I434" t="str">
            <v>MR_1895</v>
          </cell>
          <cell r="J434" t="str">
            <v>MR</v>
          </cell>
          <cell r="K434" t="str">
            <v>Cairo</v>
          </cell>
          <cell r="L434">
            <v>1141487813</v>
          </cell>
          <cell r="M434">
            <v>46113</v>
          </cell>
        </row>
        <row r="434">
          <cell r="O434">
            <v>1934</v>
          </cell>
          <cell r="P434" t="str">
            <v>Helwan</v>
          </cell>
        </row>
        <row r="435">
          <cell r="D435" t="str">
            <v>L11_Vacant_DownTown</v>
          </cell>
          <cell r="E435" t="str">
            <v>Nermeen Zaki AbdElMaseh</v>
          </cell>
          <cell r="F435" t="str">
            <v>Mohamed Mostafa Osman</v>
          </cell>
          <cell r="G435" t="str">
            <v>Abo El Abbas Samir</v>
          </cell>
          <cell r="H435" t="str">
            <v>CVM 2 Line</v>
          </cell>
          <cell r="I435" t="str">
            <v>Rep1000008</v>
          </cell>
          <cell r="J435" t="str">
            <v>MR</v>
          </cell>
          <cell r="K435" t="str">
            <v>Cairo</v>
          </cell>
        </row>
        <row r="435">
          <cell r="O435">
            <v>0</v>
          </cell>
        </row>
        <row r="436">
          <cell r="D436" t="str">
            <v>Waleed Mohammed Saad Eldesoky</v>
          </cell>
          <cell r="E436" t="str">
            <v>Nermeen Zaki AbdElMaseh</v>
          </cell>
          <cell r="F436" t="str">
            <v>Mohamed Mostafa Osman</v>
          </cell>
          <cell r="G436" t="str">
            <v>Abo El Abbas Samir</v>
          </cell>
          <cell r="H436" t="str">
            <v>CVM 2 Line</v>
          </cell>
          <cell r="I436" t="str">
            <v>Rep_00129</v>
          </cell>
          <cell r="J436" t="str">
            <v>MR</v>
          </cell>
          <cell r="K436" t="str">
            <v>Cairo</v>
          </cell>
          <cell r="L436">
            <v>1092362363</v>
          </cell>
          <cell r="M436">
            <v>45999</v>
          </cell>
        </row>
        <row r="436">
          <cell r="O436">
            <v>1813</v>
          </cell>
          <cell r="P436" t="str">
            <v>El Maadi</v>
          </cell>
        </row>
        <row r="437">
          <cell r="D437" t="str">
            <v>Mostafa Maged Mohamed</v>
          </cell>
        </row>
        <row r="437">
          <cell r="G437" t="str">
            <v>Abo El Abbas Samir</v>
          </cell>
          <cell r="H437" t="str">
            <v>CVM 1 Line &amp; CVM 2 Line</v>
          </cell>
          <cell r="I437" t="str">
            <v>ZM_37</v>
          </cell>
          <cell r="J437" t="str">
            <v>AM</v>
          </cell>
          <cell r="K437" t="str">
            <v>Upper Egypt</v>
          </cell>
          <cell r="L437">
            <v>1092111119</v>
          </cell>
          <cell r="M437">
            <v>45231</v>
          </cell>
          <cell r="N437" t="str">
            <v>Mostafa.Maged.Mohamed@averroes-eg.com</v>
          </cell>
          <cell r="O437">
            <v>1290</v>
          </cell>
          <cell r="P437" t="str">
            <v>Tahta</v>
          </cell>
        </row>
        <row r="438">
          <cell r="D438" t="str">
            <v>Medhat AbdElnasser Mohamed</v>
          </cell>
        </row>
        <row r="438">
          <cell r="F438" t="str">
            <v>Mostafa Maged Mohamed</v>
          </cell>
          <cell r="G438" t="str">
            <v>Abo El Abbas Samir</v>
          </cell>
          <cell r="H438" t="str">
            <v>CVM 1 Line</v>
          </cell>
          <cell r="I438" t="str">
            <v>DM_38</v>
          </cell>
          <cell r="J438" t="str">
            <v>DM</v>
          </cell>
          <cell r="K438" t="str">
            <v>Upper Egypt</v>
          </cell>
          <cell r="L438" t="str">
            <v> 1030827666</v>
          </cell>
          <cell r="M438">
            <v>41658</v>
          </cell>
          <cell r="N438" t="str">
            <v>medhat.abdelnasser@averroes-eg.com</v>
          </cell>
          <cell r="O438">
            <v>83</v>
          </cell>
          <cell r="P438" t="str">
            <v>Nagaa Hamady</v>
          </cell>
        </row>
        <row r="439">
          <cell r="D439" t="str">
            <v>Asmaa Nasser Abdelhalim</v>
          </cell>
          <cell r="E439" t="str">
            <v>Medhat AbdElnasser Mohamed</v>
          </cell>
          <cell r="F439" t="str">
            <v>Mostafa Maged Mohamed</v>
          </cell>
          <cell r="G439" t="str">
            <v>Abo El Abbas Samir</v>
          </cell>
          <cell r="H439" t="str">
            <v>CVM 1 Line</v>
          </cell>
          <cell r="I439" t="str">
            <v>Rep203</v>
          </cell>
          <cell r="J439" t="str">
            <v>MR</v>
          </cell>
          <cell r="K439" t="str">
            <v>Upper Egypt</v>
          </cell>
          <cell r="L439">
            <v>1114454222</v>
          </cell>
          <cell r="M439">
            <v>43834</v>
          </cell>
        </row>
        <row r="439">
          <cell r="O439">
            <v>513</v>
          </cell>
          <cell r="P439" t="str">
            <v>Sakalta</v>
          </cell>
        </row>
        <row r="440">
          <cell r="D440" t="str">
            <v>Aya Mohamed Abo ElMagd</v>
          </cell>
          <cell r="E440" t="str">
            <v>Medhat AbdElnasser Mohamed</v>
          </cell>
          <cell r="F440" t="str">
            <v>Mostafa Maged Mohamed</v>
          </cell>
          <cell r="G440" t="str">
            <v>Abo El Abbas Samir</v>
          </cell>
          <cell r="H440" t="str">
            <v>CVM 1 Line</v>
          </cell>
          <cell r="I440" t="str">
            <v>Rep326</v>
          </cell>
          <cell r="J440" t="str">
            <v>MR</v>
          </cell>
          <cell r="K440" t="str">
            <v>Upper Egypt</v>
          </cell>
          <cell r="L440" t="str">
            <v> 1095144727</v>
          </cell>
          <cell r="M440">
            <v>44593</v>
          </cell>
        </row>
        <row r="440">
          <cell r="O440">
            <v>916</v>
          </cell>
          <cell r="P440" t="str">
            <v>Luxor City</v>
          </cell>
        </row>
        <row r="441">
          <cell r="D441" t="str">
            <v>Fatma Mounir Ali</v>
          </cell>
          <cell r="E441" t="str">
            <v>Medhat AbdElnasser Mohamed</v>
          </cell>
          <cell r="F441" t="str">
            <v>Mostafa Maged Mohamed</v>
          </cell>
          <cell r="G441" t="str">
            <v>Abo El Abbas Samir</v>
          </cell>
          <cell r="H441" t="str">
            <v>CVM 1 Line</v>
          </cell>
          <cell r="I441" t="str">
            <v>Rep100129</v>
          </cell>
          <cell r="J441" t="str">
            <v>MR</v>
          </cell>
          <cell r="K441" t="str">
            <v>Upper Egypt</v>
          </cell>
          <cell r="L441">
            <v>1143119675</v>
          </cell>
          <cell r="M441">
            <v>45787</v>
          </cell>
        </row>
        <row r="441">
          <cell r="O441">
            <v>1631</v>
          </cell>
          <cell r="P441" t="str">
            <v>Aswan City</v>
          </cell>
        </row>
        <row r="442">
          <cell r="D442" t="str">
            <v>Gakleen Emad Anwer</v>
          </cell>
          <cell r="E442" t="str">
            <v>Medhat AbdElnasser Mohamed</v>
          </cell>
          <cell r="F442" t="str">
            <v>Mostafa Maged Mohamed</v>
          </cell>
          <cell r="G442" t="str">
            <v>Abo El Abbas Samir</v>
          </cell>
          <cell r="H442" t="str">
            <v>CVM 1 Line</v>
          </cell>
          <cell r="I442" t="str">
            <v>Rep_00147</v>
          </cell>
          <cell r="J442" t="str">
            <v>MR</v>
          </cell>
          <cell r="K442" t="str">
            <v>Upper Egypt</v>
          </cell>
          <cell r="L442">
            <v>1227702182</v>
          </cell>
          <cell r="M442">
            <v>46062</v>
          </cell>
        </row>
        <row r="442">
          <cell r="O442">
            <v>1867</v>
          </cell>
          <cell r="P442" t="str">
            <v>Nagaa Hamady</v>
          </cell>
        </row>
        <row r="443">
          <cell r="D443" t="str">
            <v>Merna Emeel Shokralla</v>
          </cell>
          <cell r="E443" t="str">
            <v>Medhat AbdElnasser Mohamed</v>
          </cell>
          <cell r="F443" t="str">
            <v>Mostafa Maged Mohamed</v>
          </cell>
          <cell r="G443" t="str">
            <v>Abo El Abbas Samir</v>
          </cell>
          <cell r="H443" t="str">
            <v>CVM 1 Line</v>
          </cell>
          <cell r="I443" t="str">
            <v>Rep321</v>
          </cell>
          <cell r="J443" t="str">
            <v>MR</v>
          </cell>
          <cell r="K443" t="str">
            <v>Upper Egypt</v>
          </cell>
          <cell r="L443">
            <v>0</v>
          </cell>
          <cell r="M443">
            <v>44409</v>
          </cell>
        </row>
        <row r="443">
          <cell r="O443">
            <v>804</v>
          </cell>
          <cell r="P443" t="str">
            <v>Gerga</v>
          </cell>
        </row>
        <row r="444">
          <cell r="D444" t="str">
            <v>Mream Nashaat Ameen Atya</v>
          </cell>
          <cell r="E444" t="str">
            <v>Medhat AbdElnasser Mohamed</v>
          </cell>
          <cell r="F444" t="str">
            <v>Mostafa Maged Mohamed</v>
          </cell>
          <cell r="G444" t="str">
            <v>Abo El Abbas Samir</v>
          </cell>
          <cell r="H444" t="str">
            <v>CVM 1 Line</v>
          </cell>
          <cell r="I444" t="str">
            <v>Rep10078</v>
          </cell>
          <cell r="J444" t="str">
            <v>MR</v>
          </cell>
          <cell r="K444" t="str">
            <v>Upper Egypt</v>
          </cell>
          <cell r="L444">
            <v>1286199823</v>
          </cell>
          <cell r="M444">
            <v>45822</v>
          </cell>
        </row>
        <row r="444">
          <cell r="O444">
            <v>1689</v>
          </cell>
          <cell r="P444" t="str">
            <v>Quena City</v>
          </cell>
        </row>
        <row r="445">
          <cell r="D445" t="str">
            <v>Simon Nageh kamel</v>
          </cell>
          <cell r="E445" t="str">
            <v>Medhat AbdElnasser Mohamed</v>
          </cell>
          <cell r="F445" t="str">
            <v>Mostafa Maged Mohamed</v>
          </cell>
          <cell r="G445" t="str">
            <v>Abo El Abbas Samir</v>
          </cell>
          <cell r="H445" t="str">
            <v>CVM 1 Line</v>
          </cell>
          <cell r="I445" t="str">
            <v>Rep034</v>
          </cell>
          <cell r="J445" t="str">
            <v>MR</v>
          </cell>
          <cell r="K445" t="str">
            <v>Upper Egypt</v>
          </cell>
          <cell r="L445">
            <v>1227048802</v>
          </cell>
          <cell r="M445">
            <v>45185</v>
          </cell>
        </row>
        <row r="445">
          <cell r="O445">
            <v>1268</v>
          </cell>
          <cell r="P445" t="str">
            <v>Tahta</v>
          </cell>
        </row>
        <row r="446">
          <cell r="D446" t="str">
            <v>Mohamed Saad Sedik</v>
          </cell>
        </row>
        <row r="446">
          <cell r="F446" t="str">
            <v>Mostafa Maged Mohamed</v>
          </cell>
          <cell r="G446" t="str">
            <v>Abo El Abbas Samir</v>
          </cell>
          <cell r="H446" t="str">
            <v>CVM 1 Line</v>
          </cell>
          <cell r="I446" t="str">
            <v>Rep415</v>
          </cell>
          <cell r="J446" t="str">
            <v>DM</v>
          </cell>
          <cell r="K446" t="str">
            <v>Upper Egypt</v>
          </cell>
          <cell r="L446" t="str">
            <v> 1022285517</v>
          </cell>
          <cell r="M446">
            <v>44819</v>
          </cell>
          <cell r="N446" t="str">
            <v>Mohamed.Saad.Sedik@averroes-eg.com</v>
          </cell>
          <cell r="O446">
            <v>348</v>
          </cell>
          <cell r="P446" t="str">
            <v>Manqabad</v>
          </cell>
        </row>
        <row r="447">
          <cell r="D447" t="str">
            <v>Ahmed Ramadan Kamal</v>
          </cell>
          <cell r="E447" t="str">
            <v>Mohamed Saad Sedik</v>
          </cell>
          <cell r="F447" t="str">
            <v>Mostafa Maged Mohamed</v>
          </cell>
          <cell r="G447" t="str">
            <v>Abo El Abbas Samir</v>
          </cell>
          <cell r="H447" t="str">
            <v>CVM 1 Line</v>
          </cell>
          <cell r="I447" t="str">
            <v>AVR_29</v>
          </cell>
          <cell r="J447" t="str">
            <v>MR</v>
          </cell>
          <cell r="K447" t="str">
            <v>Upper Egypt</v>
          </cell>
          <cell r="L447">
            <v>1069607055</v>
          </cell>
          <cell r="M447">
            <v>45689</v>
          </cell>
        </row>
        <row r="447">
          <cell r="O447">
            <v>1526</v>
          </cell>
          <cell r="P447" t="str">
            <v>Malawy</v>
          </cell>
        </row>
        <row r="448">
          <cell r="D448" t="str">
            <v>Maria Hany Gamil Roshdy</v>
          </cell>
          <cell r="E448" t="str">
            <v>Mohamed Saad Sedik</v>
          </cell>
          <cell r="F448" t="str">
            <v>Mostafa Maged Mohamed</v>
          </cell>
          <cell r="G448" t="str">
            <v>Abo El Abbas Samir</v>
          </cell>
          <cell r="H448" t="str">
            <v>CVM 1 Line</v>
          </cell>
          <cell r="I448" t="str">
            <v>Rep10065</v>
          </cell>
          <cell r="J448" t="str">
            <v>MR</v>
          </cell>
          <cell r="K448" t="str">
            <v>Upper Egypt</v>
          </cell>
          <cell r="L448">
            <v>1212368592</v>
          </cell>
          <cell r="M448">
            <v>46084</v>
          </cell>
        </row>
        <row r="448">
          <cell r="O448">
            <v>1897</v>
          </cell>
          <cell r="P448" t="str">
            <v>Manfalout</v>
          </cell>
        </row>
        <row r="449">
          <cell r="D449" t="str">
            <v>Fady Thabet Zakher</v>
          </cell>
          <cell r="E449" t="str">
            <v>Mohamed Saad Sedik</v>
          </cell>
          <cell r="F449" t="str">
            <v>Mostafa Maged Mohamed</v>
          </cell>
          <cell r="G449" t="str">
            <v>Abo El Abbas Samir</v>
          </cell>
          <cell r="H449" t="str">
            <v>CVM 1 Line</v>
          </cell>
          <cell r="I449" t="str">
            <v>Rep834</v>
          </cell>
          <cell r="J449" t="str">
            <v>MR</v>
          </cell>
          <cell r="K449" t="str">
            <v>Upper Egypt</v>
          </cell>
          <cell r="L449">
            <v>1211455979</v>
          </cell>
          <cell r="M449">
            <v>45172</v>
          </cell>
        </row>
        <row r="449">
          <cell r="O449">
            <v>1259</v>
          </cell>
          <cell r="P449" t="str">
            <v>Bani Mazar</v>
          </cell>
        </row>
        <row r="450">
          <cell r="D450" t="str">
            <v>Hossam Thabet Abdelshafea</v>
          </cell>
          <cell r="E450" t="str">
            <v>Mohamed Saad Sedik</v>
          </cell>
          <cell r="F450" t="str">
            <v>Mostafa Maged Mohamed</v>
          </cell>
          <cell r="G450" t="str">
            <v>Abo El Abbas Samir</v>
          </cell>
          <cell r="H450" t="str">
            <v>CVM 1 Line</v>
          </cell>
          <cell r="I450" t="str">
            <v>Rep_00102</v>
          </cell>
          <cell r="J450" t="str">
            <v>MR</v>
          </cell>
          <cell r="K450" t="str">
            <v>Upper Egypt</v>
          </cell>
          <cell r="L450">
            <v>1122731323</v>
          </cell>
          <cell r="M450">
            <v>45992</v>
          </cell>
        </row>
        <row r="450">
          <cell r="O450">
            <v>1804</v>
          </cell>
          <cell r="P450" t="str">
            <v>Bani Swaif City</v>
          </cell>
        </row>
        <row r="451">
          <cell r="D451" t="str">
            <v>Mark Mamdouh Watson</v>
          </cell>
          <cell r="E451" t="str">
            <v>Mohamed Saad Sedik</v>
          </cell>
          <cell r="F451" t="str">
            <v>Mostafa Maged Mohamed</v>
          </cell>
          <cell r="G451" t="str">
            <v>Abo El Abbas Samir</v>
          </cell>
          <cell r="H451" t="str">
            <v>CVM 1 Line</v>
          </cell>
          <cell r="I451" t="str">
            <v>Rep317</v>
          </cell>
          <cell r="J451" t="str">
            <v>MR</v>
          </cell>
          <cell r="K451" t="str">
            <v>Upper Egypt</v>
          </cell>
          <cell r="L451">
            <v>0</v>
          </cell>
          <cell r="M451">
            <v>44440</v>
          </cell>
        </row>
        <row r="451">
          <cell r="O451">
            <v>816</v>
          </cell>
          <cell r="P451" t="str">
            <v>El Menia City</v>
          </cell>
        </row>
        <row r="452">
          <cell r="D452" t="str">
            <v>Mohamed Mousa Ahmed</v>
          </cell>
          <cell r="E452" t="str">
            <v>Mohamed Saad Sedik</v>
          </cell>
          <cell r="F452" t="str">
            <v>Mostafa Maged Mohamed</v>
          </cell>
          <cell r="G452" t="str">
            <v>Abo El Abbas Samir</v>
          </cell>
          <cell r="H452" t="str">
            <v>CVM 1 Line</v>
          </cell>
          <cell r="I452" t="str">
            <v>Rep_00091</v>
          </cell>
          <cell r="J452" t="str">
            <v>MR</v>
          </cell>
          <cell r="K452" t="str">
            <v>Upper Egypt</v>
          </cell>
          <cell r="L452">
            <v>1116563423</v>
          </cell>
          <cell r="M452">
            <v>45964</v>
          </cell>
        </row>
        <row r="452">
          <cell r="O452">
            <v>1791</v>
          </cell>
          <cell r="P452" t="str">
            <v>Assiut city</v>
          </cell>
        </row>
        <row r="453">
          <cell r="D453" t="str">
            <v>Rahma Nasser Abdlmoatti Mahmoud</v>
          </cell>
          <cell r="E453" t="str">
            <v>Mohamed Saad Sedik</v>
          </cell>
          <cell r="F453" t="str">
            <v>Mostafa Maged Mohamed</v>
          </cell>
          <cell r="G453" t="str">
            <v>Abo El Abbas Samir</v>
          </cell>
          <cell r="H453" t="str">
            <v>CVM 1 Line</v>
          </cell>
          <cell r="I453" t="str">
            <v>Rep_00097</v>
          </cell>
          <cell r="J453" t="str">
            <v>MR</v>
          </cell>
          <cell r="K453" t="str">
            <v>Upper Egypt</v>
          </cell>
          <cell r="L453">
            <v>1095037481</v>
          </cell>
          <cell r="M453">
            <v>45983</v>
          </cell>
        </row>
        <row r="453">
          <cell r="O453">
            <v>1802</v>
          </cell>
          <cell r="P453" t="str">
            <v>Assiut city</v>
          </cell>
        </row>
        <row r="454">
          <cell r="D454" t="str">
            <v>AbdelRahman Ibrahim Mahran</v>
          </cell>
        </row>
        <row r="454">
          <cell r="F454" t="str">
            <v>Mostafa Maged Mohamed</v>
          </cell>
          <cell r="G454" t="str">
            <v>Abo El Abbas Samir</v>
          </cell>
          <cell r="H454" t="str">
            <v>CVM 2 Line</v>
          </cell>
          <cell r="I454" t="str">
            <v>AVR_202</v>
          </cell>
          <cell r="J454" t="str">
            <v>DM</v>
          </cell>
          <cell r="K454" t="str">
            <v>Cairo</v>
          </cell>
          <cell r="L454">
            <v>1024670853</v>
          </cell>
          <cell r="M454">
            <v>45783</v>
          </cell>
          <cell r="N454" t="str">
            <v>AbdelRahman.Ibrahim.Mahran@averroes-eg.com</v>
          </cell>
          <cell r="O454">
            <v>1659</v>
          </cell>
          <cell r="P454" t="str">
            <v>el minia city </v>
          </cell>
        </row>
        <row r="455">
          <cell r="D455" t="str">
            <v>Basmala Altaher Yehia</v>
          </cell>
          <cell r="E455" t="str">
            <v>AbdelRahman Ibrahim Mahran</v>
          </cell>
          <cell r="F455" t="str">
            <v>Mostafa Maged Mohamed</v>
          </cell>
          <cell r="G455" t="str">
            <v>Abo El Abbas Samir</v>
          </cell>
          <cell r="H455" t="str">
            <v>CVM 2 Line</v>
          </cell>
          <cell r="I455" t="str">
            <v>Rep100090</v>
          </cell>
          <cell r="J455" t="str">
            <v>MR</v>
          </cell>
          <cell r="K455" t="str">
            <v>Upper Egypt</v>
          </cell>
          <cell r="L455">
            <v>1114976499</v>
          </cell>
          <cell r="M455">
            <v>45818</v>
          </cell>
        </row>
        <row r="455">
          <cell r="O455">
            <v>1694</v>
          </cell>
          <cell r="P455" t="str">
            <v>El Menya</v>
          </cell>
        </row>
        <row r="456">
          <cell r="D456" t="str">
            <v>Jacqueline Salah Sedhom</v>
          </cell>
          <cell r="E456" t="str">
            <v>AbdelRahman Ibrahim Mahran</v>
          </cell>
          <cell r="F456" t="str">
            <v>Mostafa Maged Mohamed</v>
          </cell>
          <cell r="G456" t="str">
            <v>Abo El Abbas Samir</v>
          </cell>
          <cell r="H456" t="str">
            <v>CVM 2 Line</v>
          </cell>
          <cell r="I456" t="str">
            <v>MR_1906</v>
          </cell>
          <cell r="J456" t="str">
            <v>MR</v>
          </cell>
          <cell r="K456" t="str">
            <v>Upper Egypt</v>
          </cell>
          <cell r="L456">
            <v>1229878146</v>
          </cell>
          <cell r="M456">
            <v>45778</v>
          </cell>
        </row>
        <row r="456">
          <cell r="O456">
            <v>1669</v>
          </cell>
          <cell r="P456" t="str">
            <v>Assiut city</v>
          </cell>
        </row>
        <row r="457">
          <cell r="D457" t="str">
            <v>Manal Elsayed Ahmed</v>
          </cell>
          <cell r="E457" t="str">
            <v>AbdelRahman Ibrahim Mahran</v>
          </cell>
          <cell r="F457" t="str">
            <v>Mostafa Maged Mohamed</v>
          </cell>
          <cell r="G457" t="str">
            <v>Abo El Abbas Samir</v>
          </cell>
          <cell r="H457" t="str">
            <v>CVM 2 Line</v>
          </cell>
          <cell r="I457" t="str">
            <v>Rep_0081</v>
          </cell>
          <cell r="J457" t="str">
            <v>MR</v>
          </cell>
          <cell r="K457" t="str">
            <v>Upper Egypt</v>
          </cell>
          <cell r="L457">
            <v>1010670188</v>
          </cell>
          <cell r="M457">
            <v>45950</v>
          </cell>
        </row>
        <row r="457">
          <cell r="O457">
            <v>1771</v>
          </cell>
          <cell r="P457" t="str">
            <v>Dayrout</v>
          </cell>
        </row>
        <row r="458">
          <cell r="D458" t="str">
            <v>Mariam Toadros AbdElMalak</v>
          </cell>
          <cell r="E458" t="str">
            <v>AbdelRahman Ibrahim Mahran</v>
          </cell>
          <cell r="F458" t="str">
            <v>Mostafa Maged Mohamed</v>
          </cell>
          <cell r="G458" t="str">
            <v>Abo El Abbas Samir</v>
          </cell>
          <cell r="H458" t="str">
            <v>CVM 2 Line</v>
          </cell>
          <cell r="I458" t="str">
            <v>MR_1897</v>
          </cell>
          <cell r="J458" t="str">
            <v>MR</v>
          </cell>
          <cell r="K458" t="str">
            <v>Upper Egypt</v>
          </cell>
          <cell r="L458">
            <v>1222876437</v>
          </cell>
          <cell r="M458">
            <v>45778</v>
          </cell>
        </row>
        <row r="458">
          <cell r="O458">
            <v>1660</v>
          </cell>
          <cell r="P458" t="str">
            <v>Malawy</v>
          </cell>
        </row>
        <row r="459">
          <cell r="D459" t="str">
            <v>L11_Vacant_Banisuif</v>
          </cell>
          <cell r="E459" t="str">
            <v>AbdelRahman Ibrahim Mahran</v>
          </cell>
          <cell r="F459" t="str">
            <v>Mostafa Maged Mohamed</v>
          </cell>
          <cell r="G459" t="str">
            <v>Abo El Abbas Samir</v>
          </cell>
          <cell r="H459" t="str">
            <v>CVM 2 Line</v>
          </cell>
          <cell r="I459" t="str">
            <v>AVR_28</v>
          </cell>
          <cell r="J459" t="str">
            <v>MR</v>
          </cell>
          <cell r="K459" t="str">
            <v>Upper Egypt</v>
          </cell>
        </row>
        <row r="459">
          <cell r="O459">
            <v>0</v>
          </cell>
        </row>
        <row r="460">
          <cell r="D460" t="str">
            <v>Mary Yousef Atya</v>
          </cell>
          <cell r="E460" t="str">
            <v>AbdelRahman Ibrahim Mahran</v>
          </cell>
          <cell r="F460" t="str">
            <v>Mostafa Maged Mohamed</v>
          </cell>
          <cell r="G460" t="str">
            <v>Abo El Abbas Samir</v>
          </cell>
          <cell r="H460" t="str">
            <v>CVM 2 Line</v>
          </cell>
          <cell r="I460" t="str">
            <v>MR_1898</v>
          </cell>
          <cell r="J460" t="str">
            <v>MR</v>
          </cell>
          <cell r="K460" t="str">
            <v>Upper Egypt</v>
          </cell>
          <cell r="L460">
            <v>1223895479</v>
          </cell>
          <cell r="M460">
            <v>45783</v>
          </cell>
        </row>
        <row r="460">
          <cell r="O460">
            <v>1661</v>
          </cell>
          <cell r="P460" t="str">
            <v>Samalout</v>
          </cell>
        </row>
        <row r="461">
          <cell r="D461" t="str">
            <v>Merna Safwat Shawky</v>
          </cell>
          <cell r="E461" t="str">
            <v>AbdelRahman Ibrahim Mahran</v>
          </cell>
          <cell r="F461" t="str">
            <v>Mostafa Maged Mohamed</v>
          </cell>
          <cell r="G461" t="str">
            <v>Abo El Abbas Samir</v>
          </cell>
          <cell r="H461" t="str">
            <v>CVM 2 Line</v>
          </cell>
          <cell r="I461" t="str">
            <v>Rep_00090</v>
          </cell>
          <cell r="J461" t="str">
            <v>MR</v>
          </cell>
          <cell r="K461" t="str">
            <v>Upper Egypt</v>
          </cell>
          <cell r="L461">
            <v>1276456348</v>
          </cell>
          <cell r="M461">
            <v>45963</v>
          </cell>
        </row>
        <row r="461">
          <cell r="O461">
            <v>1792</v>
          </cell>
          <cell r="P461" t="str">
            <v>Assiut city</v>
          </cell>
        </row>
        <row r="462">
          <cell r="D462" t="str">
            <v>Andrew Joseph boules</v>
          </cell>
        </row>
        <row r="462">
          <cell r="F462" t="str">
            <v>Mostafa Maged Mohamed</v>
          </cell>
          <cell r="G462" t="str">
            <v>Abo El Abbas Samir</v>
          </cell>
          <cell r="H462" t="str">
            <v>CVM 2 Line</v>
          </cell>
          <cell r="I462" t="str">
            <v>Rep325</v>
          </cell>
          <cell r="J462" t="str">
            <v>DM</v>
          </cell>
          <cell r="K462" t="str">
            <v>Upper Egypt</v>
          </cell>
          <cell r="L462" t="str">
            <v> 1203325561</v>
          </cell>
          <cell r="M462">
            <v>44621</v>
          </cell>
          <cell r="N462" t="str">
            <v>Andrew.Joseph.boules@averroes-eg.com</v>
          </cell>
          <cell r="O462">
            <v>941</v>
          </cell>
          <cell r="P462" t="str">
            <v>Quena City</v>
          </cell>
        </row>
        <row r="463">
          <cell r="D463" t="str">
            <v>Ahmed Osama ElSayed Abudeaf</v>
          </cell>
          <cell r="E463" t="str">
            <v>Andrew Joseph boules</v>
          </cell>
          <cell r="F463" t="str">
            <v>Mostafa Maged Mohamed</v>
          </cell>
          <cell r="G463" t="str">
            <v>Abo El Abbas Samir</v>
          </cell>
          <cell r="H463" t="str">
            <v>CVM 2 Line</v>
          </cell>
          <cell r="I463" t="str">
            <v>MR_1903</v>
          </cell>
          <cell r="J463" t="str">
            <v>MR</v>
          </cell>
          <cell r="K463" t="str">
            <v>Upper Egypt</v>
          </cell>
          <cell r="L463">
            <v>1029279612</v>
          </cell>
          <cell r="M463">
            <v>45780</v>
          </cell>
        </row>
        <row r="463">
          <cell r="O463">
            <v>1665</v>
          </cell>
          <cell r="P463" t="str">
            <v>Sohag City</v>
          </cell>
        </row>
        <row r="464">
          <cell r="D464" t="str">
            <v>Fatma Mahmoud Ali AbdElRahman</v>
          </cell>
          <cell r="E464" t="str">
            <v>Andrew Joseph boules</v>
          </cell>
          <cell r="F464" t="str">
            <v>Mostafa Maged Mohamed</v>
          </cell>
          <cell r="G464" t="str">
            <v>Abo El Abbas Samir</v>
          </cell>
          <cell r="H464" t="str">
            <v>CVM 2 Line</v>
          </cell>
          <cell r="I464" t="str">
            <v>MR_1902</v>
          </cell>
          <cell r="J464" t="str">
            <v>MR</v>
          </cell>
          <cell r="K464" t="str">
            <v>Upper Egypt</v>
          </cell>
          <cell r="L464">
            <v>1023720048</v>
          </cell>
          <cell r="M464">
            <v>45780</v>
          </cell>
        </row>
        <row r="464">
          <cell r="O464">
            <v>1666</v>
          </cell>
          <cell r="P464" t="str">
            <v>Sohag City</v>
          </cell>
        </row>
        <row r="465">
          <cell r="D465" t="str">
            <v>Mahmoud Ahmed Omar Mohamed</v>
          </cell>
          <cell r="E465" t="str">
            <v>Andrew Joseph boules</v>
          </cell>
          <cell r="F465" t="str">
            <v>Mostafa Maged Mohamed</v>
          </cell>
          <cell r="G465" t="str">
            <v>Abo El Abbas Samir</v>
          </cell>
          <cell r="H465" t="str">
            <v>CVM 2 Line</v>
          </cell>
          <cell r="I465" t="str">
            <v>MR_1904</v>
          </cell>
          <cell r="J465" t="str">
            <v>MR</v>
          </cell>
          <cell r="K465" t="str">
            <v>Upper Egypt</v>
          </cell>
          <cell r="L465">
            <v>1094639007</v>
          </cell>
          <cell r="M465">
            <v>45780</v>
          </cell>
        </row>
        <row r="465">
          <cell r="O465">
            <v>1667</v>
          </cell>
          <cell r="P465" t="str">
            <v>Farshout</v>
          </cell>
        </row>
        <row r="466">
          <cell r="D466" t="str">
            <v>Mahmoud Mohamed Gaber Saeed</v>
          </cell>
          <cell r="E466" t="str">
            <v>Andrew Joseph boules</v>
          </cell>
          <cell r="F466" t="str">
            <v>Mostafa Maged Mohamed</v>
          </cell>
          <cell r="G466" t="str">
            <v>Abo El Abbas Samir</v>
          </cell>
          <cell r="H466" t="str">
            <v>CVM 2 Line</v>
          </cell>
          <cell r="I466" t="str">
            <v>MR_1899</v>
          </cell>
          <cell r="J466" t="str">
            <v>MR</v>
          </cell>
          <cell r="K466" t="str">
            <v>Upper Egypt</v>
          </cell>
          <cell r="L466">
            <v>1026493259</v>
          </cell>
          <cell r="M466">
            <v>45780</v>
          </cell>
        </row>
        <row r="466">
          <cell r="O466">
            <v>1662</v>
          </cell>
          <cell r="P466" t="str">
            <v>Quena City</v>
          </cell>
        </row>
        <row r="467">
          <cell r="D467" t="str">
            <v>Merna Nasser Adly</v>
          </cell>
          <cell r="E467" t="str">
            <v>Andrew Joseph boules</v>
          </cell>
          <cell r="F467" t="str">
            <v>Mostafa Maged Mohamed</v>
          </cell>
          <cell r="G467" t="str">
            <v>Abo El Abbas Samir</v>
          </cell>
          <cell r="H467" t="str">
            <v>CVM 2 Line</v>
          </cell>
          <cell r="I467" t="str">
            <v>Rep10093</v>
          </cell>
          <cell r="J467" t="str">
            <v>MR</v>
          </cell>
          <cell r="K467" t="str">
            <v>Upper Egypt</v>
          </cell>
          <cell r="L467" t="str">
            <v>1225161169‬</v>
          </cell>
          <cell r="M467">
            <v>45822</v>
          </cell>
        </row>
        <row r="467">
          <cell r="O467">
            <v>1695</v>
          </cell>
          <cell r="P467" t="str">
            <v>Tahta</v>
          </cell>
        </row>
        <row r="468">
          <cell r="D468" t="str">
            <v>Yousef AbdElNaeem AboElhamd Ahmed</v>
          </cell>
          <cell r="E468" t="str">
            <v>Andrew Joseph boules</v>
          </cell>
          <cell r="F468" t="str">
            <v>Mostafa Maged Mohamed</v>
          </cell>
          <cell r="G468" t="str">
            <v>Abo El Abbas Samir</v>
          </cell>
          <cell r="H468" t="str">
            <v>CVM 2 Line</v>
          </cell>
          <cell r="I468" t="str">
            <v>MR_1900</v>
          </cell>
          <cell r="J468" t="str">
            <v>MR</v>
          </cell>
          <cell r="K468" t="str">
            <v>Upper Egypt</v>
          </cell>
          <cell r="L468">
            <v>1128798543</v>
          </cell>
          <cell r="M468">
            <v>45780</v>
          </cell>
        </row>
        <row r="468">
          <cell r="O468">
            <v>1663</v>
          </cell>
          <cell r="P468" t="str">
            <v>Aswan City</v>
          </cell>
        </row>
        <row r="469">
          <cell r="D469" t="str">
            <v>Yousef Gabra William Gabra</v>
          </cell>
          <cell r="E469" t="str">
            <v>Andrew Joseph boules</v>
          </cell>
          <cell r="F469" t="str">
            <v>Mostafa Maged Mohamed</v>
          </cell>
          <cell r="G469" t="str">
            <v>Abo El Abbas Samir</v>
          </cell>
          <cell r="H469" t="str">
            <v>CVM 2 Line</v>
          </cell>
          <cell r="I469" t="str">
            <v>MR_1901</v>
          </cell>
          <cell r="J469" t="str">
            <v>MR</v>
          </cell>
          <cell r="K469" t="str">
            <v>Upper Egypt</v>
          </cell>
          <cell r="L469">
            <v>1064738945</v>
          </cell>
          <cell r="M469">
            <v>45780</v>
          </cell>
        </row>
        <row r="469">
          <cell r="O469">
            <v>1664</v>
          </cell>
          <cell r="P469" t="str">
            <v>Luxor City</v>
          </cell>
        </row>
        <row r="470">
          <cell r="D470" t="str">
            <v>Ramy Ahmed Mohamed</v>
          </cell>
        </row>
        <row r="470">
          <cell r="G470" t="str">
            <v>Abo El Abbas Samir</v>
          </cell>
          <cell r="H470" t="str">
            <v>CVM 1 Line &amp; CVM 2 Line</v>
          </cell>
          <cell r="I470" t="str">
            <v>DM_32</v>
          </cell>
          <cell r="J470" t="str">
            <v>AM</v>
          </cell>
          <cell r="K470" t="str">
            <v>Alex</v>
          </cell>
          <cell r="L470" t="str">
            <v> 1030826111</v>
          </cell>
          <cell r="M470">
            <v>42463</v>
          </cell>
          <cell r="N470" t="str">
            <v>ramyahmed@averroes-eg.com</v>
          </cell>
          <cell r="O470">
            <v>91</v>
          </cell>
          <cell r="P470" t="str">
            <v>El Asafra</v>
          </cell>
        </row>
        <row r="471">
          <cell r="D471" t="str">
            <v>Asmaa AbdElmonem Mohamed Zahran</v>
          </cell>
        </row>
        <row r="471">
          <cell r="F471" t="str">
            <v>Ramy Ahmed Mohamed</v>
          </cell>
          <cell r="G471" t="str">
            <v>Abo El Abbas Samir</v>
          </cell>
          <cell r="H471" t="str">
            <v>CVM 1 Line</v>
          </cell>
          <cell r="I471" t="str">
            <v>Rep192</v>
          </cell>
          <cell r="J471" t="str">
            <v>DM</v>
          </cell>
          <cell r="K471" t="str">
            <v>Alex</v>
          </cell>
          <cell r="L471">
            <v>1065737956</v>
          </cell>
          <cell r="M471">
            <v>44500</v>
          </cell>
          <cell r="N471" t="str">
            <v>Asmaa.AbdElmonem.Mohamed.Zahran@averroes-eg.com</v>
          </cell>
          <cell r="O471">
            <v>854</v>
          </cell>
          <cell r="P471" t="str">
            <v>Kom Hamada</v>
          </cell>
        </row>
        <row r="472">
          <cell r="D472" t="str">
            <v>Aml Nashaat Ali Hamed</v>
          </cell>
          <cell r="E472" t="str">
            <v>Asmaa AbdElmonem Mohamed Zahran</v>
          </cell>
          <cell r="F472" t="str">
            <v>Ramy Ahmed Mohamed</v>
          </cell>
          <cell r="G472" t="str">
            <v>Abo El Abbas Samir</v>
          </cell>
          <cell r="H472" t="str">
            <v>CVM 1 Line</v>
          </cell>
          <cell r="I472" t="str">
            <v>Rep100060</v>
          </cell>
          <cell r="J472" t="str">
            <v>MR</v>
          </cell>
          <cell r="K472" t="str">
            <v>Alex</v>
          </cell>
          <cell r="L472">
            <v>1060267938</v>
          </cell>
          <cell r="M472">
            <v>45640</v>
          </cell>
        </row>
        <row r="472">
          <cell r="O472">
            <v>1476</v>
          </cell>
          <cell r="P472" t="str">
            <v>Kafr El Shiekh</v>
          </cell>
        </row>
        <row r="473">
          <cell r="D473" t="str">
            <v>Basma Dief ElShemy</v>
          </cell>
          <cell r="E473" t="str">
            <v>Asmaa AbdElmonem Mohamed Zahran</v>
          </cell>
          <cell r="F473" t="str">
            <v>Ramy Ahmed Mohamed</v>
          </cell>
          <cell r="G473" t="str">
            <v>Abo El Abbas Samir</v>
          </cell>
          <cell r="H473" t="str">
            <v>CVM 1 Line</v>
          </cell>
          <cell r="I473" t="str">
            <v>Rep725</v>
          </cell>
          <cell r="J473" t="str">
            <v>MR</v>
          </cell>
          <cell r="K473" t="str">
            <v>Alex</v>
          </cell>
          <cell r="L473">
            <v>1030180007</v>
          </cell>
          <cell r="M473">
            <v>44983</v>
          </cell>
        </row>
        <row r="473">
          <cell r="O473">
            <v>1198</v>
          </cell>
          <cell r="P473" t="str">
            <v>Housh Easa</v>
          </cell>
        </row>
        <row r="474">
          <cell r="D474" t="str">
            <v>Abdelrahman Yousry Ahmed Nassar</v>
          </cell>
          <cell r="E474" t="str">
            <v>Asmaa AbdElmonem Mohamed Zahran</v>
          </cell>
          <cell r="F474" t="str">
            <v>Ramy Ahmed Mohamed</v>
          </cell>
          <cell r="G474" t="str">
            <v>Abo El Abbas Samir</v>
          </cell>
          <cell r="H474" t="str">
            <v>CVM 1 Line</v>
          </cell>
          <cell r="I474" t="str">
            <v>AVR_141</v>
          </cell>
          <cell r="J474" t="str">
            <v>MR</v>
          </cell>
          <cell r="K474" t="str">
            <v>Alex</v>
          </cell>
          <cell r="L474">
            <v>1147591491</v>
          </cell>
          <cell r="M474">
            <v>46113</v>
          </cell>
        </row>
        <row r="474">
          <cell r="O474">
            <v>1922</v>
          </cell>
          <cell r="P474" t="str">
            <v>Damanhour</v>
          </cell>
        </row>
        <row r="475">
          <cell r="D475" t="str">
            <v>Shehab Ashraf Abdelkader</v>
          </cell>
          <cell r="E475" t="str">
            <v>Asmaa AbdElmonem Mohamed Zahran</v>
          </cell>
          <cell r="F475" t="str">
            <v>Ramy Ahmed Mohamed</v>
          </cell>
          <cell r="G475" t="str">
            <v>Abo El Abbas Samir</v>
          </cell>
          <cell r="H475" t="str">
            <v>CVM 1 Line</v>
          </cell>
          <cell r="I475" t="str">
            <v>Rep_00150</v>
          </cell>
          <cell r="J475" t="str">
            <v>MR</v>
          </cell>
          <cell r="K475" t="str">
            <v>Alex</v>
          </cell>
          <cell r="L475">
            <v>1010612709</v>
          </cell>
          <cell r="M475">
            <v>46054</v>
          </cell>
        </row>
        <row r="475">
          <cell r="O475">
            <v>1848</v>
          </cell>
          <cell r="P475" t="str">
            <v>Kom Hamada</v>
          </cell>
        </row>
        <row r="476">
          <cell r="D476" t="str">
            <v>Merna Abdelrahman Elshazly</v>
          </cell>
          <cell r="E476" t="str">
            <v>Asmaa AbdElmonem Mohamed Zahran</v>
          </cell>
          <cell r="F476" t="str">
            <v>Ramy Ahmed Mohamed</v>
          </cell>
          <cell r="G476" t="str">
            <v>Abo El Abbas Samir</v>
          </cell>
          <cell r="H476" t="str">
            <v>CVM 1 Line</v>
          </cell>
          <cell r="I476" t="str">
            <v>Rep1000010</v>
          </cell>
          <cell r="J476" t="str">
            <v>MR</v>
          </cell>
          <cell r="K476" t="str">
            <v>Alex</v>
          </cell>
          <cell r="L476">
            <v>1026755342</v>
          </cell>
          <cell r="M476">
            <v>45901</v>
          </cell>
        </row>
        <row r="476">
          <cell r="O476">
            <v>1735</v>
          </cell>
          <cell r="P476" t="str">
            <v>Fowa</v>
          </cell>
        </row>
        <row r="477">
          <cell r="D477" t="str">
            <v>Mohamed Shawky Misbah</v>
          </cell>
          <cell r="E477" t="str">
            <v>Asmaa AbdElmonem Mohamed Zahran</v>
          </cell>
          <cell r="F477" t="str">
            <v>Ramy Ahmed Mohamed</v>
          </cell>
          <cell r="G477" t="str">
            <v>Abo El Abbas Samir</v>
          </cell>
          <cell r="H477" t="str">
            <v>CVM 1 Line</v>
          </cell>
          <cell r="I477" t="str">
            <v>Rep309</v>
          </cell>
          <cell r="J477" t="str">
            <v>MR</v>
          </cell>
          <cell r="K477" t="str">
            <v>Alex</v>
          </cell>
          <cell r="L477" t="str">
            <v> 1027473139</v>
          </cell>
          <cell r="M477">
            <v>44593</v>
          </cell>
        </row>
        <row r="477">
          <cell r="O477">
            <v>894</v>
          </cell>
          <cell r="P477" t="str">
            <v>Damanhour</v>
          </cell>
        </row>
        <row r="478">
          <cell r="D478" t="str">
            <v>L5_Vacant_Beheira 2</v>
          </cell>
          <cell r="E478" t="str">
            <v>Asmaa AbdElmonem Mohamed Zahran</v>
          </cell>
          <cell r="F478" t="str">
            <v>Ramy Ahmed Mohamed</v>
          </cell>
          <cell r="G478" t="str">
            <v>Abo El Abbas Samir</v>
          </cell>
          <cell r="H478" t="str">
            <v>CVM 1 Line</v>
          </cell>
          <cell r="I478" t="str">
            <v>Rep10074</v>
          </cell>
          <cell r="J478" t="str">
            <v>MR</v>
          </cell>
          <cell r="K478" t="str">
            <v>Alex</v>
          </cell>
        </row>
        <row r="478">
          <cell r="O478">
            <v>0</v>
          </cell>
        </row>
        <row r="479">
          <cell r="D479" t="str">
            <v>Yasmina Moharam ElNahas</v>
          </cell>
          <cell r="E479" t="str">
            <v>Asmaa AbdElmonem Mohamed Zahran</v>
          </cell>
          <cell r="F479" t="str">
            <v>Ramy Ahmed Mohamed</v>
          </cell>
          <cell r="G479" t="str">
            <v>Abo El Abbas Samir</v>
          </cell>
          <cell r="H479" t="str">
            <v>CVM 1 Line</v>
          </cell>
          <cell r="I479" t="str">
            <v>Rep922</v>
          </cell>
          <cell r="J479" t="str">
            <v>MR</v>
          </cell>
          <cell r="K479" t="str">
            <v>Alex</v>
          </cell>
          <cell r="L479">
            <v>1022565719</v>
          </cell>
          <cell r="M479">
            <v>45318</v>
          </cell>
        </row>
        <row r="479">
          <cell r="O479">
            <v>1335</v>
          </cell>
          <cell r="P479" t="str">
            <v>Kafr El Shiekh</v>
          </cell>
        </row>
        <row r="480">
          <cell r="D480" t="str">
            <v>Esraa Abdelkader Ahmed Rashwan</v>
          </cell>
        </row>
        <row r="480">
          <cell r="F480" t="str">
            <v>Ramy Ahmed Mohamed</v>
          </cell>
          <cell r="G480" t="str">
            <v>Abo El Abbas Samir</v>
          </cell>
          <cell r="H480" t="str">
            <v>CVM 1 Line</v>
          </cell>
          <cell r="I480" t="str">
            <v>Rep186</v>
          </cell>
          <cell r="J480" t="str">
            <v>DM</v>
          </cell>
          <cell r="K480" t="str">
            <v>Alex</v>
          </cell>
          <cell r="L480">
            <v>1159806707</v>
          </cell>
          <cell r="M480">
            <v>44479</v>
          </cell>
          <cell r="N480" t="str">
            <v>Esraa.Abdelkader.Ahmed.Rashwan@averroes-eg.com</v>
          </cell>
          <cell r="O480">
            <v>841</v>
          </cell>
          <cell r="P480" t="str">
            <v>Smoha - Ezbet Saad</v>
          </cell>
        </row>
        <row r="481">
          <cell r="D481" t="str">
            <v>Alaa Wagdy Taha ElQady</v>
          </cell>
          <cell r="E481" t="str">
            <v>Esraa Abdelkader Ahmed Rashwan</v>
          </cell>
          <cell r="F481" t="str">
            <v>Ramy Ahmed Mohamed</v>
          </cell>
          <cell r="G481" t="str">
            <v>Abo El Abbas Samir</v>
          </cell>
          <cell r="H481" t="str">
            <v>CVM 1 Line</v>
          </cell>
          <cell r="I481" t="str">
            <v>Rep1000100</v>
          </cell>
          <cell r="J481" t="str">
            <v>MR</v>
          </cell>
          <cell r="K481" t="str">
            <v>Alex</v>
          </cell>
          <cell r="L481">
            <v>1277421599</v>
          </cell>
          <cell r="M481">
            <v>45780</v>
          </cell>
        </row>
        <row r="481">
          <cell r="O481">
            <v>1621</v>
          </cell>
          <cell r="P481" t="str">
            <v>Betash</v>
          </cell>
        </row>
        <row r="482">
          <cell r="D482" t="str">
            <v>Abdelrahman Mohamed Mahmoud</v>
          </cell>
          <cell r="E482" t="str">
            <v>Esraa Abdelkader Ahmed Rashwan</v>
          </cell>
          <cell r="F482" t="str">
            <v>Ramy Ahmed Mohamed</v>
          </cell>
          <cell r="G482" t="str">
            <v>Abo El Abbas Samir</v>
          </cell>
          <cell r="H482" t="str">
            <v>CVM 1 Line</v>
          </cell>
          <cell r="I482" t="str">
            <v>Rep1027</v>
          </cell>
          <cell r="J482" t="str">
            <v>MR</v>
          </cell>
          <cell r="K482" t="str">
            <v>Alex</v>
          </cell>
          <cell r="L482">
            <v>1032612671</v>
          </cell>
          <cell r="M482">
            <v>46054</v>
          </cell>
        </row>
        <row r="482">
          <cell r="O482">
            <v>1853</v>
          </cell>
          <cell r="P482" t="str">
            <v>El Asafra</v>
          </cell>
        </row>
        <row r="483">
          <cell r="D483" t="str">
            <v>Barthina Adel Habib</v>
          </cell>
          <cell r="E483" t="str">
            <v>Esraa Abdelkader Ahmed Rashwan</v>
          </cell>
          <cell r="F483" t="str">
            <v>Ramy Ahmed Mohamed</v>
          </cell>
          <cell r="G483" t="str">
            <v>Abo El Abbas Samir</v>
          </cell>
          <cell r="H483" t="str">
            <v>CVM 1 Line</v>
          </cell>
          <cell r="I483" t="str">
            <v>Rep1028</v>
          </cell>
          <cell r="J483" t="str">
            <v>MR</v>
          </cell>
          <cell r="K483" t="str">
            <v>Alex</v>
          </cell>
          <cell r="L483">
            <v>1271990569</v>
          </cell>
          <cell r="M483">
            <v>46054</v>
          </cell>
        </row>
        <row r="483">
          <cell r="O483">
            <v>1852</v>
          </cell>
          <cell r="P483" t="str">
            <v>El Asafra</v>
          </cell>
        </row>
        <row r="484">
          <cell r="D484" t="str">
            <v>Mohammed ElSayed Mahmoud</v>
          </cell>
          <cell r="E484" t="str">
            <v>Esraa Abdelkader Ahmed Rashwan</v>
          </cell>
          <cell r="F484" t="str">
            <v>Ramy Ahmed Mohamed</v>
          </cell>
          <cell r="G484" t="str">
            <v>Abo El Abbas Samir</v>
          </cell>
          <cell r="H484" t="str">
            <v>CVM 1 Line</v>
          </cell>
          <cell r="I484" t="str">
            <v>AVR_96</v>
          </cell>
          <cell r="J484" t="str">
            <v>MR</v>
          </cell>
          <cell r="K484" t="str">
            <v>Alex</v>
          </cell>
          <cell r="L484">
            <v>1102158457</v>
          </cell>
          <cell r="M484">
            <v>45718</v>
          </cell>
        </row>
        <row r="484">
          <cell r="O484">
            <v>1574</v>
          </cell>
          <cell r="P484" t="str">
            <v>Moharam Bek</v>
          </cell>
        </row>
        <row r="485">
          <cell r="D485" t="str">
            <v>Shady Fares ElFouli</v>
          </cell>
          <cell r="E485" t="str">
            <v>Esraa Abdelkader Ahmed Rashwan</v>
          </cell>
          <cell r="F485" t="str">
            <v>Ramy Ahmed Mohamed</v>
          </cell>
          <cell r="G485" t="str">
            <v>Abo El Abbas Samir</v>
          </cell>
          <cell r="H485" t="str">
            <v>CVM 1 Line</v>
          </cell>
          <cell r="I485" t="str">
            <v>Rep1111</v>
          </cell>
          <cell r="J485" t="str">
            <v>MR</v>
          </cell>
          <cell r="K485" t="str">
            <v>Alex</v>
          </cell>
          <cell r="L485">
            <v>1205591081</v>
          </cell>
          <cell r="M485">
            <v>45907</v>
          </cell>
        </row>
        <row r="485">
          <cell r="O485">
            <v>1742</v>
          </cell>
          <cell r="P485" t="str">
            <v>Hagar El Nwatia</v>
          </cell>
        </row>
        <row r="486">
          <cell r="D486" t="str">
            <v>Youstina Ashraf Fransis</v>
          </cell>
          <cell r="E486" t="str">
            <v>Esraa Abdelkader Ahmed Rashwan</v>
          </cell>
          <cell r="F486" t="str">
            <v>Ramy Ahmed Mohamed</v>
          </cell>
          <cell r="G486" t="str">
            <v>Abo El Abbas Samir</v>
          </cell>
          <cell r="H486" t="str">
            <v>CVM 1 Line</v>
          </cell>
          <cell r="I486" t="str">
            <v>Rep100131</v>
          </cell>
          <cell r="J486" t="str">
            <v>MR</v>
          </cell>
          <cell r="K486" t="str">
            <v>Alex</v>
          </cell>
          <cell r="L486">
            <v>1271765629</v>
          </cell>
          <cell r="M486">
            <v>45780</v>
          </cell>
        </row>
        <row r="486">
          <cell r="O486">
            <v>1680</v>
          </cell>
          <cell r="P486" t="str">
            <v>Ragheb</v>
          </cell>
        </row>
        <row r="487">
          <cell r="D487" t="str">
            <v>Elhoseny Kasem Mohamed</v>
          </cell>
        </row>
        <row r="487">
          <cell r="F487" t="str">
            <v>Ramy Ahmed Mohamed</v>
          </cell>
          <cell r="G487" t="str">
            <v>Abo El Abbas Samir</v>
          </cell>
          <cell r="H487" t="str">
            <v>CVM 2 Line</v>
          </cell>
          <cell r="I487" t="str">
            <v>DM_92</v>
          </cell>
          <cell r="J487" t="str">
            <v>DM</v>
          </cell>
          <cell r="K487" t="str">
            <v>Alex</v>
          </cell>
          <cell r="L487" t="str">
            <v> 01090039538</v>
          </cell>
          <cell r="M487">
            <v>42345</v>
          </cell>
          <cell r="N487" t="str">
            <v>elhusseiny.kassem@averroes-eg.com</v>
          </cell>
          <cell r="O487">
            <v>128</v>
          </cell>
          <cell r="P487" t="str">
            <v>Kafr El Shiekh</v>
          </cell>
        </row>
        <row r="488">
          <cell r="D488" t="str">
            <v>Ahmed Hamdy El Hamrawy</v>
          </cell>
          <cell r="E488" t="str">
            <v>Elhoseny Kasem Mohamed</v>
          </cell>
          <cell r="F488" t="str">
            <v>Ramy Ahmed Mohamed</v>
          </cell>
          <cell r="G488" t="str">
            <v>Abo El Abbas Samir</v>
          </cell>
          <cell r="H488" t="str">
            <v>CVM 2 Line</v>
          </cell>
          <cell r="I488" t="str">
            <v>MR_1909</v>
          </cell>
          <cell r="J488" t="str">
            <v>MR</v>
          </cell>
          <cell r="K488" t="str">
            <v>Alex</v>
          </cell>
          <cell r="L488">
            <v>1002525478</v>
          </cell>
          <cell r="M488">
            <v>45780</v>
          </cell>
        </row>
        <row r="488">
          <cell r="O488">
            <v>1670</v>
          </cell>
          <cell r="P488" t="str">
            <v>Kafr El Dawar</v>
          </cell>
        </row>
        <row r="489">
          <cell r="D489" t="str">
            <v>Ahmed Niem ElTabakh</v>
          </cell>
          <cell r="E489" t="str">
            <v>Elhoseny Kasem Mohamed</v>
          </cell>
          <cell r="F489" t="str">
            <v>Ramy Ahmed Mohamed</v>
          </cell>
          <cell r="G489" t="str">
            <v>Abo El Abbas Samir</v>
          </cell>
          <cell r="H489" t="str">
            <v>CVM 2 Line</v>
          </cell>
          <cell r="I489" t="str">
            <v>MR_1911</v>
          </cell>
          <cell r="J489" t="str">
            <v>MR</v>
          </cell>
          <cell r="K489" t="str">
            <v>Alex</v>
          </cell>
          <cell r="L489">
            <v>1281450546</v>
          </cell>
          <cell r="M489">
            <v>45780</v>
          </cell>
        </row>
        <row r="489">
          <cell r="O489">
            <v>1674</v>
          </cell>
          <cell r="P489" t="str">
            <v>Itay elbaroud</v>
          </cell>
        </row>
        <row r="490">
          <cell r="D490" t="str">
            <v>Donia ElSayed Mahmoud</v>
          </cell>
          <cell r="E490" t="str">
            <v>Elhoseny Kasem Mohamed</v>
          </cell>
          <cell r="F490" t="str">
            <v>Ramy Ahmed Mohamed</v>
          </cell>
          <cell r="G490" t="str">
            <v>Abo El Abbas Samir</v>
          </cell>
          <cell r="H490" t="str">
            <v>CVM 2 Line</v>
          </cell>
          <cell r="I490" t="str">
            <v>MR_1912</v>
          </cell>
          <cell r="J490" t="str">
            <v>MR</v>
          </cell>
          <cell r="K490" t="str">
            <v>Alex</v>
          </cell>
          <cell r="L490">
            <v>1061962082</v>
          </cell>
          <cell r="M490">
            <v>45780</v>
          </cell>
        </row>
        <row r="490">
          <cell r="O490">
            <v>1675</v>
          </cell>
          <cell r="P490" t="str">
            <v>Fowa</v>
          </cell>
        </row>
        <row r="491">
          <cell r="D491" t="str">
            <v>Elsayed Hamdallah Elsayed</v>
          </cell>
          <cell r="E491" t="str">
            <v>Elhoseny Kasem Mohamed</v>
          </cell>
          <cell r="F491" t="str">
            <v>Ramy Ahmed Mohamed</v>
          </cell>
          <cell r="G491" t="str">
            <v>Abo El Abbas Samir</v>
          </cell>
          <cell r="H491" t="str">
            <v>CVM 2 Line</v>
          </cell>
          <cell r="I491" t="str">
            <v>Rep814</v>
          </cell>
          <cell r="J491" t="str">
            <v>MR</v>
          </cell>
          <cell r="K491" t="str">
            <v>Alex</v>
          </cell>
          <cell r="L491">
            <v>1093099282</v>
          </cell>
          <cell r="M491">
            <v>45780</v>
          </cell>
        </row>
        <row r="491">
          <cell r="O491">
            <v>1676</v>
          </cell>
          <cell r="P491" t="str">
            <v>Kafr elsheikh</v>
          </cell>
        </row>
        <row r="492">
          <cell r="D492" t="str">
            <v>Habiba Hussein Mohamed</v>
          </cell>
          <cell r="E492" t="str">
            <v>Elhoseny Kasem Mohamed</v>
          </cell>
          <cell r="F492" t="str">
            <v>Ramy Ahmed Mohamed</v>
          </cell>
          <cell r="G492" t="str">
            <v>Abo El Abbas Samir</v>
          </cell>
          <cell r="H492" t="str">
            <v>CVM 2 Line</v>
          </cell>
          <cell r="I492" t="str">
            <v>MR_1910</v>
          </cell>
          <cell r="J492" t="str">
            <v>MR</v>
          </cell>
          <cell r="K492" t="str">
            <v>Alex</v>
          </cell>
          <cell r="L492">
            <v>1112336659</v>
          </cell>
          <cell r="M492">
            <v>45780</v>
          </cell>
        </row>
        <row r="492">
          <cell r="O492">
            <v>1671</v>
          </cell>
          <cell r="P492" t="str">
            <v>Damanhour</v>
          </cell>
        </row>
        <row r="493">
          <cell r="D493" t="str">
            <v>Nandy Wael Elshirbeny</v>
          </cell>
          <cell r="E493" t="str">
            <v>Elhoseny Kasem Mohamed</v>
          </cell>
          <cell r="F493" t="str">
            <v>Ramy Ahmed Mohamed</v>
          </cell>
          <cell r="G493" t="str">
            <v>Abo El Abbas Samir</v>
          </cell>
          <cell r="H493" t="str">
            <v>CVM 2 Line</v>
          </cell>
          <cell r="I493" t="str">
            <v>Rep1037</v>
          </cell>
          <cell r="J493" t="str">
            <v>MR</v>
          </cell>
          <cell r="K493" t="str">
            <v>Alex</v>
          </cell>
          <cell r="L493">
            <v>1555974405</v>
          </cell>
          <cell r="M493">
            <v>46060</v>
          </cell>
        </row>
        <row r="493">
          <cell r="O493">
            <v>1858</v>
          </cell>
          <cell r="P493" t="str">
            <v>Kafr elsheikh</v>
          </cell>
        </row>
        <row r="494">
          <cell r="D494" t="str">
            <v>Safaa Khaled Arkoup</v>
          </cell>
          <cell r="E494" t="str">
            <v>Elhoseny Kasem Mohamed</v>
          </cell>
          <cell r="F494" t="str">
            <v>Ramy Ahmed Mohamed</v>
          </cell>
          <cell r="G494" t="str">
            <v>Abo El Abbas Samir</v>
          </cell>
          <cell r="H494" t="str">
            <v>CVM 2 Line</v>
          </cell>
          <cell r="I494" t="str">
            <v>MR_1907</v>
          </cell>
          <cell r="J494" t="str">
            <v>MR</v>
          </cell>
          <cell r="K494" t="str">
            <v>Alex</v>
          </cell>
          <cell r="L494">
            <v>1009150205</v>
          </cell>
          <cell r="M494">
            <v>45780</v>
          </cell>
        </row>
        <row r="494">
          <cell r="O494">
            <v>1672</v>
          </cell>
          <cell r="P494" t="str">
            <v>Abou El Matameer</v>
          </cell>
        </row>
        <row r="495">
          <cell r="D495" t="str">
            <v>Sahar Asran Shahat</v>
          </cell>
          <cell r="E495" t="str">
            <v>Elhoseny Kasem Mohamed</v>
          </cell>
          <cell r="F495" t="str">
            <v>Ramy Ahmed Mohamed</v>
          </cell>
          <cell r="G495" t="str">
            <v>Abo El Abbas Samir</v>
          </cell>
          <cell r="H495" t="str">
            <v>CVM 2 Line</v>
          </cell>
          <cell r="I495" t="str">
            <v>MR_1908</v>
          </cell>
          <cell r="J495" t="str">
            <v>MR</v>
          </cell>
          <cell r="K495" t="str">
            <v>Alex</v>
          </cell>
          <cell r="L495">
            <v>1555784253</v>
          </cell>
          <cell r="M495">
            <v>45780</v>
          </cell>
        </row>
        <row r="495">
          <cell r="O495">
            <v>1673</v>
          </cell>
          <cell r="P495" t="str">
            <v>Abou Homous</v>
          </cell>
        </row>
        <row r="496">
          <cell r="D496" t="str">
            <v>Youssef Ashraf Ismail</v>
          </cell>
        </row>
        <row r="496">
          <cell r="F496" t="str">
            <v>Ramy Ahmed Mohamed</v>
          </cell>
          <cell r="G496" t="str">
            <v>Abo El Abbas Samir</v>
          </cell>
          <cell r="H496" t="str">
            <v>CVM 2 Line</v>
          </cell>
          <cell r="I496" t="str">
            <v>Rep436</v>
          </cell>
          <cell r="J496" t="str">
            <v>DM</v>
          </cell>
          <cell r="K496" t="str">
            <v>Alex</v>
          </cell>
          <cell r="L496" t="str">
            <v> 01118583363</v>
          </cell>
          <cell r="M496">
            <v>44829</v>
          </cell>
          <cell r="N496" t="str">
            <v>Youssef.Ashraf.Ismail@averroes-eg.com</v>
          </cell>
          <cell r="O496">
            <v>1003</v>
          </cell>
          <cell r="P496" t="str">
            <v>Moharam Bek</v>
          </cell>
        </row>
        <row r="497">
          <cell r="D497" t="str">
            <v>Nirmeen Mohamed Hassan Mohamed</v>
          </cell>
          <cell r="E497" t="str">
            <v>Youssef Ashraf Ismail</v>
          </cell>
          <cell r="F497" t="str">
            <v>Ramy Ahmed Mohamed</v>
          </cell>
          <cell r="G497" t="str">
            <v>Abo El Abbas Samir</v>
          </cell>
          <cell r="H497" t="str">
            <v>CVM 2 Line</v>
          </cell>
          <cell r="I497" t="str">
            <v>Rep699</v>
          </cell>
          <cell r="J497" t="str">
            <v>MR</v>
          </cell>
          <cell r="K497" t="str">
            <v>Alex</v>
          </cell>
          <cell r="L497">
            <v>1277847616</v>
          </cell>
          <cell r="M497">
            <v>46139</v>
          </cell>
        </row>
        <row r="497">
          <cell r="O497">
            <v>1946</v>
          </cell>
          <cell r="P497" t="str">
            <v>El Asafra Kebly</v>
          </cell>
        </row>
        <row r="498">
          <cell r="D498" t="str">
            <v>Esraa Mohamed AbdelMageed</v>
          </cell>
          <cell r="E498" t="str">
            <v>Youssef Ashraf Ismail</v>
          </cell>
          <cell r="F498" t="str">
            <v>Ramy Ahmed Mohamed</v>
          </cell>
          <cell r="G498" t="str">
            <v>Abo El Abbas Samir</v>
          </cell>
          <cell r="H498" t="str">
            <v>CVM 2 Line</v>
          </cell>
          <cell r="I498" t="str">
            <v>MR_1913</v>
          </cell>
          <cell r="J498" t="str">
            <v>MR</v>
          </cell>
          <cell r="K498" t="str">
            <v>Alex</v>
          </cell>
          <cell r="L498">
            <v>1008928549</v>
          </cell>
          <cell r="M498">
            <v>45780</v>
          </cell>
        </row>
        <row r="498">
          <cell r="O498">
            <v>1677</v>
          </cell>
          <cell r="P498" t="str">
            <v>Awaied</v>
          </cell>
        </row>
        <row r="499">
          <cell r="D499" t="str">
            <v>Huda Mohamed Amin</v>
          </cell>
          <cell r="E499" t="str">
            <v>Youssef Ashraf Ismail</v>
          </cell>
          <cell r="F499" t="str">
            <v>Ramy Ahmed Mohamed</v>
          </cell>
          <cell r="G499" t="str">
            <v>Abo El Abbas Samir</v>
          </cell>
          <cell r="H499" t="str">
            <v>CVM 2 Line</v>
          </cell>
          <cell r="I499" t="str">
            <v>Rep1096</v>
          </cell>
          <cell r="J499" t="str">
            <v>MR</v>
          </cell>
          <cell r="K499" t="str">
            <v>Alex</v>
          </cell>
          <cell r="L499">
            <v>1063296618</v>
          </cell>
          <cell r="M499">
            <v>45871</v>
          </cell>
        </row>
        <row r="499">
          <cell r="O499">
            <v>1720</v>
          </cell>
          <cell r="P499" t="str">
            <v>Sidi Beshr</v>
          </cell>
        </row>
        <row r="500">
          <cell r="D500" t="str">
            <v>Karim Sameh Mustafa</v>
          </cell>
          <cell r="E500" t="str">
            <v>Youssef Ashraf Ismail</v>
          </cell>
          <cell r="F500" t="str">
            <v>Ramy Ahmed Mohamed</v>
          </cell>
          <cell r="G500" t="str">
            <v>Abo El Abbas Samir</v>
          </cell>
          <cell r="H500" t="str">
            <v>CVM 2 Line</v>
          </cell>
          <cell r="I500" t="str">
            <v>MR_1914</v>
          </cell>
          <cell r="J500" t="str">
            <v>MR</v>
          </cell>
          <cell r="K500" t="str">
            <v>Alex</v>
          </cell>
          <cell r="L500">
            <v>1200849672</v>
          </cell>
          <cell r="M500">
            <v>45782</v>
          </cell>
        </row>
        <row r="500">
          <cell r="O500">
            <v>1678</v>
          </cell>
          <cell r="P500" t="str">
            <v>Toson</v>
          </cell>
        </row>
        <row r="501">
          <cell r="D501" t="str">
            <v>Mohamed kabbary Mohamed</v>
          </cell>
          <cell r="E501" t="str">
            <v>Youssef Ashraf Ismail</v>
          </cell>
          <cell r="F501" t="str">
            <v>Ramy Ahmed Mohamed</v>
          </cell>
          <cell r="G501" t="str">
            <v>Abo El Abbas Samir</v>
          </cell>
          <cell r="H501" t="str">
            <v>CVM 2 Line</v>
          </cell>
          <cell r="I501" t="str">
            <v>Rep_00079</v>
          </cell>
          <cell r="J501" t="str">
            <v>MR</v>
          </cell>
          <cell r="K501" t="str">
            <v>Alex</v>
          </cell>
          <cell r="L501">
            <v>1096453095</v>
          </cell>
          <cell r="M501">
            <v>45962</v>
          </cell>
        </row>
        <row r="501">
          <cell r="O501">
            <v>1776</v>
          </cell>
          <cell r="P501" t="str">
            <v>El Werdian</v>
          </cell>
        </row>
        <row r="502">
          <cell r="D502" t="str">
            <v>Rania Yousri Sedeek</v>
          </cell>
          <cell r="E502" t="str">
            <v>Youssef Ashraf Ismail</v>
          </cell>
          <cell r="F502" t="str">
            <v>Ramy Ahmed Mohamed</v>
          </cell>
          <cell r="G502" t="str">
            <v>Abo El Abbas Samir</v>
          </cell>
          <cell r="H502" t="str">
            <v>CVM 2 Line</v>
          </cell>
          <cell r="I502" t="str">
            <v>Rep697</v>
          </cell>
          <cell r="J502" t="str">
            <v>MR</v>
          </cell>
          <cell r="K502" t="str">
            <v>Alex</v>
          </cell>
          <cell r="L502">
            <v>1285989706</v>
          </cell>
          <cell r="M502">
            <v>44968</v>
          </cell>
        </row>
        <row r="502">
          <cell r="O502">
            <v>1146</v>
          </cell>
          <cell r="P502" t="str">
            <v>Moharam Bek</v>
          </cell>
        </row>
        <row r="503">
          <cell r="D503" t="str">
            <v>Ahmed Nashaat Mohamed</v>
          </cell>
        </row>
        <row r="503">
          <cell r="G503" t="str">
            <v>Abdallah Gamal Elsayed</v>
          </cell>
          <cell r="H503" t="str">
            <v>P&amp;G Line</v>
          </cell>
          <cell r="I503" t="str">
            <v>DM_15</v>
          </cell>
          <cell r="J503" t="str">
            <v>AM</v>
          </cell>
          <cell r="K503" t="str">
            <v>Delta</v>
          </cell>
          <cell r="L503">
            <v>1285858177</v>
          </cell>
          <cell r="M503">
            <v>44422</v>
          </cell>
          <cell r="N503" t="str">
            <v>Ahmed.Nashaat.Mohamed@averroes-eg.com</v>
          </cell>
          <cell r="O503">
            <v>812</v>
          </cell>
          <cell r="P503" t="str">
            <v>Samanoud</v>
          </cell>
        </row>
        <row r="504">
          <cell r="D504" t="str">
            <v>Aya Yasser Mohamed</v>
          </cell>
        </row>
        <row r="504">
          <cell r="F504" t="str">
            <v>Ahmed Nashaat Mohamed</v>
          </cell>
          <cell r="G504" t="str">
            <v>Abdallah Gamal Elsayed</v>
          </cell>
          <cell r="H504" t="str">
            <v>P&amp;G Line</v>
          </cell>
          <cell r="I504" t="str">
            <v>Rep166</v>
          </cell>
          <cell r="J504" t="str">
            <v>DM</v>
          </cell>
          <cell r="K504" t="str">
            <v>Delta</v>
          </cell>
          <cell r="L504">
            <v>0</v>
          </cell>
          <cell r="M504">
            <v>44258</v>
          </cell>
          <cell r="N504" t="str">
            <v>Aya.Yasser.Mohamed@averroes-eg.com</v>
          </cell>
          <cell r="O504">
            <v>755</v>
          </cell>
          <cell r="P504" t="str">
            <v>El Mahala El Kobra</v>
          </cell>
        </row>
        <row r="505">
          <cell r="D505" t="str">
            <v>Bosy Omar Ibrahim</v>
          </cell>
          <cell r="E505" t="str">
            <v>Aya Yasser Mohamed</v>
          </cell>
          <cell r="F505" t="str">
            <v>Ahmed Nashaat Mohamed</v>
          </cell>
          <cell r="G505" t="str">
            <v>Abdallah Gamal Elsayed</v>
          </cell>
          <cell r="H505" t="str">
            <v>P&amp;G Line</v>
          </cell>
          <cell r="I505" t="str">
            <v>Rep0004</v>
          </cell>
          <cell r="J505" t="str">
            <v>MR</v>
          </cell>
          <cell r="K505" t="str">
            <v>Delta</v>
          </cell>
          <cell r="L505">
            <v>1007169205</v>
          </cell>
          <cell r="M505">
            <v>45314</v>
          </cell>
        </row>
        <row r="505">
          <cell r="O505">
            <v>1327</v>
          </cell>
          <cell r="P505" t="str">
            <v>Zefta</v>
          </cell>
        </row>
        <row r="506">
          <cell r="D506" t="str">
            <v>Ehab Mohammed Noureldin</v>
          </cell>
          <cell r="E506" t="str">
            <v>Aya Yasser Mohamed</v>
          </cell>
          <cell r="F506" t="str">
            <v>Ahmed Nashaat Mohamed</v>
          </cell>
          <cell r="G506" t="str">
            <v>Abdallah Gamal Elsayed</v>
          </cell>
          <cell r="H506" t="str">
            <v>P&amp;G Line</v>
          </cell>
          <cell r="I506" t="str">
            <v>AVR_34</v>
          </cell>
          <cell r="J506" t="str">
            <v>MR</v>
          </cell>
          <cell r="K506" t="str">
            <v>Delta</v>
          </cell>
          <cell r="L506">
            <v>1014176582</v>
          </cell>
          <cell r="M506">
            <v>45696</v>
          </cell>
        </row>
        <row r="506">
          <cell r="O506">
            <v>1531</v>
          </cell>
          <cell r="P506" t="str">
            <v>Tanta</v>
          </cell>
        </row>
        <row r="507">
          <cell r="D507" t="str">
            <v>Eman Mohamed Ali Aker</v>
          </cell>
          <cell r="E507" t="str">
            <v>Aya Yasser Mohamed</v>
          </cell>
          <cell r="F507" t="str">
            <v>Ahmed Nashaat Mohamed</v>
          </cell>
          <cell r="G507" t="str">
            <v>Abdallah Gamal Elsayed</v>
          </cell>
          <cell r="H507" t="str">
            <v>P&amp;G Line</v>
          </cell>
          <cell r="I507" t="str">
            <v>Rep0031</v>
          </cell>
          <cell r="J507" t="str">
            <v>MR</v>
          </cell>
          <cell r="K507" t="str">
            <v>Delta</v>
          </cell>
          <cell r="L507">
            <v>1028339438</v>
          </cell>
          <cell r="M507">
            <v>45444</v>
          </cell>
        </row>
        <row r="507">
          <cell r="O507">
            <v>1369</v>
          </cell>
          <cell r="P507" t="str">
            <v>Kafr El zayat</v>
          </cell>
        </row>
        <row r="508">
          <cell r="D508" t="str">
            <v>Salma Azmy Fathy Hiedar</v>
          </cell>
          <cell r="E508" t="str">
            <v>Aya Yasser Mohamed</v>
          </cell>
          <cell r="F508" t="str">
            <v>Ahmed Nashaat Mohamed</v>
          </cell>
          <cell r="G508" t="str">
            <v>Abdallah Gamal Elsayed</v>
          </cell>
          <cell r="H508" t="str">
            <v>P&amp;G Line</v>
          </cell>
          <cell r="I508" t="str">
            <v>Rep_00144</v>
          </cell>
          <cell r="J508" t="str">
            <v>MR</v>
          </cell>
          <cell r="K508" t="str">
            <v>Delta</v>
          </cell>
          <cell r="L508">
            <v>1003500827</v>
          </cell>
          <cell r="M508">
            <v>46062</v>
          </cell>
        </row>
        <row r="508">
          <cell r="O508">
            <v>1861</v>
          </cell>
          <cell r="P508" t="str">
            <v>Shebien El Kom</v>
          </cell>
        </row>
        <row r="509">
          <cell r="D509" t="str">
            <v>Mostafa Samy Fathelbab</v>
          </cell>
          <cell r="E509" t="str">
            <v>Aya Yasser Mohamed</v>
          </cell>
          <cell r="F509" t="str">
            <v>Ahmed Nashaat Mohamed</v>
          </cell>
          <cell r="G509" t="str">
            <v>Abdallah Gamal Elsayed</v>
          </cell>
          <cell r="H509" t="str">
            <v>P&amp;G Line</v>
          </cell>
          <cell r="I509" t="str">
            <v>Rep100006</v>
          </cell>
          <cell r="J509" t="str">
            <v>MR</v>
          </cell>
          <cell r="K509" t="str">
            <v>Delta</v>
          </cell>
          <cell r="L509">
            <v>1096116715</v>
          </cell>
          <cell r="M509">
            <v>45892</v>
          </cell>
        </row>
        <row r="509">
          <cell r="O509">
            <v>1734</v>
          </cell>
          <cell r="P509" t="str">
            <v>El Bagour</v>
          </cell>
        </row>
        <row r="510">
          <cell r="D510" t="str">
            <v>Nada Salem Salem Mohamed</v>
          </cell>
          <cell r="E510" t="str">
            <v>Aya Yasser Mohamed</v>
          </cell>
          <cell r="F510" t="str">
            <v>Ahmed Nashaat Mohamed</v>
          </cell>
          <cell r="G510" t="str">
            <v>Abdallah Gamal Elsayed</v>
          </cell>
          <cell r="H510" t="str">
            <v>P&amp;G Line</v>
          </cell>
          <cell r="I510" t="str">
            <v>AVR_23</v>
          </cell>
          <cell r="J510" t="str">
            <v>MR</v>
          </cell>
          <cell r="K510" t="str">
            <v>Delta</v>
          </cell>
          <cell r="L510">
            <v>1003121669</v>
          </cell>
          <cell r="M510">
            <v>45691</v>
          </cell>
        </row>
        <row r="510">
          <cell r="O510">
            <v>1521</v>
          </cell>
          <cell r="P510" t="str">
            <v>Beket ElSabaa</v>
          </cell>
        </row>
        <row r="511">
          <cell r="D511" t="str">
            <v>Nourhan Mahmoud Ahmed</v>
          </cell>
          <cell r="E511" t="str">
            <v>Aya Yasser Mohamed</v>
          </cell>
          <cell r="F511" t="str">
            <v>Ahmed Nashaat Mohamed</v>
          </cell>
          <cell r="G511" t="str">
            <v>Abdallah Gamal Elsayed</v>
          </cell>
          <cell r="H511" t="str">
            <v>P&amp;G Line</v>
          </cell>
          <cell r="I511" t="str">
            <v>Rep1000105</v>
          </cell>
          <cell r="J511" t="str">
            <v>MR</v>
          </cell>
          <cell r="K511" t="str">
            <v>Delta</v>
          </cell>
          <cell r="L511">
            <v>1206361691</v>
          </cell>
          <cell r="M511">
            <v>45780</v>
          </cell>
        </row>
        <row r="511">
          <cell r="O511">
            <v>1626</v>
          </cell>
          <cell r="P511" t="str">
            <v>El Mahala El Kobra</v>
          </cell>
        </row>
        <row r="512">
          <cell r="D512" t="str">
            <v>Mohamed Roshdy Elsaied Aly Ahmed</v>
          </cell>
        </row>
        <row r="512">
          <cell r="F512" t="str">
            <v>Ahmed Nashaat Mohamed</v>
          </cell>
          <cell r="G512" t="str">
            <v>Abdallah Gamal Elsayed</v>
          </cell>
          <cell r="H512" t="str">
            <v>P&amp;G Line</v>
          </cell>
          <cell r="I512" t="str">
            <v>Rep1000106</v>
          </cell>
          <cell r="J512" t="str">
            <v>DM</v>
          </cell>
          <cell r="K512" t="str">
            <v>Delta</v>
          </cell>
          <cell r="L512">
            <v>1000768176</v>
          </cell>
          <cell r="M512">
            <v>46138</v>
          </cell>
        </row>
        <row r="512">
          <cell r="O512">
            <v>1944</v>
          </cell>
          <cell r="P512" t="str">
            <v>El Mansoura</v>
          </cell>
        </row>
        <row r="513">
          <cell r="D513" t="str">
            <v>Mohamed Rabea Ali Ali</v>
          </cell>
          <cell r="E513" t="str">
            <v>Mohamed Roshdy Elsaied Aly Ahmed</v>
          </cell>
          <cell r="F513" t="str">
            <v>Ahmed Nashaat Mohamed</v>
          </cell>
          <cell r="G513" t="str">
            <v>Abdallah Gamal Elsayed</v>
          </cell>
          <cell r="H513" t="str">
            <v>P&amp;G Line</v>
          </cell>
          <cell r="I513" t="str">
            <v>Rep1000102</v>
          </cell>
          <cell r="J513" t="str">
            <v>MR</v>
          </cell>
          <cell r="K513" t="str">
            <v>Delta</v>
          </cell>
          <cell r="L513">
            <v>1096544705</v>
          </cell>
          <cell r="M513">
            <v>45780</v>
          </cell>
        </row>
        <row r="513">
          <cell r="O513">
            <v>1623</v>
          </cell>
          <cell r="P513" t="str">
            <v>Kafr Saad</v>
          </cell>
        </row>
        <row r="514">
          <cell r="D514" t="str">
            <v>Walaa Taher Ahmed</v>
          </cell>
          <cell r="E514" t="str">
            <v>Mohamed Roshdy Elsaied Aly Ahmed</v>
          </cell>
          <cell r="F514" t="str">
            <v>Ahmed Nashaat Mohamed</v>
          </cell>
          <cell r="G514" t="str">
            <v>Abdallah Gamal Elsayed</v>
          </cell>
          <cell r="H514" t="str">
            <v>P&amp;G Line</v>
          </cell>
          <cell r="I514" t="str">
            <v>Rep_00059</v>
          </cell>
          <cell r="J514" t="str">
            <v>MR</v>
          </cell>
          <cell r="K514" t="str">
            <v>Delta</v>
          </cell>
          <cell r="L514">
            <v>1200562181</v>
          </cell>
          <cell r="M514">
            <v>45850</v>
          </cell>
        </row>
        <row r="514">
          <cell r="O514">
            <v>1709</v>
          </cell>
          <cell r="P514" t="str">
            <v>El Mansoura</v>
          </cell>
        </row>
        <row r="515">
          <cell r="D515" t="str">
            <v>Bassil Nour ElDin Noaman Gewely</v>
          </cell>
          <cell r="E515" t="str">
            <v>Mohamed Roshdy Elsaied Aly Ahmed</v>
          </cell>
          <cell r="F515" t="str">
            <v>Ahmed Nashaat Mohamed</v>
          </cell>
          <cell r="G515" t="str">
            <v>Abdallah Gamal Elsayed</v>
          </cell>
          <cell r="H515" t="str">
            <v>P&amp;G Line</v>
          </cell>
          <cell r="I515" t="str">
            <v>Rep100083</v>
          </cell>
          <cell r="J515" t="str">
            <v>MR</v>
          </cell>
          <cell r="K515" t="str">
            <v>Delta</v>
          </cell>
          <cell r="L515">
            <v>1018925400</v>
          </cell>
          <cell r="M515">
            <v>45658</v>
          </cell>
        </row>
        <row r="515">
          <cell r="O515">
            <v>1488</v>
          </cell>
        </row>
        <row r="516">
          <cell r="D516" t="str">
            <v>Nayera Tarek Mokhtar</v>
          </cell>
          <cell r="E516" t="str">
            <v>Mohamed Roshdy Elsaied Aly Ahmed</v>
          </cell>
          <cell r="F516" t="str">
            <v>Ahmed Nashaat Mohamed</v>
          </cell>
          <cell r="G516" t="str">
            <v>Abdallah Gamal Elsayed</v>
          </cell>
          <cell r="H516" t="str">
            <v>P&amp;G Line</v>
          </cell>
          <cell r="I516" t="str">
            <v>Rep919</v>
          </cell>
          <cell r="J516" t="str">
            <v>MR</v>
          </cell>
          <cell r="K516" t="str">
            <v>Delta</v>
          </cell>
          <cell r="L516">
            <v>1206232566</v>
          </cell>
          <cell r="M516">
            <v>45325</v>
          </cell>
        </row>
        <row r="516">
          <cell r="O516">
            <v>1334</v>
          </cell>
          <cell r="P516" t="str">
            <v>Meet Ghamr</v>
          </cell>
        </row>
        <row r="517">
          <cell r="D517" t="str">
            <v>Manal ElMetwally ElHoseiny</v>
          </cell>
          <cell r="E517" t="str">
            <v>Mohamed Roshdy Elsaied Aly Ahmed</v>
          </cell>
          <cell r="F517" t="str">
            <v>Ahmed Nashaat Mohamed</v>
          </cell>
          <cell r="G517" t="str">
            <v>Abdallah Gamal Elsayed</v>
          </cell>
          <cell r="H517" t="str">
            <v>P&amp;G Line</v>
          </cell>
          <cell r="I517" t="str">
            <v>Rep100125</v>
          </cell>
          <cell r="J517" t="str">
            <v>MR</v>
          </cell>
          <cell r="K517" t="str">
            <v>Delta</v>
          </cell>
          <cell r="L517">
            <v>1093268228</v>
          </cell>
          <cell r="M517">
            <v>45787</v>
          </cell>
        </row>
        <row r="517">
          <cell r="O517">
            <v>1632</v>
          </cell>
          <cell r="P517" t="str">
            <v>Dekernes</v>
          </cell>
        </row>
        <row r="518">
          <cell r="D518" t="str">
            <v>Ahmed Yasser Khedr ElZahar</v>
          </cell>
          <cell r="E518" t="str">
            <v>Mohamed Roshdy Elsaied Aly Ahmed</v>
          </cell>
          <cell r="F518" t="str">
            <v>Ahmed Nashaat Mohamed</v>
          </cell>
          <cell r="G518" t="str">
            <v>Abdallah Gamal Elsayed</v>
          </cell>
          <cell r="H518" t="str">
            <v>P&amp;G Line</v>
          </cell>
          <cell r="I518" t="str">
            <v>Rep100084</v>
          </cell>
          <cell r="J518" t="str">
            <v>MR</v>
          </cell>
          <cell r="K518" t="str">
            <v>Delta</v>
          </cell>
          <cell r="L518">
            <v>1556084070</v>
          </cell>
          <cell r="M518">
            <v>45658</v>
          </cell>
        </row>
        <row r="518">
          <cell r="O518">
            <v>1487</v>
          </cell>
        </row>
        <row r="519">
          <cell r="D519" t="str">
            <v>Sara Ibrahim Mohamed</v>
          </cell>
        </row>
        <row r="519">
          <cell r="F519" t="str">
            <v>Ahmed Nashaat Mohamed</v>
          </cell>
          <cell r="G519" t="str">
            <v>Abdallah Gamal Elsayed</v>
          </cell>
          <cell r="H519" t="str">
            <v>P&amp;G Line</v>
          </cell>
          <cell r="I519" t="str">
            <v>Rep240</v>
          </cell>
          <cell r="J519" t="str">
            <v>DM</v>
          </cell>
          <cell r="K519" t="str">
            <v>Delta</v>
          </cell>
          <cell r="L519" t="str">
            <v> 1212871778</v>
          </cell>
          <cell r="M519">
            <v>44593</v>
          </cell>
          <cell r="N519" t="str">
            <v>Sara.Ibrahim.Mohamed@averroes-eg.com</v>
          </cell>
          <cell r="O519">
            <v>899</v>
          </cell>
          <cell r="P519" t="str">
            <v>Hehya</v>
          </cell>
        </row>
        <row r="520">
          <cell r="D520" t="str">
            <v>Fatma Ragaee Mahmoud</v>
          </cell>
          <cell r="E520" t="str">
            <v>Sara Ibrahim Mohamed</v>
          </cell>
          <cell r="F520" t="str">
            <v>Ahmed Nashaat Mohamed</v>
          </cell>
          <cell r="G520" t="str">
            <v>Abdallah Gamal Elsayed</v>
          </cell>
          <cell r="H520" t="str">
            <v>P&amp;G Line</v>
          </cell>
          <cell r="I520" t="str">
            <v>Rep515</v>
          </cell>
          <cell r="J520" t="str">
            <v>MR</v>
          </cell>
          <cell r="K520" t="str">
            <v>Delta</v>
          </cell>
          <cell r="L520">
            <v>1275119082</v>
          </cell>
          <cell r="M520">
            <v>44891</v>
          </cell>
        </row>
        <row r="520">
          <cell r="O520">
            <v>1028</v>
          </cell>
          <cell r="P520" t="str">
            <v>Hehya</v>
          </cell>
        </row>
        <row r="521">
          <cell r="D521" t="str">
            <v>Aya Ahmed Helmy</v>
          </cell>
          <cell r="E521" t="str">
            <v>Sara Ibrahim Mohamed</v>
          </cell>
          <cell r="F521" t="str">
            <v>Ahmed Nashaat Mohamed</v>
          </cell>
          <cell r="G521" t="str">
            <v>Abdallah Gamal Elsayed</v>
          </cell>
          <cell r="H521" t="str">
            <v>P&amp;G Line</v>
          </cell>
          <cell r="I521" t="str">
            <v>Rep100093</v>
          </cell>
          <cell r="J521" t="str">
            <v>MR</v>
          </cell>
          <cell r="K521" t="str">
            <v>Delta</v>
          </cell>
          <cell r="L521">
            <v>1015378062</v>
          </cell>
          <cell r="M521">
            <v>45659</v>
          </cell>
        </row>
        <row r="521">
          <cell r="O521">
            <v>1493</v>
          </cell>
          <cell r="P521" t="str">
            <v>Tookh</v>
          </cell>
        </row>
        <row r="522">
          <cell r="D522" t="str">
            <v>Zinab AbdElKader AbdElHameed</v>
          </cell>
          <cell r="E522" t="str">
            <v>Sara Ibrahim Mohamed</v>
          </cell>
          <cell r="F522" t="str">
            <v>Ahmed Nashaat Mohamed</v>
          </cell>
          <cell r="G522" t="str">
            <v>Abdallah Gamal Elsayed</v>
          </cell>
          <cell r="H522" t="str">
            <v>P&amp;G Line</v>
          </cell>
          <cell r="I522" t="str">
            <v>Rep0076</v>
          </cell>
          <cell r="J522" t="str">
            <v>MR</v>
          </cell>
          <cell r="K522" t="str">
            <v>Delta</v>
          </cell>
          <cell r="L522">
            <v>1016697195</v>
          </cell>
          <cell r="M522">
            <v>45629</v>
          </cell>
        </row>
        <row r="522">
          <cell r="O522">
            <v>1467</v>
          </cell>
          <cell r="P522" t="str">
            <v>Banha - Atreeb</v>
          </cell>
        </row>
        <row r="523">
          <cell r="D523" t="str">
            <v>Ahmed Baioumy Ali Baioumy</v>
          </cell>
          <cell r="E523" t="str">
            <v>Sara Ibrahim Mohamed</v>
          </cell>
          <cell r="F523" t="str">
            <v>Ahmed Nashaat Mohamed</v>
          </cell>
          <cell r="G523" t="str">
            <v>Abdallah Gamal Elsayed</v>
          </cell>
          <cell r="H523" t="str">
            <v>P&amp;G Line</v>
          </cell>
          <cell r="I523" t="str">
            <v>Rep_00142</v>
          </cell>
          <cell r="J523" t="str">
            <v>MR</v>
          </cell>
          <cell r="K523" t="str">
            <v>Delta</v>
          </cell>
          <cell r="L523">
            <v>1119705092</v>
          </cell>
          <cell r="M523">
            <v>46113</v>
          </cell>
        </row>
        <row r="523">
          <cell r="O523">
            <v>1912</v>
          </cell>
          <cell r="P523" t="str">
            <v>Ismaelia City</v>
          </cell>
        </row>
        <row r="524">
          <cell r="D524" t="str">
            <v>Renad Nabil Shehata</v>
          </cell>
          <cell r="E524" t="str">
            <v>Sara Ibrahim Mohamed</v>
          </cell>
          <cell r="F524" t="str">
            <v>Ahmed Nashaat Mohamed</v>
          </cell>
          <cell r="G524" t="str">
            <v>Abdallah Gamal Elsayed</v>
          </cell>
          <cell r="H524" t="str">
            <v>P&amp;G Line</v>
          </cell>
        </row>
        <row r="524">
          <cell r="J524" t="str">
            <v>MR</v>
          </cell>
          <cell r="K524" t="str">
            <v>Delta</v>
          </cell>
          <cell r="L524">
            <v>1281864556</v>
          </cell>
          <cell r="M524">
            <v>46054</v>
          </cell>
        </row>
        <row r="524">
          <cell r="O524">
            <v>1860</v>
          </cell>
          <cell r="P524" t="str">
            <v>Belbais</v>
          </cell>
        </row>
        <row r="525">
          <cell r="D525" t="str">
            <v>L4_Vacant_Suiz</v>
          </cell>
          <cell r="E525" t="str">
            <v>Sara Ibrahim Mohamed</v>
          </cell>
          <cell r="F525" t="str">
            <v>Ahmed Nashaat Mohamed</v>
          </cell>
          <cell r="G525" t="str">
            <v>Abdallah Gamal Elsayed</v>
          </cell>
          <cell r="H525" t="str">
            <v>P&amp;G Line</v>
          </cell>
          <cell r="I525" t="str">
            <v>AVR_31</v>
          </cell>
          <cell r="J525" t="str">
            <v>MR</v>
          </cell>
          <cell r="K525" t="str">
            <v>Delta</v>
          </cell>
        </row>
        <row r="525">
          <cell r="O525">
            <v>0</v>
          </cell>
        </row>
        <row r="526">
          <cell r="D526" t="str">
            <v>Menna AbdelRahman Mohamed</v>
          </cell>
          <cell r="E526" t="str">
            <v>Sara Ibrahim Mohamed</v>
          </cell>
          <cell r="F526" t="str">
            <v>Ahmed Nashaat Mohamed</v>
          </cell>
          <cell r="G526" t="str">
            <v>Abdallah Gamal Elsayed</v>
          </cell>
          <cell r="H526" t="str">
            <v>P&amp;G Line</v>
          </cell>
          <cell r="I526" t="str">
            <v>Rep6100</v>
          </cell>
          <cell r="J526" t="str">
            <v>MR</v>
          </cell>
          <cell r="K526" t="str">
            <v>Delta</v>
          </cell>
          <cell r="L526">
            <v>1016775394</v>
          </cell>
          <cell r="M526">
            <v>45566</v>
          </cell>
        </row>
        <row r="526">
          <cell r="O526">
            <v>1449</v>
          </cell>
          <cell r="P526" t="str">
            <v>El Zakazik City</v>
          </cell>
        </row>
        <row r="527">
          <cell r="D527" t="str">
            <v>Rahma AbdElbadee Kamel</v>
          </cell>
          <cell r="E527" t="str">
            <v>Sara Ibrahim Mohamed</v>
          </cell>
          <cell r="F527" t="str">
            <v>Ahmed Nashaat Mohamed</v>
          </cell>
          <cell r="G527" t="str">
            <v>Abdallah Gamal Elsayed</v>
          </cell>
          <cell r="H527" t="str">
            <v>P&amp;G Line</v>
          </cell>
          <cell r="I527" t="str">
            <v>Rep100094</v>
          </cell>
          <cell r="J527" t="str">
            <v>MR</v>
          </cell>
          <cell r="K527" t="str">
            <v>Delta</v>
          </cell>
          <cell r="L527">
            <v>1096051829</v>
          </cell>
          <cell r="M527">
            <v>45658</v>
          </cell>
        </row>
        <row r="527">
          <cell r="O527">
            <v>1494</v>
          </cell>
          <cell r="P527" t="str">
            <v>Fakoos</v>
          </cell>
        </row>
        <row r="528">
          <cell r="D528" t="str">
            <v>Omar Raafat Neaem</v>
          </cell>
        </row>
        <row r="528">
          <cell r="G528" t="str">
            <v>Abdallah Gamal Elsayed</v>
          </cell>
          <cell r="H528" t="str">
            <v>P&amp;G Line</v>
          </cell>
          <cell r="I528" t="str">
            <v>AVR_97</v>
          </cell>
          <cell r="J528" t="str">
            <v>AM</v>
          </cell>
          <cell r="K528" t="str">
            <v>Alex</v>
          </cell>
          <cell r="L528">
            <v>1277992010</v>
          </cell>
          <cell r="M528">
            <v>46127</v>
          </cell>
        </row>
        <row r="528">
          <cell r="O528">
            <v>1939</v>
          </cell>
          <cell r="P528" t="str">
            <v>Damnhour</v>
          </cell>
        </row>
        <row r="529">
          <cell r="D529" t="str">
            <v>Esraa Ahmed Sayed</v>
          </cell>
        </row>
        <row r="529">
          <cell r="F529" t="str">
            <v>Omar Raafat Neaem</v>
          </cell>
          <cell r="G529" t="str">
            <v>Abdallah Gamal Elsayed</v>
          </cell>
          <cell r="H529" t="str">
            <v>P&amp;G Line</v>
          </cell>
          <cell r="I529" t="str">
            <v>DM_126</v>
          </cell>
          <cell r="J529" t="str">
            <v>DM</v>
          </cell>
          <cell r="K529" t="str">
            <v>Alex</v>
          </cell>
          <cell r="L529">
            <v>1026130303</v>
          </cell>
          <cell r="M529">
            <v>44968</v>
          </cell>
        </row>
        <row r="529">
          <cell r="O529">
            <v>1145</v>
          </cell>
          <cell r="P529" t="str">
            <v>el Asafra</v>
          </cell>
        </row>
        <row r="530">
          <cell r="D530" t="str">
            <v>Abdallah ElSayed nasr</v>
          </cell>
          <cell r="E530" t="str">
            <v>Esraa Ahmed Sayed</v>
          </cell>
          <cell r="F530" t="str">
            <v>Omar Raafat Neaem</v>
          </cell>
          <cell r="G530" t="str">
            <v>Abdallah Gamal Elsayed</v>
          </cell>
          <cell r="H530" t="str">
            <v>P&amp;G Line</v>
          </cell>
          <cell r="I530" t="str">
            <v>Rep100086</v>
          </cell>
          <cell r="J530" t="str">
            <v>MR</v>
          </cell>
          <cell r="K530" t="str">
            <v>Alex</v>
          </cell>
          <cell r="L530">
            <v>1002078972</v>
          </cell>
          <cell r="M530">
            <v>45661</v>
          </cell>
        </row>
        <row r="530">
          <cell r="O530">
            <v>1490</v>
          </cell>
        </row>
        <row r="531">
          <cell r="D531" t="str">
            <v>L4_Vacant_Beheira 2</v>
          </cell>
          <cell r="E531" t="str">
            <v>Esraa Ahmed Sayed</v>
          </cell>
          <cell r="F531" t="str">
            <v>Omar Raafat Neaem</v>
          </cell>
          <cell r="G531" t="str">
            <v>Abdallah Gamal Elsayed</v>
          </cell>
          <cell r="H531" t="str">
            <v>P&amp;G Line</v>
          </cell>
          <cell r="I531" t="str">
            <v>Rep100087</v>
          </cell>
          <cell r="J531" t="str">
            <v>MR</v>
          </cell>
          <cell r="K531" t="str">
            <v>Alex</v>
          </cell>
        </row>
        <row r="531">
          <cell r="O531">
            <v>0</v>
          </cell>
        </row>
        <row r="532">
          <cell r="D532" t="str">
            <v>Asmaa Ali Ali ElSayed</v>
          </cell>
          <cell r="E532" t="str">
            <v>Esraa Ahmed Sayed</v>
          </cell>
          <cell r="F532" t="str">
            <v>Omar Raafat Neaem</v>
          </cell>
          <cell r="G532" t="str">
            <v>Abdallah Gamal Elsayed</v>
          </cell>
          <cell r="H532" t="str">
            <v>P&amp;G Line</v>
          </cell>
          <cell r="I532" t="str">
            <v>Rep0077</v>
          </cell>
          <cell r="J532" t="str">
            <v>MR</v>
          </cell>
          <cell r="K532" t="str">
            <v>Alex</v>
          </cell>
          <cell r="L532">
            <v>1094959623</v>
          </cell>
          <cell r="M532">
            <v>45627</v>
          </cell>
        </row>
        <row r="532">
          <cell r="O532">
            <v>1462</v>
          </cell>
        </row>
        <row r="533">
          <cell r="D533" t="str">
            <v>Fady Karam Azmy Shenouda</v>
          </cell>
          <cell r="E533" t="str">
            <v>Esraa Ahmed Sayed</v>
          </cell>
          <cell r="F533" t="str">
            <v>Omar Raafat Neaem</v>
          </cell>
          <cell r="G533" t="str">
            <v>Abdallah Gamal Elsayed</v>
          </cell>
          <cell r="H533" t="str">
            <v>P&amp;G Line</v>
          </cell>
          <cell r="I533" t="str">
            <v>AVR_148</v>
          </cell>
          <cell r="J533" t="str">
            <v>MR</v>
          </cell>
          <cell r="K533" t="str">
            <v>Alex</v>
          </cell>
          <cell r="L533">
            <v>1203516434</v>
          </cell>
          <cell r="M533">
            <v>45724</v>
          </cell>
        </row>
        <row r="533">
          <cell r="O533">
            <v>1583</v>
          </cell>
          <cell r="P533" t="str">
            <v>Moharam Bek</v>
          </cell>
        </row>
        <row r="534">
          <cell r="D534" t="str">
            <v>Mark Samy Ibrahem Tanyos</v>
          </cell>
          <cell r="E534" t="str">
            <v>Esraa Ahmed Sayed</v>
          </cell>
          <cell r="F534" t="str">
            <v>Omar Raafat Neaem</v>
          </cell>
          <cell r="G534" t="str">
            <v>Abdallah Gamal Elsayed</v>
          </cell>
          <cell r="H534" t="str">
            <v>P&amp;G Line</v>
          </cell>
          <cell r="I534" t="str">
            <v>Rep1061</v>
          </cell>
          <cell r="J534" t="str">
            <v>MR</v>
          </cell>
          <cell r="K534" t="str">
            <v>Alex</v>
          </cell>
          <cell r="L534">
            <v>1280772813</v>
          </cell>
          <cell r="M534">
            <v>46082</v>
          </cell>
        </row>
        <row r="534">
          <cell r="O534">
            <v>1893</v>
          </cell>
          <cell r="P534" t="str">
            <v>El Ebrahemia</v>
          </cell>
        </row>
        <row r="535">
          <cell r="D535" t="str">
            <v>Mariam Sherief Mahmoud Elsaid</v>
          </cell>
          <cell r="E535" t="str">
            <v>Esraa Ahmed Sayed</v>
          </cell>
          <cell r="F535" t="str">
            <v>Omar Raafat Neaem</v>
          </cell>
          <cell r="G535" t="str">
            <v>Abdallah Gamal Elsayed</v>
          </cell>
          <cell r="H535" t="str">
            <v>P&amp;G Line</v>
          </cell>
          <cell r="I535" t="str">
            <v>Rep_00160</v>
          </cell>
          <cell r="J535" t="str">
            <v>MR</v>
          </cell>
          <cell r="K535" t="str">
            <v>Alex</v>
          </cell>
          <cell r="L535">
            <v>1287376818</v>
          </cell>
          <cell r="M535">
            <v>46060</v>
          </cell>
        </row>
        <row r="535">
          <cell r="O535">
            <v>1862</v>
          </cell>
          <cell r="P535" t="str">
            <v>Abo Yousef</v>
          </cell>
        </row>
        <row r="536">
          <cell r="D536" t="str">
            <v>Triza Eid Samy</v>
          </cell>
          <cell r="E536" t="str">
            <v>Esraa Ahmed Sayed</v>
          </cell>
          <cell r="F536" t="str">
            <v>Omar Raafat Neaem</v>
          </cell>
          <cell r="G536" t="str">
            <v>Abdallah Gamal Elsayed</v>
          </cell>
          <cell r="H536" t="str">
            <v>P&amp;G Line</v>
          </cell>
          <cell r="I536" t="str">
            <v>Rep405</v>
          </cell>
          <cell r="J536" t="str">
            <v>MR</v>
          </cell>
          <cell r="K536" t="str">
            <v>Alex</v>
          </cell>
          <cell r="L536" t="str">
            <v> 1210047610</v>
          </cell>
          <cell r="M536">
            <v>44779</v>
          </cell>
        </row>
        <row r="536">
          <cell r="O536">
            <v>983</v>
          </cell>
          <cell r="P536" t="str">
            <v>El Awaied</v>
          </cell>
        </row>
        <row r="537">
          <cell r="D537" t="str">
            <v>Omnia Sobhy Elgamal</v>
          </cell>
        </row>
        <row r="537">
          <cell r="F537" t="str">
            <v>Omar Raafat Neaem</v>
          </cell>
          <cell r="G537" t="str">
            <v>Abdallah Gamal Elsayed</v>
          </cell>
          <cell r="H537" t="str">
            <v>P&amp;G Line</v>
          </cell>
          <cell r="I537" t="str">
            <v>Rep45</v>
          </cell>
          <cell r="J537" t="str">
            <v>DM</v>
          </cell>
          <cell r="K537" t="str">
            <v>Alex</v>
          </cell>
          <cell r="L537" t="str">
            <v> 01117908271</v>
          </cell>
          <cell r="M537">
            <v>41856</v>
          </cell>
          <cell r="N537" t="str">
            <v>Omnia.Sobhy.Elgamal@averroes-eg.com</v>
          </cell>
          <cell r="O537">
            <v>88</v>
          </cell>
          <cell r="P537" t="str">
            <v>Fowa</v>
          </cell>
        </row>
        <row r="538">
          <cell r="D538" t="str">
            <v>Aya Ibrahim Ahmed</v>
          </cell>
          <cell r="E538" t="str">
            <v>Omnia Sobhy Elgamal</v>
          </cell>
          <cell r="F538" t="str">
            <v>Omar Raafat Neaem</v>
          </cell>
          <cell r="G538" t="str">
            <v>Abdallah Gamal Elsayed</v>
          </cell>
          <cell r="H538" t="str">
            <v>P&amp;G Line</v>
          </cell>
          <cell r="I538" t="str">
            <v>Rep238</v>
          </cell>
          <cell r="J538" t="str">
            <v>MR</v>
          </cell>
          <cell r="K538" t="str">
            <v>Alex</v>
          </cell>
          <cell r="L538" t="str">
            <v> 1050111226</v>
          </cell>
          <cell r="M538">
            <v>43841</v>
          </cell>
        </row>
        <row r="538">
          <cell r="O538">
            <v>518</v>
          </cell>
          <cell r="P538" t="str">
            <v>Desouk</v>
          </cell>
        </row>
        <row r="539">
          <cell r="D539" t="str">
            <v>Samar Hamed Mohamed</v>
          </cell>
          <cell r="E539" t="str">
            <v>Omnia Sobhy Elgamal</v>
          </cell>
          <cell r="F539" t="str">
            <v>Omar Raafat Neaem</v>
          </cell>
          <cell r="G539" t="str">
            <v>Abdallah Gamal Elsayed</v>
          </cell>
          <cell r="H539" t="str">
            <v>P&amp;G Line</v>
          </cell>
          <cell r="I539" t="str">
            <v>AVR_7</v>
          </cell>
          <cell r="J539" t="str">
            <v>MR</v>
          </cell>
          <cell r="K539" t="str">
            <v>Alex</v>
          </cell>
          <cell r="L539">
            <v>1098506064</v>
          </cell>
          <cell r="M539">
            <v>46068</v>
          </cell>
        </row>
        <row r="539">
          <cell r="O539">
            <v>1872</v>
          </cell>
          <cell r="P539" t="str">
            <v>Housh Easa</v>
          </cell>
        </row>
        <row r="540">
          <cell r="D540" t="str">
            <v>Mohamed Ragab Abdelrahman Awad</v>
          </cell>
          <cell r="E540" t="str">
            <v>Omnia Sobhy Elgamal</v>
          </cell>
          <cell r="F540" t="str">
            <v>Omar Raafat Neaem</v>
          </cell>
          <cell r="G540" t="str">
            <v>Abdallah Gamal Elsayed</v>
          </cell>
          <cell r="H540" t="str">
            <v>P&amp;G Line</v>
          </cell>
          <cell r="I540" t="str">
            <v>Rep_00050</v>
          </cell>
          <cell r="J540" t="str">
            <v>MR</v>
          </cell>
          <cell r="K540" t="str">
            <v>Alex</v>
          </cell>
          <cell r="L540">
            <v>1020196338</v>
          </cell>
          <cell r="M540">
            <v>46061</v>
          </cell>
        </row>
        <row r="540">
          <cell r="O540">
            <v>1876</v>
          </cell>
          <cell r="P540" t="str">
            <v>Shobrakheet</v>
          </cell>
        </row>
        <row r="541">
          <cell r="D541" t="str">
            <v>Mahmoud Saeed Elbakly</v>
          </cell>
          <cell r="E541" t="str">
            <v>Omnia Sobhy Elgamal</v>
          </cell>
          <cell r="F541" t="str">
            <v>Omar Raafat Neaem</v>
          </cell>
          <cell r="G541" t="str">
            <v>Abdallah Gamal Elsayed</v>
          </cell>
          <cell r="H541" t="str">
            <v>P&amp;G Line</v>
          </cell>
          <cell r="I541" t="str">
            <v>Rep438</v>
          </cell>
          <cell r="J541" t="str">
            <v>MR</v>
          </cell>
          <cell r="K541" t="str">
            <v>Alex</v>
          </cell>
          <cell r="L541" t="str">
            <v> 1013457529</v>
          </cell>
          <cell r="M541">
            <v>44835</v>
          </cell>
        </row>
        <row r="541">
          <cell r="O541">
            <v>1006</v>
          </cell>
          <cell r="P541" t="str">
            <v>Etay El Baroud</v>
          </cell>
        </row>
        <row r="542">
          <cell r="D542" t="str">
            <v>Mohamed Hassan Mostafa Mohamed</v>
          </cell>
          <cell r="E542" t="str">
            <v>Omnia Sobhy Elgamal</v>
          </cell>
          <cell r="F542" t="str">
            <v>Omar Raafat Neaem</v>
          </cell>
          <cell r="G542" t="str">
            <v>Abdallah Gamal Elsayed</v>
          </cell>
          <cell r="H542" t="str">
            <v>P&amp;G Line</v>
          </cell>
          <cell r="I542" t="str">
            <v>rep000019</v>
          </cell>
          <cell r="J542" t="str">
            <v>MR</v>
          </cell>
          <cell r="K542" t="str">
            <v>Alex</v>
          </cell>
          <cell r="L542">
            <v>1061109157</v>
          </cell>
          <cell r="M542">
            <v>45934</v>
          </cell>
        </row>
        <row r="542">
          <cell r="O542">
            <v>1761</v>
          </cell>
          <cell r="P542" t="str">
            <v>Kafr ELSheikh</v>
          </cell>
        </row>
        <row r="543">
          <cell r="D543" t="str">
            <v>Salma Mohamed ElWekil</v>
          </cell>
          <cell r="E543" t="str">
            <v>Omnia Sobhy Elgamal</v>
          </cell>
          <cell r="F543" t="str">
            <v>Omar Raafat Neaem</v>
          </cell>
          <cell r="G543" t="str">
            <v>Abdallah Gamal Elsayed</v>
          </cell>
          <cell r="H543" t="str">
            <v>P&amp;G Line</v>
          </cell>
          <cell r="I543" t="str">
            <v>AVR_93</v>
          </cell>
          <cell r="J543" t="str">
            <v>MR</v>
          </cell>
          <cell r="K543" t="str">
            <v>Alex</v>
          </cell>
          <cell r="L543">
            <v>1012533711</v>
          </cell>
          <cell r="M543">
            <v>45715</v>
          </cell>
        </row>
        <row r="543">
          <cell r="O543">
            <v>1571</v>
          </cell>
          <cell r="P543" t="str">
            <v>Damnhour</v>
          </cell>
        </row>
        <row r="544">
          <cell r="D544" t="str">
            <v>Shady Abdelnaby Mohamed Abdelnaby</v>
          </cell>
          <cell r="E544" t="str">
            <v>Omnia Sobhy Elgamal</v>
          </cell>
          <cell r="F544" t="str">
            <v>Omar Raafat Neaem</v>
          </cell>
          <cell r="G544" t="str">
            <v>Abdallah Gamal Elsayed</v>
          </cell>
          <cell r="H544" t="str">
            <v>P&amp;G Line</v>
          </cell>
          <cell r="I544" t="str">
            <v>Rep00081</v>
          </cell>
          <cell r="J544" t="str">
            <v>MR</v>
          </cell>
          <cell r="K544" t="str">
            <v>Alex</v>
          </cell>
          <cell r="L544">
            <v>1004209490</v>
          </cell>
          <cell r="M544">
            <v>45913</v>
          </cell>
        </row>
        <row r="544">
          <cell r="O544">
            <v>1746</v>
          </cell>
          <cell r="P544" t="str">
            <v>Kafr ELSheikh</v>
          </cell>
        </row>
        <row r="545">
          <cell r="D545" t="str">
            <v>Hamed Maher Ibrahim</v>
          </cell>
        </row>
        <row r="545">
          <cell r="G545" t="str">
            <v>Abdallah Gamal Elsayed</v>
          </cell>
          <cell r="H545" t="str">
            <v>P&amp;G Line</v>
          </cell>
          <cell r="I545" t="str">
            <v>ZM_36</v>
          </cell>
          <cell r="J545" t="str">
            <v>AM</v>
          </cell>
          <cell r="K545" t="str">
            <v>Cairo</v>
          </cell>
          <cell r="L545">
            <v>1024705548</v>
          </cell>
          <cell r="M545">
            <v>46132</v>
          </cell>
        </row>
        <row r="545">
          <cell r="O545">
            <v>1941</v>
          </cell>
          <cell r="P545" t="str">
            <v>Ain Shams El Sharqeya</v>
          </cell>
        </row>
        <row r="546">
          <cell r="D546" t="str">
            <v>Abanoub Samy Mounir</v>
          </cell>
        </row>
        <row r="546">
          <cell r="F546" t="str">
            <v>Hamed Maher Ibrahim</v>
          </cell>
          <cell r="G546" t="str">
            <v>Abdallah Gamal Elsayed</v>
          </cell>
          <cell r="H546" t="str">
            <v>P&amp;G Line</v>
          </cell>
          <cell r="I546" t="str">
            <v>DM_1007</v>
          </cell>
          <cell r="J546" t="str">
            <v>DM</v>
          </cell>
          <cell r="K546" t="str">
            <v>Cairo</v>
          </cell>
          <cell r="L546">
            <v>1033889221</v>
          </cell>
          <cell r="M546">
            <v>45901</v>
          </cell>
          <cell r="N546" t="str">
            <v>Abanoub.Samy@averroes-eg.com</v>
          </cell>
          <cell r="O546">
            <v>1741</v>
          </cell>
          <cell r="P546" t="str">
            <v>NASR CITY II</v>
          </cell>
        </row>
        <row r="547">
          <cell r="D547" t="str">
            <v>Abdelrahman Yasser Ibrahim</v>
          </cell>
          <cell r="E547" t="str">
            <v>Abanoub Samy Mounir</v>
          </cell>
          <cell r="F547" t="str">
            <v>Hamed Maher Ibrahim</v>
          </cell>
          <cell r="G547" t="str">
            <v>Abdallah Gamal Elsayed</v>
          </cell>
          <cell r="H547" t="str">
            <v>P&amp;G Line</v>
          </cell>
          <cell r="I547" t="str">
            <v>rep000018</v>
          </cell>
          <cell r="J547" t="str">
            <v>MR</v>
          </cell>
          <cell r="K547" t="str">
            <v>Cairo</v>
          </cell>
          <cell r="L547">
            <v>1090275490</v>
          </cell>
          <cell r="M547">
            <v>45931</v>
          </cell>
        </row>
        <row r="547">
          <cell r="O547">
            <v>1760</v>
          </cell>
          <cell r="P547" t="str">
            <v>el marg</v>
          </cell>
        </row>
        <row r="548">
          <cell r="D548" t="str">
            <v>Ahmed Essam Taha</v>
          </cell>
          <cell r="E548" t="str">
            <v>Abanoub Samy Mounir</v>
          </cell>
          <cell r="F548" t="str">
            <v>Hamed Maher Ibrahim</v>
          </cell>
          <cell r="G548" t="str">
            <v>Abdallah Gamal Elsayed</v>
          </cell>
          <cell r="H548" t="str">
            <v>P&amp;G Line</v>
          </cell>
          <cell r="I548" t="str">
            <v>rep000015</v>
          </cell>
          <cell r="J548" t="str">
            <v>MR</v>
          </cell>
          <cell r="K548" t="str">
            <v>Cairo</v>
          </cell>
          <cell r="L548" t="str">
            <v>0114 8631822</v>
          </cell>
          <cell r="M548">
            <v>45931</v>
          </cell>
        </row>
        <row r="548">
          <cell r="O548">
            <v>1757</v>
          </cell>
          <cell r="P548" t="str">
            <v>Abbaseya</v>
          </cell>
        </row>
        <row r="549">
          <cell r="D549" t="str">
            <v>Eslam Gamal ElSayed</v>
          </cell>
          <cell r="E549" t="str">
            <v>Abanoub Samy Mounir</v>
          </cell>
          <cell r="F549" t="str">
            <v>Hamed Maher Ibrahim</v>
          </cell>
          <cell r="G549" t="str">
            <v>Abdallah Gamal Elsayed</v>
          </cell>
          <cell r="H549" t="str">
            <v>P&amp;G Line</v>
          </cell>
          <cell r="I549" t="str">
            <v>Rep0078</v>
          </cell>
          <cell r="J549" t="str">
            <v>MR</v>
          </cell>
          <cell r="K549" t="str">
            <v>Cairo</v>
          </cell>
          <cell r="L549">
            <v>1004601149</v>
          </cell>
          <cell r="M549">
            <v>45627</v>
          </cell>
        </row>
        <row r="549">
          <cell r="O549">
            <v>1465</v>
          </cell>
          <cell r="P549" t="str">
            <v>ELMATARIA - CAIRO</v>
          </cell>
        </row>
        <row r="550">
          <cell r="D550" t="str">
            <v>Ghada Mohammed Nemr Soliman</v>
          </cell>
          <cell r="E550" t="str">
            <v>Abanoub Samy Mounir</v>
          </cell>
          <cell r="F550" t="str">
            <v>Hamed Maher Ibrahim</v>
          </cell>
          <cell r="G550" t="str">
            <v>Abdallah Gamal Elsayed</v>
          </cell>
          <cell r="H550" t="str">
            <v>P&amp;G Line</v>
          </cell>
          <cell r="I550" t="str">
            <v>Rep1000104</v>
          </cell>
          <cell r="J550" t="str">
            <v>MR</v>
          </cell>
          <cell r="K550" t="str">
            <v>Cairo</v>
          </cell>
          <cell r="L550">
            <v>1020545018</v>
          </cell>
          <cell r="M550">
            <v>45780</v>
          </cell>
        </row>
        <row r="550">
          <cell r="O550">
            <v>1625</v>
          </cell>
          <cell r="P550" t="str">
            <v>Madenet El Salam</v>
          </cell>
        </row>
        <row r="551">
          <cell r="D551" t="str">
            <v>L4_Vacant_Nasr City</v>
          </cell>
          <cell r="E551" t="str">
            <v>Abanoub Samy Mounir</v>
          </cell>
          <cell r="F551" t="str">
            <v>Hamed Maher Ibrahim</v>
          </cell>
          <cell r="G551" t="str">
            <v>Abdallah Gamal Elsayed</v>
          </cell>
          <cell r="H551" t="str">
            <v>P&amp;G Line</v>
          </cell>
          <cell r="I551" t="str">
            <v>Rep6106</v>
          </cell>
          <cell r="J551" t="str">
            <v>MR</v>
          </cell>
          <cell r="K551" t="str">
            <v>Cairo</v>
          </cell>
        </row>
        <row r="551">
          <cell r="O551">
            <v>0</v>
          </cell>
        </row>
        <row r="552">
          <cell r="D552" t="str">
            <v>Kholoud Ali Mossad</v>
          </cell>
          <cell r="E552" t="str">
            <v>Abanoub Samy Mounir</v>
          </cell>
          <cell r="F552" t="str">
            <v>Hamed Maher Ibrahim</v>
          </cell>
          <cell r="G552" t="str">
            <v>Abdallah Gamal Elsayed</v>
          </cell>
          <cell r="H552" t="str">
            <v>P&amp;G Line</v>
          </cell>
          <cell r="I552" t="str">
            <v>Rep_00136</v>
          </cell>
          <cell r="J552" t="str">
            <v>MR</v>
          </cell>
          <cell r="K552" t="str">
            <v>Cairo</v>
          </cell>
          <cell r="L552">
            <v>1158713938</v>
          </cell>
          <cell r="M552">
            <v>46126</v>
          </cell>
        </row>
        <row r="552">
          <cell r="O552">
            <v>1940</v>
          </cell>
          <cell r="P552" t="str">
            <v>NASR CITY II</v>
          </cell>
        </row>
        <row r="553">
          <cell r="D553" t="str">
            <v>Mohamed Ezzat Hassan</v>
          </cell>
        </row>
        <row r="553">
          <cell r="F553" t="str">
            <v>Hamed Maher Ibrahim</v>
          </cell>
          <cell r="G553" t="str">
            <v>Abdallah Gamal Elsayed</v>
          </cell>
          <cell r="H553" t="str">
            <v>P&amp;G Line</v>
          </cell>
          <cell r="I553" t="str">
            <v>Rep223</v>
          </cell>
          <cell r="J553" t="str">
            <v>DM</v>
          </cell>
          <cell r="K553" t="str">
            <v>Cairo</v>
          </cell>
          <cell r="L553" t="str">
            <v> 01030098100</v>
          </cell>
          <cell r="M553">
            <v>43864</v>
          </cell>
          <cell r="N553" t="str">
            <v>mohamed.ezat@averroes-eg.com</v>
          </cell>
          <cell r="O553">
            <v>595</v>
          </cell>
          <cell r="P553" t="str">
            <v>El Sheikh Zayed</v>
          </cell>
        </row>
        <row r="554">
          <cell r="D554" t="str">
            <v>Merna Samer Adel Beshay</v>
          </cell>
          <cell r="E554" t="str">
            <v>Mohamed Ezzat Hassan</v>
          </cell>
          <cell r="F554" t="str">
            <v>Hamed Maher Ibrahim</v>
          </cell>
          <cell r="G554" t="str">
            <v>Abdallah Gamal Elsayed</v>
          </cell>
          <cell r="H554" t="str">
            <v>P&amp;G Line</v>
          </cell>
          <cell r="I554" t="str">
            <v>Rep1007</v>
          </cell>
          <cell r="J554" t="str">
            <v>MR</v>
          </cell>
          <cell r="K554" t="str">
            <v>Cairo</v>
          </cell>
          <cell r="L554">
            <v>1273953409</v>
          </cell>
          <cell r="M554">
            <v>46057</v>
          </cell>
        </row>
        <row r="554">
          <cell r="O554">
            <v>1865</v>
          </cell>
          <cell r="P554" t="str">
            <v>Dokki</v>
          </cell>
        </row>
        <row r="555">
          <cell r="D555" t="str">
            <v>Aya Hassanien Ahmed</v>
          </cell>
          <cell r="E555" t="str">
            <v>Mohamed Ezzat Hassan</v>
          </cell>
          <cell r="F555" t="str">
            <v>Hamed Maher Ibrahim</v>
          </cell>
          <cell r="G555" t="str">
            <v>Abdallah Gamal Elsayed</v>
          </cell>
          <cell r="H555" t="str">
            <v>P&amp;G Line</v>
          </cell>
          <cell r="I555" t="str">
            <v>Rep_00047</v>
          </cell>
          <cell r="J555" t="str">
            <v>MR</v>
          </cell>
          <cell r="K555" t="str">
            <v>Cairo</v>
          </cell>
          <cell r="L555">
            <v>1127846411</v>
          </cell>
          <cell r="M555">
            <v>46113</v>
          </cell>
        </row>
        <row r="555">
          <cell r="O555">
            <v>1929</v>
          </cell>
          <cell r="P555" t="str">
            <v>Faisal</v>
          </cell>
        </row>
        <row r="556">
          <cell r="D556" t="str">
            <v>Mohamed Khaled Salah Eldeen</v>
          </cell>
          <cell r="E556" t="str">
            <v>Mohamed Ezzat Hassan</v>
          </cell>
          <cell r="F556" t="str">
            <v>Hamed Maher Ibrahim</v>
          </cell>
          <cell r="G556" t="str">
            <v>Abdallah Gamal Elsayed</v>
          </cell>
          <cell r="H556" t="str">
            <v>P&amp;G Line</v>
          </cell>
          <cell r="I556" t="str">
            <v>Rep_00101</v>
          </cell>
          <cell r="J556" t="str">
            <v>MR</v>
          </cell>
          <cell r="K556" t="str">
            <v>Cairo</v>
          </cell>
          <cell r="L556">
            <v>1120732889</v>
          </cell>
          <cell r="M556">
            <v>46140</v>
          </cell>
        </row>
        <row r="556">
          <cell r="O556">
            <v>1948</v>
          </cell>
          <cell r="P556" t="str">
            <v>El Haram</v>
          </cell>
        </row>
        <row r="557">
          <cell r="D557" t="str">
            <v>Warda Arafa Berik</v>
          </cell>
          <cell r="E557" t="str">
            <v>Mohamed Ezzat Hassan</v>
          </cell>
          <cell r="F557" t="str">
            <v>Hamed Maher Ibrahim</v>
          </cell>
          <cell r="G557" t="str">
            <v>Abdallah Gamal Elsayed</v>
          </cell>
          <cell r="H557" t="str">
            <v>P&amp;G Line</v>
          </cell>
          <cell r="I557" t="str">
            <v>AVR_21</v>
          </cell>
          <cell r="J557" t="str">
            <v>MR</v>
          </cell>
          <cell r="K557" t="str">
            <v>Cairo</v>
          </cell>
          <cell r="L557">
            <v>1090567380</v>
          </cell>
          <cell r="M557">
            <v>45690</v>
          </cell>
        </row>
        <row r="557">
          <cell r="O557">
            <v>1519</v>
          </cell>
          <cell r="P557" t="str">
            <v>6th of October City</v>
          </cell>
        </row>
        <row r="558">
          <cell r="D558" t="str">
            <v>Mohamed Maged Abdelmoneim Saied</v>
          </cell>
          <cell r="E558" t="str">
            <v>Mohamed Ezzat Hassan</v>
          </cell>
          <cell r="F558" t="str">
            <v>Hamed Maher Ibrahim</v>
          </cell>
          <cell r="G558" t="str">
            <v>Abdallah Gamal Elsayed</v>
          </cell>
          <cell r="H558" t="str">
            <v>P&amp;G Line</v>
          </cell>
          <cell r="I558" t="str">
            <v>AVR_19</v>
          </cell>
          <cell r="J558" t="str">
            <v>MR</v>
          </cell>
          <cell r="K558" t="str">
            <v>Cairo</v>
          </cell>
          <cell r="L558">
            <v>1024829888</v>
          </cell>
          <cell r="M558">
            <v>46143</v>
          </cell>
        </row>
        <row r="558">
          <cell r="O558">
            <v>1950</v>
          </cell>
          <cell r="P558" t="str">
            <v>Midan El Giza</v>
          </cell>
        </row>
        <row r="559">
          <cell r="D559" t="str">
            <v>Waleed Nageh AboZeid</v>
          </cell>
        </row>
        <row r="559">
          <cell r="F559" t="str">
            <v>Hamed Maher Ibrahim</v>
          </cell>
          <cell r="G559" t="str">
            <v>Abdallah Gamal Elsayed</v>
          </cell>
          <cell r="H559" t="str">
            <v>P&amp;G Line</v>
          </cell>
          <cell r="I559" t="str">
            <v>Rep12</v>
          </cell>
          <cell r="J559" t="str">
            <v>DM</v>
          </cell>
          <cell r="K559" t="str">
            <v>Cairo</v>
          </cell>
          <cell r="L559">
            <v>1118607892</v>
          </cell>
          <cell r="M559">
            <v>44362</v>
          </cell>
          <cell r="N559" t="str">
            <v>Waleed.Nageh.AboZeid@averroes-eg.com</v>
          </cell>
          <cell r="O559">
            <v>792</v>
          </cell>
          <cell r="P559" t="str">
            <v>DAR ELSALAM - CAIRO</v>
          </cell>
        </row>
        <row r="560">
          <cell r="D560" t="str">
            <v>Amira Ashraf Sayed Ahmed</v>
          </cell>
          <cell r="E560" t="str">
            <v>Waleed Nageh AboZeid</v>
          </cell>
          <cell r="F560" t="str">
            <v>Hamed Maher Ibrahim</v>
          </cell>
          <cell r="G560" t="str">
            <v>Abdallah Gamal Elsayed</v>
          </cell>
          <cell r="H560" t="str">
            <v>P&amp;G Line</v>
          </cell>
          <cell r="I560" t="str">
            <v>Rep1000080</v>
          </cell>
          <cell r="J560" t="str">
            <v>MR</v>
          </cell>
          <cell r="K560" t="str">
            <v>Cairo</v>
          </cell>
          <cell r="L560">
            <v>1020424012</v>
          </cell>
          <cell r="M560">
            <v>45901</v>
          </cell>
        </row>
        <row r="560">
          <cell r="O560">
            <v>1754</v>
          </cell>
          <cell r="P560" t="str">
            <v>Helwan</v>
          </cell>
        </row>
        <row r="561">
          <cell r="D561" t="str">
            <v>Asmaa Ahmed Ismael</v>
          </cell>
          <cell r="E561" t="str">
            <v>Waleed Nageh AboZeid</v>
          </cell>
          <cell r="F561" t="str">
            <v>Hamed Maher Ibrahim</v>
          </cell>
          <cell r="G561" t="str">
            <v>Abdallah Gamal Elsayed</v>
          </cell>
          <cell r="H561" t="str">
            <v>P&amp;G Line</v>
          </cell>
          <cell r="I561" t="str">
            <v>Rep215</v>
          </cell>
          <cell r="J561" t="str">
            <v>MR</v>
          </cell>
          <cell r="K561" t="str">
            <v>Cairo</v>
          </cell>
          <cell r="L561" t="str">
            <v> 1030480507</v>
          </cell>
          <cell r="M561">
            <v>44228</v>
          </cell>
        </row>
        <row r="561">
          <cell r="O561">
            <v>736</v>
          </cell>
          <cell r="P561" t="str">
            <v>DAR ELSALAM - CAIRO</v>
          </cell>
        </row>
        <row r="562">
          <cell r="D562" t="str">
            <v>Buthinah Nader Mohamed Azmy</v>
          </cell>
          <cell r="E562" t="str">
            <v>Waleed Nageh AboZeid</v>
          </cell>
          <cell r="F562" t="str">
            <v>Hamed Maher Ibrahim</v>
          </cell>
          <cell r="G562" t="str">
            <v>Abdallah Gamal Elsayed</v>
          </cell>
          <cell r="H562" t="str">
            <v>P&amp;G Line</v>
          </cell>
          <cell r="I562" t="str">
            <v>AVR_32</v>
          </cell>
          <cell r="J562" t="str">
            <v>MR</v>
          </cell>
          <cell r="K562" t="str">
            <v>Cairo</v>
          </cell>
          <cell r="L562">
            <v>1102372504</v>
          </cell>
          <cell r="M562">
            <v>45696</v>
          </cell>
        </row>
        <row r="562">
          <cell r="O562">
            <v>1529</v>
          </cell>
          <cell r="P562" t="str">
            <v>Shobra El Khiema</v>
          </cell>
        </row>
        <row r="563">
          <cell r="D563" t="str">
            <v>L4_Vacant_Downtown</v>
          </cell>
          <cell r="E563" t="str">
            <v>Waleed Nageh AboZeid</v>
          </cell>
          <cell r="F563" t="str">
            <v>Hamed Maher Ibrahim</v>
          </cell>
          <cell r="G563" t="str">
            <v>Abdallah Gamal Elsayed</v>
          </cell>
          <cell r="H563" t="str">
            <v>P&amp;G Line</v>
          </cell>
          <cell r="I563" t="str">
            <v>Rep_00044</v>
          </cell>
          <cell r="J563" t="str">
            <v>MR</v>
          </cell>
          <cell r="K563" t="str">
            <v>Cairo</v>
          </cell>
        </row>
        <row r="563">
          <cell r="O563">
            <v>0</v>
          </cell>
        </row>
        <row r="564">
          <cell r="D564" t="str">
            <v>Madona Lazeim Shafik</v>
          </cell>
          <cell r="E564" t="str">
            <v>Waleed Nageh AboZeid</v>
          </cell>
          <cell r="F564" t="str">
            <v>Hamed Maher Ibrahim</v>
          </cell>
          <cell r="G564" t="str">
            <v>Abdallah Gamal Elsayed</v>
          </cell>
          <cell r="H564" t="str">
            <v>P&amp;G Line</v>
          </cell>
          <cell r="I564" t="str">
            <v>Rep_00161</v>
          </cell>
          <cell r="J564" t="str">
            <v>MR</v>
          </cell>
          <cell r="K564" t="str">
            <v>Cairo</v>
          </cell>
          <cell r="L564">
            <v>1276895847</v>
          </cell>
          <cell r="M564">
            <v>46023</v>
          </cell>
        </row>
        <row r="564">
          <cell r="O564">
            <v>1839</v>
          </cell>
          <cell r="P564" t="str">
            <v>Shobra El Khiema</v>
          </cell>
        </row>
        <row r="565">
          <cell r="D565" t="str">
            <v>Toka Maged Ibrahim</v>
          </cell>
          <cell r="E565" t="str">
            <v>Waleed Nageh AboZeid</v>
          </cell>
          <cell r="F565" t="str">
            <v>Hamed Maher Ibrahim</v>
          </cell>
          <cell r="G565" t="str">
            <v>Abdallah Gamal Elsayed</v>
          </cell>
          <cell r="H565" t="str">
            <v>P&amp;G Line</v>
          </cell>
          <cell r="I565" t="str">
            <v>Rep100045</v>
          </cell>
          <cell r="J565" t="str">
            <v>MR</v>
          </cell>
          <cell r="K565" t="str">
            <v>Cairo</v>
          </cell>
          <cell r="L565">
            <v>1552588806</v>
          </cell>
          <cell r="M565">
            <v>45566</v>
          </cell>
        </row>
        <row r="565">
          <cell r="O565">
            <v>1450</v>
          </cell>
          <cell r="P565" t="str">
            <v>Embaba</v>
          </cell>
        </row>
        <row r="566">
          <cell r="D566" t="str">
            <v>Mohamed AbdelSabor Madany</v>
          </cell>
        </row>
        <row r="566">
          <cell r="G566" t="str">
            <v>Abdallah Gamal Elsayed</v>
          </cell>
          <cell r="H566" t="str">
            <v>P&amp;G Line</v>
          </cell>
          <cell r="I566" t="str">
            <v>DM_114</v>
          </cell>
          <cell r="J566" t="str">
            <v>AM</v>
          </cell>
          <cell r="K566" t="str">
            <v>Upper Egypt</v>
          </cell>
          <cell r="L566">
            <v>1091332030</v>
          </cell>
          <cell r="M566">
            <v>44958</v>
          </cell>
          <cell r="N566" t="str">
            <v>Mohamed.AbdelSabor.Medany@averroes-eg.com</v>
          </cell>
          <cell r="O566">
            <v>1113</v>
          </cell>
          <cell r="P566" t="str">
            <v>Quena City</v>
          </cell>
        </row>
        <row r="567">
          <cell r="D567" t="str">
            <v>David Thabet Mehanni</v>
          </cell>
        </row>
        <row r="567">
          <cell r="F567" t="str">
            <v>Mohamed AbdelSabor Madany</v>
          </cell>
          <cell r="G567" t="str">
            <v>Abdallah Gamal Elsayed</v>
          </cell>
          <cell r="H567" t="str">
            <v>P&amp;G Line</v>
          </cell>
          <cell r="I567" t="str">
            <v>DM_101</v>
          </cell>
          <cell r="J567" t="str">
            <v>DM</v>
          </cell>
          <cell r="K567" t="str">
            <v>Upper Egypt</v>
          </cell>
          <cell r="L567" t="str">
            <v> 01554629292</v>
          </cell>
          <cell r="M567">
            <v>44942</v>
          </cell>
          <cell r="N567" t="str">
            <v>David.Thabet.Mehanni@averroes-eg.com</v>
          </cell>
          <cell r="O567">
            <v>1082</v>
          </cell>
          <cell r="P567" t="str">
            <v>Malawy</v>
          </cell>
        </row>
        <row r="568">
          <cell r="D568" t="str">
            <v>Ahmed Shaaban AbdElsalam</v>
          </cell>
          <cell r="E568" t="str">
            <v>David Thabet Mehanni</v>
          </cell>
          <cell r="F568" t="str">
            <v>Mohamed AbdelSabor Madany</v>
          </cell>
          <cell r="G568" t="str">
            <v>Abdallah Gamal Elsayed</v>
          </cell>
          <cell r="H568" t="str">
            <v>P&amp;G Line</v>
          </cell>
          <cell r="I568" t="str">
            <v>Rep258</v>
          </cell>
          <cell r="J568" t="str">
            <v>MR</v>
          </cell>
          <cell r="K568" t="str">
            <v>Upper Egypt</v>
          </cell>
          <cell r="L568" t="str">
            <v> 1030814111</v>
          </cell>
          <cell r="M568">
            <v>43694</v>
          </cell>
        </row>
        <row r="568">
          <cell r="O568">
            <v>470</v>
          </cell>
          <cell r="P568" t="str">
            <v>El Menia City</v>
          </cell>
        </row>
        <row r="569">
          <cell r="D569" t="str">
            <v>Hamees Yahia AbdElhameed</v>
          </cell>
          <cell r="E569" t="str">
            <v>David Thabet Mehanni</v>
          </cell>
          <cell r="F569" t="str">
            <v>Mohamed AbdelSabor Madany</v>
          </cell>
          <cell r="G569" t="str">
            <v>Abdallah Gamal Elsayed</v>
          </cell>
          <cell r="H569" t="str">
            <v>P&amp;G Line</v>
          </cell>
          <cell r="I569" t="str">
            <v>Rep100103</v>
          </cell>
          <cell r="J569" t="str">
            <v>MR</v>
          </cell>
          <cell r="K569" t="str">
            <v>Upper Egypt</v>
          </cell>
          <cell r="L569">
            <v>1067219806</v>
          </cell>
          <cell r="M569">
            <v>45676</v>
          </cell>
        </row>
        <row r="569">
          <cell r="O569">
            <v>1503</v>
          </cell>
          <cell r="P569" t="str">
            <v>El Menia City</v>
          </cell>
        </row>
        <row r="570">
          <cell r="D570" t="str">
            <v>Israa Imad Eldin Mohamed</v>
          </cell>
          <cell r="E570" t="str">
            <v>David Thabet Mehanni</v>
          </cell>
          <cell r="F570" t="str">
            <v>Mohamed AbdelSabor Madany</v>
          </cell>
          <cell r="G570" t="str">
            <v>Abdallah Gamal Elsayed</v>
          </cell>
          <cell r="H570" t="str">
            <v>P&amp;G Line</v>
          </cell>
          <cell r="I570" t="str">
            <v>Rep1110</v>
          </cell>
          <cell r="J570" t="str">
            <v>MR</v>
          </cell>
          <cell r="K570" t="str">
            <v>Upper Egypt</v>
          </cell>
          <cell r="L570">
            <v>1221100717</v>
          </cell>
          <cell r="M570">
            <v>45941</v>
          </cell>
        </row>
        <row r="570">
          <cell r="O570">
            <v>1768</v>
          </cell>
          <cell r="P570" t="str">
            <v>Bani Swaif City</v>
          </cell>
        </row>
        <row r="571">
          <cell r="D571" t="str">
            <v>Mariam Ashraf Barty</v>
          </cell>
          <cell r="E571" t="str">
            <v>David Thabet Mehanni</v>
          </cell>
          <cell r="F571" t="str">
            <v>Mohamed AbdelSabor Madany</v>
          </cell>
          <cell r="G571" t="str">
            <v>Abdallah Gamal Elsayed</v>
          </cell>
          <cell r="H571" t="str">
            <v>P&amp;G Line</v>
          </cell>
          <cell r="I571" t="str">
            <v>Rep517</v>
          </cell>
          <cell r="J571" t="str">
            <v>MR</v>
          </cell>
          <cell r="K571" t="str">
            <v>Upper Egypt</v>
          </cell>
          <cell r="L571" t="str">
            <v> 01200919670</v>
          </cell>
          <cell r="M571">
            <v>44877</v>
          </cell>
        </row>
        <row r="571">
          <cell r="O571">
            <v>1022</v>
          </cell>
          <cell r="P571" t="str">
            <v>Assuit City</v>
          </cell>
        </row>
        <row r="572">
          <cell r="D572" t="str">
            <v>Hazem Mohamed Kamel</v>
          </cell>
          <cell r="E572" t="str">
            <v>David Thabet Mehanni</v>
          </cell>
          <cell r="F572" t="str">
            <v>Mohamed AbdelSabor Madany</v>
          </cell>
          <cell r="G572" t="str">
            <v>Abdallah Gamal Elsayed</v>
          </cell>
          <cell r="H572" t="str">
            <v>P&amp;G Line</v>
          </cell>
          <cell r="I572" t="str">
            <v>Rep10007</v>
          </cell>
          <cell r="J572" t="str">
            <v>MR</v>
          </cell>
          <cell r="K572" t="str">
            <v>Upper Egypt</v>
          </cell>
          <cell r="L572">
            <v>1032454210</v>
          </cell>
          <cell r="M572">
            <v>45467</v>
          </cell>
        </row>
        <row r="572">
          <cell r="O572">
            <v>1401</v>
          </cell>
          <cell r="P572" t="str">
            <v>Fayoum City</v>
          </cell>
        </row>
        <row r="573">
          <cell r="D573" t="str">
            <v>Mariet Atef Shafeak</v>
          </cell>
          <cell r="E573" t="str">
            <v>David Thabet Mehanni</v>
          </cell>
          <cell r="F573" t="str">
            <v>Mohamed AbdelSabor Madany</v>
          </cell>
          <cell r="G573" t="str">
            <v>Abdallah Gamal Elsayed</v>
          </cell>
          <cell r="H573" t="str">
            <v>P&amp;G Line</v>
          </cell>
          <cell r="I573" t="str">
            <v>Rep518</v>
          </cell>
          <cell r="J573" t="str">
            <v>MR</v>
          </cell>
          <cell r="K573" t="str">
            <v>Upper Egypt</v>
          </cell>
          <cell r="L573" t="str">
            <v> 01090936290</v>
          </cell>
          <cell r="M573">
            <v>44878</v>
          </cell>
        </row>
        <row r="573">
          <cell r="O573">
            <v>1023</v>
          </cell>
          <cell r="P573" t="str">
            <v>Assuit City</v>
          </cell>
        </row>
        <row r="574">
          <cell r="D574" t="str">
            <v>Mina Adel Zaki</v>
          </cell>
          <cell r="E574" t="str">
            <v>David Thabet Mehanni</v>
          </cell>
          <cell r="F574" t="str">
            <v>Mohamed AbdelSabor Madany</v>
          </cell>
          <cell r="G574" t="str">
            <v>Abdallah Gamal Elsayed</v>
          </cell>
          <cell r="H574" t="str">
            <v>P&amp;G Line</v>
          </cell>
          <cell r="I574" t="str">
            <v>Rep100104</v>
          </cell>
          <cell r="J574" t="str">
            <v>MR</v>
          </cell>
          <cell r="K574" t="str">
            <v>Upper Egypt</v>
          </cell>
          <cell r="L574">
            <v>1228718121</v>
          </cell>
          <cell r="M574">
            <v>45676</v>
          </cell>
        </row>
        <row r="574">
          <cell r="O574">
            <v>1504</v>
          </cell>
          <cell r="P574" t="str">
            <v>Assuit City</v>
          </cell>
        </row>
        <row r="575">
          <cell r="D575" t="str">
            <v>Mohamed Ibrahim Abdelrazek</v>
          </cell>
          <cell r="E575" t="str">
            <v>David Thabet Mehanni</v>
          </cell>
          <cell r="F575" t="str">
            <v>Mohamed AbdelSabor Madany</v>
          </cell>
          <cell r="G575" t="str">
            <v>Abdallah Gamal Elsayed</v>
          </cell>
          <cell r="H575" t="str">
            <v>P&amp;G Line</v>
          </cell>
          <cell r="I575" t="str">
            <v>Rep1105</v>
          </cell>
          <cell r="J575" t="str">
            <v>MR</v>
          </cell>
          <cell r="K575" t="str">
            <v>Upper Egypt</v>
          </cell>
          <cell r="L575">
            <v>1551050502</v>
          </cell>
          <cell r="M575">
            <v>45871</v>
          </cell>
        </row>
        <row r="575">
          <cell r="O575">
            <v>1722</v>
          </cell>
          <cell r="P575" t="str">
            <v>Bani Swaif City</v>
          </cell>
        </row>
        <row r="576">
          <cell r="D576" t="str">
            <v>Verina Faragallah Shawqi</v>
          </cell>
          <cell r="E576" t="str">
            <v>David Thabet Mehanni</v>
          </cell>
          <cell r="F576" t="str">
            <v>Mohamed AbdelSabor Madany</v>
          </cell>
          <cell r="G576" t="str">
            <v>Abdallah Gamal Elsayed</v>
          </cell>
          <cell r="H576" t="str">
            <v>P&amp;G Line</v>
          </cell>
          <cell r="I576" t="str">
            <v>Rep100014</v>
          </cell>
          <cell r="J576" t="str">
            <v>MR</v>
          </cell>
          <cell r="K576" t="str">
            <v>Upper Egypt</v>
          </cell>
          <cell r="L576">
            <v>1281263048</v>
          </cell>
          <cell r="M576">
            <v>45509</v>
          </cell>
        </row>
        <row r="576">
          <cell r="O576">
            <v>1413</v>
          </cell>
          <cell r="P576" t="str">
            <v>Samalout</v>
          </cell>
        </row>
        <row r="577">
          <cell r="D577" t="str">
            <v>L4_Vacant_Upper Egypt 2</v>
          </cell>
        </row>
        <row r="577">
          <cell r="F577" t="str">
            <v>Mohamed AbdelSabor Madany</v>
          </cell>
          <cell r="G577" t="str">
            <v>Abdallah Gamal Elsayed</v>
          </cell>
          <cell r="H577" t="str">
            <v>P&amp;G Line</v>
          </cell>
          <cell r="I577" t="str">
            <v>DM_1006</v>
          </cell>
          <cell r="J577" t="str">
            <v>DM</v>
          </cell>
          <cell r="K577" t="str">
            <v>Upper Egypt</v>
          </cell>
        </row>
        <row r="577">
          <cell r="O577">
            <v>0</v>
          </cell>
        </row>
        <row r="578">
          <cell r="D578" t="str">
            <v>Ali Ragab Ahmed</v>
          </cell>
          <cell r="E578" t="str">
            <v>L4_Vacant_Upper Egypt 2</v>
          </cell>
          <cell r="F578" t="str">
            <v>Mohamed AbdelSabor Madany</v>
          </cell>
          <cell r="G578" t="str">
            <v>Abdallah Gamal Elsayed</v>
          </cell>
          <cell r="H578" t="str">
            <v>P&amp;G Line</v>
          </cell>
          <cell r="I578" t="str">
            <v>Rep6101</v>
          </cell>
          <cell r="J578" t="str">
            <v>MR</v>
          </cell>
          <cell r="K578" t="str">
            <v>Upper Egypt</v>
          </cell>
          <cell r="L578">
            <v>1061048527</v>
          </cell>
          <cell r="M578">
            <v>45566</v>
          </cell>
        </row>
        <row r="578">
          <cell r="O578">
            <v>1448</v>
          </cell>
          <cell r="P578" t="str">
            <v>Quena City</v>
          </cell>
        </row>
        <row r="579">
          <cell r="D579" t="str">
            <v>Doaa Mohamed Saad Moustafa</v>
          </cell>
          <cell r="E579" t="str">
            <v>L4_Vacant_Upper Egypt 2</v>
          </cell>
          <cell r="F579" t="str">
            <v>Mohamed AbdelSabor Madany</v>
          </cell>
          <cell r="G579" t="str">
            <v>Abdallah Gamal Elsayed</v>
          </cell>
          <cell r="H579" t="str">
            <v>P&amp;G Line</v>
          </cell>
          <cell r="I579" t="str">
            <v>Rep1115</v>
          </cell>
          <cell r="J579" t="str">
            <v>MR</v>
          </cell>
          <cell r="K579" t="str">
            <v>Upper Egypt</v>
          </cell>
          <cell r="L579">
            <v>1095167489</v>
          </cell>
          <cell r="M579">
            <v>45941</v>
          </cell>
        </row>
        <row r="579">
          <cell r="O579">
            <v>1770</v>
          </cell>
          <cell r="P579" t="str">
            <v>Sohag City</v>
          </cell>
        </row>
        <row r="580">
          <cell r="D580" t="str">
            <v>Esraa Mohamed AbdelWahab</v>
          </cell>
          <cell r="E580" t="str">
            <v>L4_Vacant_Upper Egypt 2</v>
          </cell>
          <cell r="F580" t="str">
            <v>Mohamed AbdelSabor Madany</v>
          </cell>
          <cell r="G580" t="str">
            <v>Abdallah Gamal Elsayed</v>
          </cell>
          <cell r="H580" t="str">
            <v>P&amp;G Line</v>
          </cell>
          <cell r="I580" t="str">
            <v>Rep10014</v>
          </cell>
          <cell r="J580" t="str">
            <v>MR</v>
          </cell>
          <cell r="K580" t="str">
            <v>Upper Egypt</v>
          </cell>
          <cell r="L580">
            <v>1011260873</v>
          </cell>
          <cell r="M580">
            <v>45493</v>
          </cell>
        </row>
        <row r="580">
          <cell r="O580">
            <v>1409</v>
          </cell>
          <cell r="P580" t="str">
            <v>Luxor City</v>
          </cell>
        </row>
        <row r="581">
          <cell r="D581" t="str">
            <v>Felopateer Yousef Melad</v>
          </cell>
          <cell r="E581" t="str">
            <v>L4_Vacant_Upper Egypt 2</v>
          </cell>
          <cell r="F581" t="str">
            <v>Mohamed AbdelSabor Madany</v>
          </cell>
          <cell r="G581" t="str">
            <v>Abdallah Gamal Elsayed</v>
          </cell>
          <cell r="H581" t="str">
            <v>P&amp;G Line</v>
          </cell>
          <cell r="I581" t="str">
            <v>Rep100016</v>
          </cell>
          <cell r="J581" t="str">
            <v>MR</v>
          </cell>
          <cell r="K581" t="str">
            <v>Upper Egypt</v>
          </cell>
          <cell r="L581">
            <v>1282084773</v>
          </cell>
          <cell r="M581">
            <v>45505</v>
          </cell>
        </row>
        <row r="581">
          <cell r="O581">
            <v>1414</v>
          </cell>
          <cell r="P581" t="str">
            <v>Aswan City</v>
          </cell>
        </row>
        <row r="582">
          <cell r="D582" t="str">
            <v>L4_Vacant_Sohag 1</v>
          </cell>
          <cell r="E582" t="str">
            <v>L4_Vacant_Upper Egypt 2</v>
          </cell>
          <cell r="F582" t="str">
            <v>Mohamed AbdelSabor Madany</v>
          </cell>
          <cell r="G582" t="str">
            <v>Abdallah Gamal Elsayed</v>
          </cell>
          <cell r="H582" t="str">
            <v>P&amp;G Line</v>
          </cell>
          <cell r="I582" t="str">
            <v>Rep100023</v>
          </cell>
          <cell r="J582" t="str">
            <v>MR</v>
          </cell>
          <cell r="K582" t="str">
            <v>Upper Egypt</v>
          </cell>
        </row>
        <row r="582">
          <cell r="O582">
            <v>0</v>
          </cell>
        </row>
        <row r="583">
          <cell r="D583" t="str">
            <v>Mena Morkos Alfy</v>
          </cell>
          <cell r="E583" t="str">
            <v>L4_Vacant_Upper Egypt 2</v>
          </cell>
          <cell r="F583" t="str">
            <v>Mohamed AbdelSabor Madany</v>
          </cell>
          <cell r="G583" t="str">
            <v>Abdallah Gamal Elsayed</v>
          </cell>
          <cell r="H583" t="str">
            <v>P&amp;G Line</v>
          </cell>
          <cell r="I583" t="str">
            <v>Rep100100</v>
          </cell>
          <cell r="J583" t="str">
            <v>MR</v>
          </cell>
          <cell r="K583" t="str">
            <v>Upper Egypt</v>
          </cell>
          <cell r="L583">
            <v>1552992067</v>
          </cell>
          <cell r="M583">
            <v>45675</v>
          </cell>
        </row>
        <row r="583">
          <cell r="O583">
            <v>1500</v>
          </cell>
          <cell r="P583" t="str">
            <v>Gerga</v>
          </cell>
        </row>
        <row r="584">
          <cell r="D584" t="str">
            <v>Poula Makeen Zaki Kadies</v>
          </cell>
          <cell r="E584" t="str">
            <v>L4_Vacant_Upper Egypt 2</v>
          </cell>
          <cell r="F584" t="str">
            <v>Mohamed AbdelSabor Madany</v>
          </cell>
          <cell r="G584" t="str">
            <v>Abdallah Gamal Elsayed</v>
          </cell>
          <cell r="H584" t="str">
            <v>P&amp;G Line</v>
          </cell>
          <cell r="I584" t="str">
            <v>Rep0001</v>
          </cell>
          <cell r="J584" t="str">
            <v>MR</v>
          </cell>
          <cell r="K584" t="str">
            <v>Upper Egypt</v>
          </cell>
          <cell r="L584">
            <v>1281967548</v>
          </cell>
          <cell r="M584">
            <v>45318</v>
          </cell>
        </row>
        <row r="584">
          <cell r="O584">
            <v>1333</v>
          </cell>
          <cell r="P584" t="str">
            <v>Nagaa Hamady</v>
          </cell>
        </row>
        <row r="585">
          <cell r="D585" t="str">
            <v>Mohamed Sayed Elgendy</v>
          </cell>
        </row>
        <row r="585">
          <cell r="G585" t="str">
            <v>BU7</v>
          </cell>
          <cell r="H585" t="str">
            <v>Mega Account Line</v>
          </cell>
          <cell r="I585" t="str">
            <v>DM_40</v>
          </cell>
          <cell r="J585" t="str">
            <v>Market Access Manager</v>
          </cell>
        </row>
        <row r="585">
          <cell r="L585">
            <v>0</v>
          </cell>
          <cell r="M585">
            <v>42345</v>
          </cell>
          <cell r="N585" t="str">
            <v>mohamed.elgendy@averroes-eg.com</v>
          </cell>
          <cell r="O585">
            <v>120</v>
          </cell>
          <cell r="P585" t="str">
            <v>Badr City</v>
          </cell>
        </row>
        <row r="586">
          <cell r="D586" t="str">
            <v>L10_Vacant_DM</v>
          </cell>
        </row>
        <row r="586">
          <cell r="F586" t="str">
            <v>Mohamed Sayed Elgendy</v>
          </cell>
          <cell r="G586" t="str">
            <v>BU7</v>
          </cell>
          <cell r="H586" t="str">
            <v>Mega Account Line</v>
          </cell>
          <cell r="I586" t="str">
            <v>DM_0011</v>
          </cell>
          <cell r="J586" t="str">
            <v>Key Account Specialist </v>
          </cell>
        </row>
        <row r="586">
          <cell r="O586">
            <v>0</v>
          </cell>
        </row>
        <row r="587">
          <cell r="D587" t="str">
            <v>Ahmed Talaat Hussein</v>
          </cell>
          <cell r="E587" t="str">
            <v>L10_Vacant_DM</v>
          </cell>
          <cell r="F587" t="str">
            <v>Mohamed Sayed Elgendy</v>
          </cell>
          <cell r="G587" t="str">
            <v>BU7</v>
          </cell>
          <cell r="H587" t="str">
            <v>Mega Account Line</v>
          </cell>
          <cell r="I587" t="str">
            <v>Rep10011</v>
          </cell>
          <cell r="J587" t="str">
            <v>Key Account Specialist </v>
          </cell>
        </row>
        <row r="587">
          <cell r="L587">
            <v>1553333935</v>
          </cell>
          <cell r="M587">
            <v>45187</v>
          </cell>
        </row>
        <row r="587">
          <cell r="O587">
            <v>1273</v>
          </cell>
        </row>
        <row r="588">
          <cell r="D588" t="str">
            <v>Kareema Nasser Yousef</v>
          </cell>
          <cell r="E588" t="str">
            <v>L10_Vacant_DM</v>
          </cell>
          <cell r="F588" t="str">
            <v>Mohamed Sayed Elgendy</v>
          </cell>
          <cell r="G588" t="str">
            <v>BU7</v>
          </cell>
          <cell r="H588" t="str">
            <v>Mega Account Line</v>
          </cell>
          <cell r="I588" t="str">
            <v>Rep247</v>
          </cell>
          <cell r="J588" t="str">
            <v>Key Account Specialist </v>
          </cell>
        </row>
        <row r="588">
          <cell r="L588" t="str">
            <v> 1030814333</v>
          </cell>
          <cell r="M588">
            <v>43326</v>
          </cell>
        </row>
        <row r="588">
          <cell r="O588">
            <v>334</v>
          </cell>
          <cell r="P588" t="str">
            <v>El Qabary</v>
          </cell>
        </row>
        <row r="589">
          <cell r="D589" t="str">
            <v>L10_Vacant_MR3</v>
          </cell>
          <cell r="E589" t="str">
            <v>L10_Vacant_DM</v>
          </cell>
          <cell r="F589" t="str">
            <v>Mohamed Sayed Elgendy</v>
          </cell>
          <cell r="G589" t="str">
            <v>BU7</v>
          </cell>
          <cell r="H589" t="str">
            <v>Mega Account Line</v>
          </cell>
          <cell r="I589" t="str">
            <v>AVR_53</v>
          </cell>
          <cell r="J589" t="str">
            <v>Key Account Specialist </v>
          </cell>
        </row>
        <row r="589">
          <cell r="O589">
            <v>0</v>
          </cell>
        </row>
        <row r="590">
          <cell r="D590" t="str">
            <v>Nada Ayman Abdeen</v>
          </cell>
          <cell r="E590" t="str">
            <v>L10_Vacant_DM</v>
          </cell>
          <cell r="F590" t="str">
            <v>Mohamed Sayed Elgendy</v>
          </cell>
          <cell r="G590" t="str">
            <v>BU7</v>
          </cell>
          <cell r="H590" t="str">
            <v>Mega Account Line</v>
          </cell>
          <cell r="I590" t="str">
            <v>Rep_00060</v>
          </cell>
          <cell r="J590" t="str">
            <v>Key Account Specialist </v>
          </cell>
        </row>
        <row r="590">
          <cell r="L590">
            <v>1116696270</v>
          </cell>
          <cell r="M590">
            <v>45852</v>
          </cell>
        </row>
        <row r="590">
          <cell r="O590">
            <v>1710</v>
          </cell>
          <cell r="P590" t="str">
            <v>El Sheikh Zayed</v>
          </cell>
        </row>
        <row r="591">
          <cell r="D591" t="str">
            <v>Nour Alaa Mohamed</v>
          </cell>
          <cell r="E591" t="str">
            <v>L10_Vacant_DM</v>
          </cell>
          <cell r="F591" t="str">
            <v>Mohamed Sayed Elgendy</v>
          </cell>
          <cell r="G591" t="str">
            <v>BU7</v>
          </cell>
          <cell r="H591" t="str">
            <v>Mega Account Line</v>
          </cell>
          <cell r="I591" t="str">
            <v>Rep_00134</v>
          </cell>
          <cell r="J591" t="str">
            <v>Key Account Specialist </v>
          </cell>
        </row>
        <row r="591">
          <cell r="L591">
            <v>1121462985</v>
          </cell>
          <cell r="M591">
            <v>45992</v>
          </cell>
        </row>
        <row r="591">
          <cell r="O591">
            <v>1817</v>
          </cell>
          <cell r="P591" t="str">
            <v>El marg</v>
          </cell>
        </row>
        <row r="592">
          <cell r="D592" t="str">
            <v>Sara Samir Shouhdy Nagib</v>
          </cell>
          <cell r="E592" t="str">
            <v>L10_Vacant_DM</v>
          </cell>
          <cell r="F592" t="str">
            <v>Mohamed Sayed Elgendy</v>
          </cell>
          <cell r="G592" t="str">
            <v>BU7</v>
          </cell>
          <cell r="H592" t="str">
            <v>Mega Account Line</v>
          </cell>
          <cell r="I592" t="str">
            <v>AVR_52</v>
          </cell>
          <cell r="J592" t="str">
            <v>Key Account Specialist </v>
          </cell>
        </row>
        <row r="592">
          <cell r="L592">
            <v>1221908617</v>
          </cell>
          <cell r="M592">
            <v>45675</v>
          </cell>
        </row>
        <row r="592">
          <cell r="O592">
            <v>1556</v>
          </cell>
          <cell r="P592" t="str">
            <v>Hadaek El Kobbah</v>
          </cell>
        </row>
        <row r="593">
          <cell r="D593" t="str">
            <v>L12_Vacant_AM</v>
          </cell>
        </row>
        <row r="593">
          <cell r="H593" t="str">
            <v>Distribution Line</v>
          </cell>
        </row>
        <row r="593">
          <cell r="J593" t="str">
            <v>Sales SV</v>
          </cell>
        </row>
        <row r="593">
          <cell r="O593">
            <v>0</v>
          </cell>
        </row>
        <row r="594">
          <cell r="D594" t="str">
            <v>Mohamed Kamel Mostafa</v>
          </cell>
        </row>
        <row r="594">
          <cell r="F594" t="str">
            <v>L12_Vacant_AM</v>
          </cell>
          <cell r="G594" t="str">
            <v>Islam Mohamed Elsayed</v>
          </cell>
          <cell r="H594" t="str">
            <v>Distribution Line</v>
          </cell>
          <cell r="I594" t="str">
            <v>DM_1029</v>
          </cell>
          <cell r="J594" t="str">
            <v>Sales SV</v>
          </cell>
        </row>
        <row r="594">
          <cell r="L594">
            <v>1146853681</v>
          </cell>
          <cell r="M594">
            <v>46092</v>
          </cell>
        </row>
        <row r="594">
          <cell r="O594">
            <v>1903</v>
          </cell>
          <cell r="P594" t="str">
            <v>Kafr El zayat</v>
          </cell>
        </row>
        <row r="595">
          <cell r="D595" t="str">
            <v>Mostafa Gamal Mousa Nasr</v>
          </cell>
          <cell r="E595" t="str">
            <v>Mohamed Kamel Mostafa</v>
          </cell>
          <cell r="F595" t="str">
            <v>L12_Vacant_AM</v>
          </cell>
          <cell r="G595" t="str">
            <v>Islam Mohamed Elsayed</v>
          </cell>
          <cell r="H595" t="str">
            <v>Distribution Line</v>
          </cell>
          <cell r="I595" t="str">
            <v>Rep_00110</v>
          </cell>
          <cell r="J595" t="str">
            <v>Sales Rep</v>
          </cell>
        </row>
        <row r="595">
          <cell r="L595">
            <v>1021683306</v>
          </cell>
          <cell r="M595">
            <v>46130</v>
          </cell>
        </row>
        <row r="595">
          <cell r="O595">
            <v>1943</v>
          </cell>
          <cell r="P595" t="str">
            <v>El Bagour</v>
          </cell>
        </row>
        <row r="596">
          <cell r="D596" t="str">
            <v>Alaa Adel Elsayed</v>
          </cell>
          <cell r="E596" t="str">
            <v>Mohamed Kamel Mostafa</v>
          </cell>
          <cell r="F596" t="str">
            <v>L12_Vacant_AM</v>
          </cell>
          <cell r="G596" t="str">
            <v>Islam Mohamed Elsayed</v>
          </cell>
          <cell r="H596" t="str">
            <v>Distribution Line</v>
          </cell>
          <cell r="I596" t="str">
            <v>Rep_00111</v>
          </cell>
          <cell r="J596" t="str">
            <v>Sales Rep</v>
          </cell>
        </row>
        <row r="596">
          <cell r="L596">
            <v>1004262805</v>
          </cell>
          <cell r="M596">
            <v>46092</v>
          </cell>
        </row>
        <row r="596">
          <cell r="O596">
            <v>1901</v>
          </cell>
          <cell r="P596" t="str">
            <v>Sidi Ghazy Kafr El Sheikh</v>
          </cell>
        </row>
        <row r="597">
          <cell r="D597" t="str">
            <v>L12_Vacant_Distribution 9</v>
          </cell>
          <cell r="E597" t="str">
            <v>Mohamed Kamel Mostafa</v>
          </cell>
          <cell r="F597" t="str">
            <v>L12_Vacant_AM</v>
          </cell>
          <cell r="G597" t="str">
            <v>Islam Mohamed Elsayed</v>
          </cell>
          <cell r="H597" t="str">
            <v>Distribution Line</v>
          </cell>
          <cell r="I597" t="str">
            <v>Rep_00118</v>
          </cell>
          <cell r="J597" t="str">
            <v>Sales Rep</v>
          </cell>
        </row>
        <row r="597">
          <cell r="O597">
            <v>0</v>
          </cell>
        </row>
        <row r="598">
          <cell r="D598" t="str">
            <v>Mohamed Essam Ahmed Ali  Behery</v>
          </cell>
          <cell r="E598" t="str">
            <v>Mohamed Kamel Mostafa</v>
          </cell>
          <cell r="F598" t="str">
            <v>L12_Vacant_AM</v>
          </cell>
          <cell r="G598" t="str">
            <v>Islam Mohamed Elsayed</v>
          </cell>
          <cell r="H598" t="str">
            <v>Distribution Line</v>
          </cell>
          <cell r="I598" t="str">
            <v>Rep_00112</v>
          </cell>
          <cell r="J598" t="str">
            <v>Sales Rep</v>
          </cell>
        </row>
        <row r="598">
          <cell r="L598">
            <v>1505491311</v>
          </cell>
          <cell r="M598">
            <v>45944</v>
          </cell>
        </row>
        <row r="598">
          <cell r="O598">
            <v>1772</v>
          </cell>
        </row>
        <row r="599">
          <cell r="D599" t="str">
            <v>Bilal Nabil Ghoneim</v>
          </cell>
          <cell r="E599" t="str">
            <v>Mohamed Kamel Mostafa</v>
          </cell>
          <cell r="F599" t="str">
            <v>L12_Vacant_AM</v>
          </cell>
          <cell r="G599" t="str">
            <v>Islam Mohamed Elsayed</v>
          </cell>
          <cell r="H599" t="str">
            <v>Distribution Line</v>
          </cell>
          <cell r="I599" t="str">
            <v>Rep1029</v>
          </cell>
          <cell r="J599" t="str">
            <v>Sales Rep</v>
          </cell>
        </row>
        <row r="599">
          <cell r="L599">
            <v>1094331617</v>
          </cell>
          <cell r="M599">
            <v>46026</v>
          </cell>
        </row>
        <row r="599">
          <cell r="O599">
            <v>1831</v>
          </cell>
          <cell r="P599" t="str">
            <v>Domiat</v>
          </cell>
        </row>
        <row r="600">
          <cell r="D600" t="str">
            <v>L12_Vacant_Distribution 4</v>
          </cell>
          <cell r="E600" t="str">
            <v>Mohamed Kamel Mostafa</v>
          </cell>
          <cell r="F600" t="str">
            <v>L12_Vacant_AM</v>
          </cell>
          <cell r="G600" t="str">
            <v>Islam Mohamed Elsayed</v>
          </cell>
          <cell r="H600" t="str">
            <v>Distribution Line</v>
          </cell>
          <cell r="I600" t="str">
            <v>Rep_00107</v>
          </cell>
          <cell r="J600" t="str">
            <v>Sales Rep</v>
          </cell>
        </row>
        <row r="600">
          <cell r="O600">
            <v>0</v>
          </cell>
        </row>
        <row r="601">
          <cell r="D601" t="str">
            <v>Mohamed Abdelmageid Abdallah Abokota</v>
          </cell>
          <cell r="E601" t="str">
            <v>Mohamed Kamel Mostafa</v>
          </cell>
          <cell r="F601" t="str">
            <v>L12_Vacant_AM</v>
          </cell>
          <cell r="G601" t="str">
            <v>Islam Mohamed Elsayed</v>
          </cell>
          <cell r="H601" t="str">
            <v>Distribution Line</v>
          </cell>
          <cell r="I601" t="str">
            <v>Rep_00108</v>
          </cell>
          <cell r="J601" t="str">
            <v>Sales Rep</v>
          </cell>
        </row>
        <row r="601">
          <cell r="L601">
            <v>1283454778</v>
          </cell>
          <cell r="M601">
            <v>45944</v>
          </cell>
        </row>
        <row r="601">
          <cell r="O601">
            <v>1774</v>
          </cell>
        </row>
        <row r="602">
          <cell r="D602" t="str">
            <v>L12_Vacant_DM 2</v>
          </cell>
        </row>
        <row r="602">
          <cell r="F602" t="str">
            <v>L12_Vacant_AM</v>
          </cell>
          <cell r="G602" t="str">
            <v>Islam Mohamed Elsayed</v>
          </cell>
          <cell r="H602" t="str">
            <v>Distribution Line</v>
          </cell>
        </row>
        <row r="602">
          <cell r="J602" t="str">
            <v>Sales SV</v>
          </cell>
        </row>
        <row r="602">
          <cell r="O602">
            <v>0</v>
          </cell>
        </row>
        <row r="603">
          <cell r="D603" t="str">
            <v>Magdy Mahfouz Gendi</v>
          </cell>
          <cell r="E603" t="str">
            <v>L12_Vacant_DM 2</v>
          </cell>
          <cell r="F603" t="str">
            <v>L12_Vacant_AM</v>
          </cell>
          <cell r="G603" t="str">
            <v>Islam Mohamed Elsayed</v>
          </cell>
          <cell r="H603" t="str">
            <v>Distribution Line</v>
          </cell>
        </row>
        <row r="603">
          <cell r="J603" t="str">
            <v>Sales Rep</v>
          </cell>
        </row>
        <row r="603">
          <cell r="L603" t="str">
            <v> 01224741224</v>
          </cell>
          <cell r="M603">
            <v>44966</v>
          </cell>
        </row>
        <row r="603">
          <cell r="O603">
            <v>1192</v>
          </cell>
        </row>
        <row r="604">
          <cell r="D604" t="str">
            <v>Mahmoud Fathy Hussin moustafa</v>
          </cell>
        </row>
        <row r="604">
          <cell r="F604" t="str">
            <v>L12_Vacant_AM</v>
          </cell>
          <cell r="G604" t="str">
            <v>Islam Mohamed Elsayed</v>
          </cell>
          <cell r="H604" t="str">
            <v>Distribution Line</v>
          </cell>
          <cell r="I604" t="str">
            <v>DM_1028</v>
          </cell>
          <cell r="J604" t="str">
            <v>Sales SV</v>
          </cell>
        </row>
        <row r="604">
          <cell r="L604">
            <v>1069606665</v>
          </cell>
          <cell r="M604">
            <v>45943</v>
          </cell>
        </row>
        <row r="604">
          <cell r="O604">
            <v>1773</v>
          </cell>
        </row>
        <row r="605">
          <cell r="D605" t="str">
            <v>Ahmed Mehany Mahmoud</v>
          </cell>
          <cell r="E605" t="str">
            <v>Mahmoud Fathy Hussin moustafa</v>
          </cell>
          <cell r="F605" t="str">
            <v>L12_Vacant_AM</v>
          </cell>
          <cell r="G605" t="str">
            <v>Islam Mohamed Elsayed</v>
          </cell>
          <cell r="H605" t="str">
            <v>Distribution Line</v>
          </cell>
          <cell r="I605" t="str">
            <v>Rep1031</v>
          </cell>
          <cell r="J605" t="str">
            <v>Sales Rep</v>
          </cell>
        </row>
        <row r="605">
          <cell r="L605">
            <v>1119888700</v>
          </cell>
          <cell r="M605">
            <v>46025</v>
          </cell>
        </row>
        <row r="605">
          <cell r="O605">
            <v>1830</v>
          </cell>
          <cell r="P605" t="str">
            <v>Malawy</v>
          </cell>
        </row>
        <row r="606">
          <cell r="D606" t="str">
            <v>L12_Vacant_Distribution 5</v>
          </cell>
          <cell r="E606" t="str">
            <v>Mahmoud Fathy Hussin moustafa</v>
          </cell>
          <cell r="F606" t="str">
            <v>L12_Vacant_AM</v>
          </cell>
          <cell r="G606" t="str">
            <v>Islam Mohamed Elsayed</v>
          </cell>
          <cell r="H606" t="str">
            <v>Distribution Line</v>
          </cell>
          <cell r="I606" t="str">
            <v>Rep_00115</v>
          </cell>
          <cell r="J606" t="str">
            <v>Sales Rep</v>
          </cell>
        </row>
        <row r="606">
          <cell r="O606">
            <v>0</v>
          </cell>
        </row>
        <row r="607">
          <cell r="D607" t="str">
            <v>Mohamed Kadry AbdulAziz Mohamed</v>
          </cell>
          <cell r="E607" t="str">
            <v>Mahmoud Fathy Hussin moustafa</v>
          </cell>
          <cell r="F607" t="str">
            <v>L12_Vacant_AM</v>
          </cell>
          <cell r="G607" t="str">
            <v>Islam Mohamed Elsayed</v>
          </cell>
          <cell r="H607" t="str">
            <v>Distribution Line</v>
          </cell>
          <cell r="I607" t="str">
            <v>Rep_00119</v>
          </cell>
          <cell r="J607" t="str">
            <v>Sales Rep</v>
          </cell>
        </row>
        <row r="607">
          <cell r="L607">
            <v>1066576566</v>
          </cell>
          <cell r="M607">
            <v>45963</v>
          </cell>
        </row>
        <row r="607">
          <cell r="O607">
            <v>1788</v>
          </cell>
        </row>
        <row r="608">
          <cell r="D608" t="str">
            <v>Mohamed Mahmoud Ahmed Mohamed</v>
          </cell>
          <cell r="E608" t="str">
            <v>Mahmoud Fathy Hussin moustafa</v>
          </cell>
          <cell r="F608" t="str">
            <v>L12_Vacant_AM</v>
          </cell>
          <cell r="G608" t="str">
            <v>Islam Mohamed Elsayed</v>
          </cell>
          <cell r="H608" t="str">
            <v>Distribution Line</v>
          </cell>
          <cell r="I608" t="str">
            <v>Rep_00114</v>
          </cell>
          <cell r="J608" t="str">
            <v>Sales Rep</v>
          </cell>
        </row>
        <row r="608">
          <cell r="L608">
            <v>1018648886</v>
          </cell>
          <cell r="M608">
            <v>45963</v>
          </cell>
        </row>
        <row r="608">
          <cell r="O608">
            <v>1789</v>
          </cell>
        </row>
        <row r="609">
          <cell r="D609" t="str">
            <v>Sameh Salah Shehata</v>
          </cell>
          <cell r="E609" t="str">
            <v>Mahmoud Fathy Hussin moustafa</v>
          </cell>
          <cell r="F609" t="str">
            <v>L12_Vacant_AM</v>
          </cell>
          <cell r="G609" t="str">
            <v>Islam Mohamed Elsayed</v>
          </cell>
          <cell r="H609" t="str">
            <v>Distribution Line</v>
          </cell>
          <cell r="I609" t="str">
            <v>Rep00071</v>
          </cell>
          <cell r="J609" t="str">
            <v>Sales Rep</v>
          </cell>
        </row>
        <row r="609">
          <cell r="L609">
            <v>1212146490</v>
          </cell>
          <cell r="M609">
            <v>45832</v>
          </cell>
        </row>
        <row r="609">
          <cell r="O609">
            <v>1715</v>
          </cell>
        </row>
        <row r="610">
          <cell r="D610" t="str">
            <v>Mahmoud Ramadan Abdallah</v>
          </cell>
        </row>
        <row r="610">
          <cell r="F610" t="str">
            <v>L12_Vacant_AM</v>
          </cell>
          <cell r="G610" t="str">
            <v>Islam Mohamed Elsayed</v>
          </cell>
          <cell r="H610" t="str">
            <v>Distribution Line</v>
          </cell>
          <cell r="I610" t="str">
            <v>DM_1027</v>
          </cell>
          <cell r="J610" t="str">
            <v>Sales SV</v>
          </cell>
        </row>
        <row r="610">
          <cell r="L610">
            <v>1033776652</v>
          </cell>
          <cell r="M610">
            <v>45963</v>
          </cell>
        </row>
        <row r="610">
          <cell r="O610">
            <v>1786</v>
          </cell>
        </row>
        <row r="611">
          <cell r="D611" t="str">
            <v>Atef Ahmed Mohamed</v>
          </cell>
          <cell r="E611" t="str">
            <v>Mahmoud Ramadan Abdallah</v>
          </cell>
          <cell r="F611" t="str">
            <v>L12_Vacant_AM</v>
          </cell>
          <cell r="G611" t="str">
            <v>Islam Mohamed Elsayed</v>
          </cell>
          <cell r="H611" t="str">
            <v>Distribution Line</v>
          </cell>
          <cell r="I611" t="str">
            <v>Rep00069</v>
          </cell>
          <cell r="J611" t="str">
            <v>Sales Rep</v>
          </cell>
        </row>
        <row r="611">
          <cell r="L611">
            <v>1097697093</v>
          </cell>
          <cell r="M611">
            <v>45832</v>
          </cell>
        </row>
        <row r="611">
          <cell r="O611">
            <v>1717</v>
          </cell>
        </row>
        <row r="612">
          <cell r="D612" t="str">
            <v>Khaled Hamdy AbdeLhalim Ibrahim</v>
          </cell>
          <cell r="E612" t="str">
            <v>Mahmoud Ramadan Abdallah</v>
          </cell>
          <cell r="F612" t="str">
            <v>L12_Vacant_AM</v>
          </cell>
          <cell r="G612" t="str">
            <v>Islam Mohamed Elsayed</v>
          </cell>
          <cell r="H612" t="str">
            <v>Distribution Line</v>
          </cell>
          <cell r="I612" t="str">
            <v>Rep_00113</v>
          </cell>
          <cell r="J612" t="str">
            <v>Sales Rep</v>
          </cell>
        </row>
        <row r="612">
          <cell r="L612">
            <v>1115309015</v>
          </cell>
          <cell r="M612">
            <v>46130</v>
          </cell>
        </row>
        <row r="612">
          <cell r="O612">
            <v>1942</v>
          </cell>
          <cell r="P612" t="str">
            <v>El Kanater El Khairia</v>
          </cell>
        </row>
        <row r="613">
          <cell r="D613" t="str">
            <v>mekhaiel moheb nageeab</v>
          </cell>
          <cell r="E613" t="str">
            <v>Mahmoud Ramadan Abdallah</v>
          </cell>
          <cell r="F613" t="str">
            <v>L12_Vacant_AM</v>
          </cell>
          <cell r="G613" t="str">
            <v>Islam Mohamed Elsayed</v>
          </cell>
          <cell r="H613" t="str">
            <v>Distribution Line</v>
          </cell>
          <cell r="I613" t="str">
            <v>Rep_00106</v>
          </cell>
          <cell r="J613" t="str">
            <v>Sales Rep</v>
          </cell>
        </row>
        <row r="613">
          <cell r="L613">
            <v>1017898020</v>
          </cell>
          <cell r="M613">
            <v>45963</v>
          </cell>
        </row>
        <row r="613">
          <cell r="O613">
            <v>1799</v>
          </cell>
        </row>
        <row r="614">
          <cell r="D614" t="str">
            <v>Mohamed Abbas Helmy</v>
          </cell>
          <cell r="E614" t="str">
            <v>Mahmoud Ramadan Abdallah</v>
          </cell>
          <cell r="F614" t="str">
            <v>L12_Vacant_AM</v>
          </cell>
          <cell r="G614" t="str">
            <v>Islam Mohamed Elsayed</v>
          </cell>
          <cell r="H614" t="str">
            <v>Distribution Line</v>
          </cell>
          <cell r="I614" t="str">
            <v>Rep_00117</v>
          </cell>
          <cell r="J614" t="str">
            <v>Sales Rep</v>
          </cell>
        </row>
        <row r="614">
          <cell r="L614">
            <v>1029951581</v>
          </cell>
          <cell r="M614">
            <v>45983</v>
          </cell>
        </row>
        <row r="614">
          <cell r="O614">
            <v>1803</v>
          </cell>
        </row>
        <row r="615">
          <cell r="D615" t="str">
            <v>Mohmmed Abdelnaby Khaled Abdellatief</v>
          </cell>
          <cell r="E615" t="str">
            <v>Mahmoud Ramadan Abdallah</v>
          </cell>
          <cell r="F615" t="str">
            <v>L12_Vacant_AM</v>
          </cell>
          <cell r="G615" t="str">
            <v>Islam Mohamed Elsayed</v>
          </cell>
          <cell r="H615" t="str">
            <v>Distribution Line</v>
          </cell>
          <cell r="I615" t="str">
            <v>Rep_00121</v>
          </cell>
          <cell r="J615" t="str">
            <v>Sales Rep</v>
          </cell>
        </row>
        <row r="615">
          <cell r="L615">
            <v>1281489455</v>
          </cell>
          <cell r="M615">
            <v>45963</v>
          </cell>
        </row>
        <row r="615">
          <cell r="O615">
            <v>1787</v>
          </cell>
        </row>
      </sheetData>
      <sheetData sheetId="1"/>
      <sheetData sheetId="2">
        <row r="1">
          <cell r="A1" t="str">
            <v>CRM Code ( If Found )</v>
          </cell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A2" t="str">
            <v>NA</v>
          </cell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A3">
            <v>666</v>
          </cell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A4">
            <v>665</v>
          </cell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A5">
            <v>248</v>
          </cell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A6">
            <v>877</v>
          </cell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A7">
            <v>181</v>
          </cell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A8">
            <v>659</v>
          </cell>
          <cell r="B8" t="str">
            <v>Mohamed Abdelhameid</v>
          </cell>
          <cell r="C8" t="str">
            <v>Walaa Marie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A9">
            <v>663</v>
          </cell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A10">
            <v>1124</v>
          </cell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A11">
            <v>1541</v>
          </cell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A12">
            <v>1751</v>
          </cell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A13">
            <v>934</v>
          </cell>
          <cell r="B13" t="str">
            <v>Aghathon Loukas Mokhles</v>
          </cell>
          <cell r="C13" t="str">
            <v>Mohamed Moneer Hassan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A14">
            <v>657</v>
          </cell>
          <cell r="B14" t="str">
            <v>Ahmed ibrahim Eissa</v>
          </cell>
          <cell r="C14" t="str">
            <v>Mohamed Moneer Hassan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A15">
            <v>224</v>
          </cell>
          <cell r="B15" t="str">
            <v>Habiba Tarek</v>
          </cell>
          <cell r="C15" t="str">
            <v>Mohamed Moneer Hassan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A16">
            <v>1795</v>
          </cell>
          <cell r="B16" t="str">
            <v>Rawan Magdy Ibrahim</v>
          </cell>
          <cell r="C16" t="str">
            <v>Mohamed Moneer Hassan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A17">
            <v>1783</v>
          </cell>
          <cell r="B17" t="str">
            <v>Shrouk Sayed Mohamed</v>
          </cell>
          <cell r="C17" t="str">
            <v>Mohamed Moneer Hassan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A18">
            <v>1801</v>
          </cell>
          <cell r="B18" t="str">
            <v>Nada Abdelhakeem Mohamed</v>
          </cell>
          <cell r="C18" t="str">
            <v>Mohamed Moneer Hassan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A19">
            <v>146</v>
          </cell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A20">
            <v>741</v>
          </cell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A21">
            <v>721</v>
          </cell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A22">
            <v>932</v>
          </cell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A23">
            <v>1266</v>
          </cell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A24">
            <v>1778</v>
          </cell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A25">
            <v>1846</v>
          </cell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A26">
            <v>1923</v>
          </cell>
          <cell r="B26" t="str">
            <v>Ali Fathy Belal</v>
          </cell>
          <cell r="C26" t="str">
            <v>Walaa Marie</v>
          </cell>
          <cell r="D26" t="str">
            <v>Compliance</v>
          </cell>
          <cell r="E26" t="str">
            <v>Ali.Fathy.Belal@averroes-eg.com</v>
          </cell>
          <cell r="F26">
            <v>1065631010</v>
          </cell>
          <cell r="G26" t="str">
            <v>Field Compliance Specialist</v>
          </cell>
          <cell r="H26" t="str">
            <v>Active</v>
          </cell>
          <cell r="I26">
            <v>46095</v>
          </cell>
        </row>
        <row r="26">
          <cell r="K26">
            <v>1923</v>
          </cell>
        </row>
        <row r="27">
          <cell r="A27">
            <v>1035</v>
          </cell>
          <cell r="B27" t="str">
            <v>Nermeen Amin Khalil</v>
          </cell>
          <cell r="C27" t="str">
            <v>Mohamed Abdelhameid</v>
          </cell>
          <cell r="D27" t="str">
            <v>Operation</v>
          </cell>
          <cell r="E27" t="str">
            <v>Nermeen.Amin.Khalil@averroes-eg.com</v>
          </cell>
          <cell r="F27">
            <v>1278844840</v>
          </cell>
          <cell r="G27" t="str">
            <v>Operation Supervisor</v>
          </cell>
          <cell r="H27" t="str">
            <v>Active</v>
          </cell>
          <cell r="I27">
            <v>44913</v>
          </cell>
        </row>
        <row r="27">
          <cell r="K27">
            <v>1035</v>
          </cell>
        </row>
        <row r="28">
          <cell r="A28">
            <v>1904</v>
          </cell>
          <cell r="B28" t="str">
            <v>Islam Emadeldin Mohamed</v>
          </cell>
          <cell r="C28" t="str">
            <v>Mohamed Abdelhameid</v>
          </cell>
          <cell r="D28" t="str">
            <v>Operation</v>
          </cell>
        </row>
        <row r="28">
          <cell r="F28">
            <v>1091105659</v>
          </cell>
          <cell r="G28" t="str">
            <v>Accountant</v>
          </cell>
          <cell r="H28" t="str">
            <v>Active</v>
          </cell>
          <cell r="I28">
            <v>46089</v>
          </cell>
        </row>
        <row r="28">
          <cell r="K28">
            <v>1904</v>
          </cell>
        </row>
        <row r="29">
          <cell r="A29">
            <v>1265</v>
          </cell>
          <cell r="B29" t="str">
            <v>Mohamed Abd El Ghany Omar</v>
          </cell>
          <cell r="C29" t="str">
            <v>Nermeen Amin Khalil</v>
          </cell>
          <cell r="D29" t="str">
            <v>Unit Admin</v>
          </cell>
          <cell r="E29" t="str">
            <v>Mohamed.AbdElGhany.Omar@averroes-eg.com</v>
          </cell>
          <cell r="F29">
            <v>1554694554</v>
          </cell>
          <cell r="G29" t="str">
            <v>Operation and Analytics Specialist</v>
          </cell>
          <cell r="H29" t="str">
            <v>Active</v>
          </cell>
          <cell r="I29">
            <v>45179</v>
          </cell>
        </row>
        <row r="29">
          <cell r="K29">
            <v>1265</v>
          </cell>
        </row>
        <row r="30">
          <cell r="A30">
            <v>8</v>
          </cell>
          <cell r="B30" t="str">
            <v>Fatma Mohamed mohamed</v>
          </cell>
          <cell r="C30" t="str">
            <v>Nermeen Amin Khalil</v>
          </cell>
          <cell r="D30" t="str">
            <v>Unit Admin</v>
          </cell>
          <cell r="E30" t="str">
            <v>Fatima.Mohamed@averroes-eg.com</v>
          </cell>
          <cell r="F30">
            <v>1066082702</v>
          </cell>
          <cell r="G30" t="str">
            <v>Operation Specialist</v>
          </cell>
          <cell r="H30" t="str">
            <v>Active</v>
          </cell>
          <cell r="I30">
            <v>39237</v>
          </cell>
        </row>
        <row r="30">
          <cell r="K30">
            <v>8</v>
          </cell>
        </row>
        <row r="31">
          <cell r="A31">
            <v>802</v>
          </cell>
          <cell r="B31" t="str">
            <v>Samar Samy Ibrahim</v>
          </cell>
          <cell r="C31" t="str">
            <v>Nermeen Amin Khalil</v>
          </cell>
          <cell r="D31" t="str">
            <v>Operation</v>
          </cell>
          <cell r="E31" t="str">
            <v>Samar.Samy.Ibrahim@averroes-eg.com</v>
          </cell>
          <cell r="F31">
            <v>1113580088</v>
          </cell>
          <cell r="G31" t="str">
            <v>Operation Specialist</v>
          </cell>
          <cell r="H31" t="str">
            <v>Active</v>
          </cell>
          <cell r="I31">
            <v>44381</v>
          </cell>
        </row>
        <row r="31">
          <cell r="K31">
            <v>802</v>
          </cell>
        </row>
        <row r="32">
          <cell r="A32">
            <v>563</v>
          </cell>
          <cell r="B32" t="str">
            <v>Mohamed Enaya</v>
          </cell>
          <cell r="C32" t="str">
            <v>Ahmed ellahoney</v>
          </cell>
          <cell r="D32" t="str">
            <v>Marketing</v>
          </cell>
          <cell r="E32" t="str">
            <v>mohamed.enaya@averroes-eg.com</v>
          </cell>
          <cell r="F32">
            <v>1004846375</v>
          </cell>
          <cell r="G32" t="str">
            <v>Product Manager</v>
          </cell>
          <cell r="H32" t="str">
            <v>Active</v>
          </cell>
        </row>
        <row r="32">
          <cell r="K32">
            <v>563</v>
          </cell>
        </row>
        <row r="33">
          <cell r="A33">
            <v>72</v>
          </cell>
          <cell r="B33" t="str">
            <v>Mostafa El Banna</v>
          </cell>
          <cell r="C33" t="str">
            <v>Ahmed ellahoney</v>
          </cell>
          <cell r="D33" t="str">
            <v>Marketing</v>
          </cell>
          <cell r="E33" t="str">
            <v>mostafa.elbanna@averroes-eg.com</v>
          </cell>
          <cell r="F33">
            <v>1096958681</v>
          </cell>
          <cell r="G33" t="str">
            <v>Product Manager</v>
          </cell>
          <cell r="H33" t="str">
            <v>Active</v>
          </cell>
        </row>
        <row r="33">
          <cell r="K33">
            <v>72</v>
          </cell>
        </row>
        <row r="34">
          <cell r="A34">
            <v>945</v>
          </cell>
          <cell r="B34" t="str">
            <v>Khaled Ahmed AbdElGelil ElGendy</v>
          </cell>
          <cell r="C34" t="str">
            <v>Ahmed ellahoney</v>
          </cell>
          <cell r="D34" t="str">
            <v>Marketing</v>
          </cell>
          <cell r="E34" t="str">
            <v>Khaled.ElGendy@averroes-eg.com</v>
          </cell>
          <cell r="F34">
            <v>1020985077</v>
          </cell>
          <cell r="G34" t="str">
            <v>Product Manager</v>
          </cell>
          <cell r="H34" t="str">
            <v>Active</v>
          </cell>
          <cell r="I34">
            <v>44598</v>
          </cell>
        </row>
        <row r="34">
          <cell r="K34">
            <v>945</v>
          </cell>
        </row>
        <row r="35">
          <cell r="A35">
            <v>968</v>
          </cell>
          <cell r="B35" t="str">
            <v>Abdallah Mohamed Mohamed Roshdy</v>
          </cell>
          <cell r="C35" t="str">
            <v>Ahmed ellahoney</v>
          </cell>
          <cell r="D35" t="str">
            <v>Marketing</v>
          </cell>
          <cell r="E35" t="str">
            <v>Abdallah.Roshdy@averroes-eg.com</v>
          </cell>
          <cell r="F35">
            <v>1114000922</v>
          </cell>
          <cell r="G35" t="str">
            <v>Product Manager</v>
          </cell>
          <cell r="H35" t="str">
            <v>Active</v>
          </cell>
          <cell r="I35">
            <v>44699</v>
          </cell>
        </row>
        <row r="35">
          <cell r="K35">
            <v>968</v>
          </cell>
        </row>
        <row r="36">
          <cell r="A36">
            <v>1001</v>
          </cell>
          <cell r="B36" t="str">
            <v>Mohamed Sabry Ahmed</v>
          </cell>
          <cell r="C36" t="str">
            <v>Ahmed ellahoney</v>
          </cell>
          <cell r="D36" t="str">
            <v>Marketing</v>
          </cell>
          <cell r="E36" t="str">
            <v>Mohamed.Sabry.Ahmed@averroes-eg.com</v>
          </cell>
          <cell r="F36">
            <v>1021360024</v>
          </cell>
          <cell r="G36" t="str">
            <v>Product Manager</v>
          </cell>
          <cell r="H36" t="str">
            <v>Active</v>
          </cell>
          <cell r="I36">
            <v>44819</v>
          </cell>
        </row>
        <row r="36">
          <cell r="K36">
            <v>1001</v>
          </cell>
        </row>
        <row r="37">
          <cell r="A37">
            <v>884</v>
          </cell>
          <cell r="B37" t="str">
            <v>Islam Mohamed Elsayed</v>
          </cell>
          <cell r="C37" t="str">
            <v>Mohamed ellahoney</v>
          </cell>
          <cell r="D37" t="str">
            <v>Distribution</v>
          </cell>
          <cell r="E37" t="str">
            <v>Islam.Mohamed.Elsayed@averroes-eg.com</v>
          </cell>
          <cell r="F37">
            <v>1063301935</v>
          </cell>
          <cell r="G37" t="str">
            <v>Commercial Manager</v>
          </cell>
          <cell r="H37" t="str">
            <v>Active</v>
          </cell>
          <cell r="I37">
            <v>44197</v>
          </cell>
        </row>
        <row r="37">
          <cell r="K37">
            <v>884</v>
          </cell>
        </row>
        <row r="38">
          <cell r="A38">
            <v>728</v>
          </cell>
          <cell r="B38" t="str">
            <v>Reem Sameh Fouad</v>
          </cell>
          <cell r="C38" t="str">
            <v>Islam Mohamed Elsayed</v>
          </cell>
          <cell r="D38" t="str">
            <v>Distribution</v>
          </cell>
          <cell r="E38" t="str">
            <v>Reem.Sameh.Fouad@averroes-eg.com</v>
          </cell>
          <cell r="F38">
            <v>1124409966</v>
          </cell>
          <cell r="G38" t="str">
            <v>Distribution Specialist</v>
          </cell>
          <cell r="H38" t="str">
            <v>Active</v>
          </cell>
        </row>
        <row r="38">
          <cell r="K38">
            <v>728</v>
          </cell>
        </row>
        <row r="39">
          <cell r="A39">
            <v>1507</v>
          </cell>
          <cell r="B39" t="str">
            <v>Saied Selim Mohamed</v>
          </cell>
          <cell r="C39" t="str">
            <v>Islam Mohamed Elsayed</v>
          </cell>
          <cell r="D39" t="str">
            <v>Distribution</v>
          </cell>
          <cell r="E39" t="str">
            <v>Saied.Selim.Mohamed@averroes-eg.com</v>
          </cell>
          <cell r="F39">
            <v>1055932040</v>
          </cell>
          <cell r="G39" t="str">
            <v>Distribution Specialist</v>
          </cell>
          <cell r="H39" t="str">
            <v>Active</v>
          </cell>
          <cell r="I39">
            <v>45550</v>
          </cell>
        </row>
        <row r="39">
          <cell r="K39">
            <v>1507</v>
          </cell>
        </row>
        <row r="40">
          <cell r="A40">
            <v>1798</v>
          </cell>
          <cell r="B40" t="str">
            <v>Ahmed ElSayed Ragab</v>
          </cell>
          <cell r="C40" t="str">
            <v>Islam Mohamed Elsayed</v>
          </cell>
          <cell r="D40" t="str">
            <v>Distribution</v>
          </cell>
        </row>
        <row r="40">
          <cell r="G40" t="str">
            <v>Distribution Specialist</v>
          </cell>
          <cell r="H40" t="str">
            <v>Active</v>
          </cell>
          <cell r="I40">
            <v>45914</v>
          </cell>
        </row>
        <row r="40">
          <cell r="K40">
            <v>1798</v>
          </cell>
        </row>
        <row r="41">
          <cell r="A41">
            <v>1796</v>
          </cell>
          <cell r="B41" t="str">
            <v>Mostafa Ibrahim Mohamed</v>
          </cell>
          <cell r="C41" t="str">
            <v>Saied Selim Mohamed</v>
          </cell>
          <cell r="D41" t="str">
            <v>Distribution</v>
          </cell>
        </row>
        <row r="41">
          <cell r="F41">
            <v>1271336001</v>
          </cell>
          <cell r="G41" t="str">
            <v>Store Specialist</v>
          </cell>
          <cell r="H41" t="str">
            <v>Active</v>
          </cell>
          <cell r="I41">
            <v>45689</v>
          </cell>
        </row>
        <row r="41">
          <cell r="K41">
            <v>1796</v>
          </cell>
        </row>
        <row r="42">
          <cell r="A42">
            <v>1793</v>
          </cell>
          <cell r="B42" t="str">
            <v>Mohamed Eid Mohamed</v>
          </cell>
          <cell r="C42" t="str">
            <v>Saied Selim Mohamed</v>
          </cell>
          <cell r="D42" t="str">
            <v>Distribution</v>
          </cell>
        </row>
        <row r="42">
          <cell r="F42">
            <v>1114430870</v>
          </cell>
          <cell r="G42" t="str">
            <v>Direct Sales</v>
          </cell>
          <cell r="H42" t="str">
            <v>Active</v>
          </cell>
          <cell r="I42">
            <v>45559</v>
          </cell>
        </row>
        <row r="42">
          <cell r="K42">
            <v>1793</v>
          </cell>
        </row>
        <row r="43">
          <cell r="A43">
            <v>744</v>
          </cell>
          <cell r="B43" t="str">
            <v>Yehya Mohamed Yehya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744</v>
          </cell>
        </row>
        <row r="44">
          <cell r="A44">
            <v>745</v>
          </cell>
          <cell r="B44" t="str">
            <v>Mohamed Ahmed AbdElAziz Elhamrawy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745</v>
          </cell>
        </row>
        <row r="45">
          <cell r="A45">
            <v>669</v>
          </cell>
          <cell r="B45" t="str">
            <v>Reda Ahmed Fotouh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669</v>
          </cell>
        </row>
        <row r="46">
          <cell r="A46">
            <v>671</v>
          </cell>
          <cell r="B46" t="str">
            <v>Mohammed Al-Sayed Al-Rifai</v>
          </cell>
          <cell r="C46" t="str">
            <v>Ahmed ibrahim Eissa</v>
          </cell>
          <cell r="D46" t="str">
            <v>Office Boy</v>
          </cell>
        </row>
        <row r="46">
          <cell r="G46" t="str">
            <v>Office Boy</v>
          </cell>
          <cell r="H46" t="str">
            <v>Active</v>
          </cell>
        </row>
        <row r="46">
          <cell r="K46">
            <v>671</v>
          </cell>
        </row>
        <row r="47">
          <cell r="A47">
            <v>1797</v>
          </cell>
          <cell r="B47" t="str">
            <v>Hamed Saady Nour</v>
          </cell>
          <cell r="C47" t="str">
            <v>Ahmed ibrahim Eissa</v>
          </cell>
          <cell r="D47" t="str">
            <v>Office Boy</v>
          </cell>
        </row>
        <row r="47">
          <cell r="F47">
            <v>1123997276</v>
          </cell>
          <cell r="G47" t="str">
            <v>Office Boy</v>
          </cell>
          <cell r="H47" t="str">
            <v>Active</v>
          </cell>
          <cell r="I47">
            <v>45782</v>
          </cell>
        </row>
        <row r="47">
          <cell r="K47">
            <v>1797</v>
          </cell>
        </row>
        <row r="48">
          <cell r="A48">
            <v>668</v>
          </cell>
          <cell r="B48" t="str">
            <v>Mahmoud Mohamed Mahmoud El bord</v>
          </cell>
          <cell r="C48" t="str">
            <v>Saied Selim Mohamed</v>
          </cell>
          <cell r="D48" t="str">
            <v>Store</v>
          </cell>
        </row>
        <row r="48">
          <cell r="H48" t="str">
            <v>Active</v>
          </cell>
        </row>
        <row r="48">
          <cell r="K48">
            <v>668</v>
          </cell>
        </row>
        <row r="49">
          <cell r="A49">
            <v>672</v>
          </cell>
          <cell r="B49" t="str">
            <v>Heidi Magdy Ibrahim</v>
          </cell>
        </row>
        <row r="49">
          <cell r="H49" t="str">
            <v>Active</v>
          </cell>
        </row>
        <row r="49">
          <cell r="K49">
            <v>672</v>
          </cell>
        </row>
        <row r="50">
          <cell r="A50">
            <v>693</v>
          </cell>
          <cell r="B50" t="str">
            <v>Mohamed Ismael Zayed</v>
          </cell>
          <cell r="C50" t="str">
            <v>Hanien Barakat</v>
          </cell>
          <cell r="D50" t="str">
            <v>SFE</v>
          </cell>
          <cell r="E50" t="str">
            <v>Mohamed.Zayed@averroes-eg.com</v>
          </cell>
          <cell r="F50">
            <v>1029169399</v>
          </cell>
          <cell r="G50" t="str">
            <v>SFE Specialist</v>
          </cell>
          <cell r="H50" t="str">
            <v>Inactive</v>
          </cell>
        </row>
        <row r="50">
          <cell r="J50">
            <v>45535</v>
          </cell>
          <cell r="K50">
            <v>693</v>
          </cell>
        </row>
        <row r="51">
          <cell r="A51">
            <v>658</v>
          </cell>
          <cell r="B51" t="str">
            <v>Mahmoud abbas</v>
          </cell>
        </row>
        <row r="51">
          <cell r="D51" t="str">
            <v>Sales</v>
          </cell>
          <cell r="E51" t="str">
            <v>mahmoud.abbas@averroes-eg.com</v>
          </cell>
          <cell r="F51">
            <v>1030892555</v>
          </cell>
          <cell r="G51" t="str">
            <v>Sales Admin</v>
          </cell>
          <cell r="H51" t="str">
            <v>Inactive</v>
          </cell>
        </row>
        <row r="51">
          <cell r="K51">
            <v>658</v>
          </cell>
        </row>
        <row r="52">
          <cell r="A52">
            <v>656</v>
          </cell>
          <cell r="B52" t="str">
            <v>Ahmed El Rayan</v>
          </cell>
        </row>
        <row r="52">
          <cell r="D52" t="str">
            <v>Sales</v>
          </cell>
          <cell r="E52" t="str">
            <v>Ahmed.ElRayan@averroes-eg.com</v>
          </cell>
          <cell r="F52">
            <v>1127507007</v>
          </cell>
          <cell r="G52" t="str">
            <v>Sales Admin</v>
          </cell>
          <cell r="H52" t="str">
            <v>Inactive</v>
          </cell>
        </row>
        <row r="52">
          <cell r="K52">
            <v>656</v>
          </cell>
        </row>
        <row r="53">
          <cell r="A53">
            <v>729</v>
          </cell>
          <cell r="B53" t="str">
            <v>Omar Ibrahim Elmekkawy</v>
          </cell>
        </row>
        <row r="53">
          <cell r="D53" t="str">
            <v>Sales</v>
          </cell>
          <cell r="E53" t="str">
            <v>Omar.Ibrahim.Elmekkawy@averroes-eg.com</v>
          </cell>
        </row>
        <row r="53">
          <cell r="G53" t="str">
            <v>Sales Admin</v>
          </cell>
          <cell r="H53" t="str">
            <v>Inactive</v>
          </cell>
        </row>
        <row r="53">
          <cell r="J53">
            <v>45145</v>
          </cell>
          <cell r="K53">
            <v>729</v>
          </cell>
        </row>
        <row r="54">
          <cell r="A54">
            <v>1285</v>
          </cell>
          <cell r="B54" t="str">
            <v>AbdelLatif Said Omara</v>
          </cell>
          <cell r="C54" t="str">
            <v>Mohamed Hassan Abdallah</v>
          </cell>
          <cell r="D54" t="str">
            <v>Trade Department</v>
          </cell>
          <cell r="E54" t="str">
            <v>AbdelLatif.Said.Omara@averroes-eg.com</v>
          </cell>
          <cell r="F54">
            <v>1154007679</v>
          </cell>
          <cell r="G54" t="str">
            <v>Key Account Manager</v>
          </cell>
          <cell r="H54" t="str">
            <v>inactive</v>
          </cell>
          <cell r="I54">
            <v>45207</v>
          </cell>
          <cell r="J54">
            <v>45231</v>
          </cell>
          <cell r="K54">
            <v>1285</v>
          </cell>
        </row>
        <row r="55">
          <cell r="A55">
            <v>667</v>
          </cell>
          <cell r="B55" t="str">
            <v>Saeed Hamed Al-Sayed Ahmed</v>
          </cell>
        </row>
        <row r="55">
          <cell r="D55" t="str">
            <v>Office Boy</v>
          </cell>
        </row>
        <row r="55">
          <cell r="H55" t="str">
            <v>Inactive</v>
          </cell>
        </row>
        <row r="55">
          <cell r="K55">
            <v>667</v>
          </cell>
        </row>
        <row r="56">
          <cell r="A56">
            <v>1426</v>
          </cell>
          <cell r="B56" t="str">
            <v>Seif Ahmed AbdElAzem</v>
          </cell>
          <cell r="C56" t="str">
            <v>Walaa Marie</v>
          </cell>
          <cell r="D56" t="str">
            <v>Compliance</v>
          </cell>
          <cell r="E56" t="str">
            <v>Seif.Ahmed.AbdElAzem@averroes-eg.com</v>
          </cell>
          <cell r="F56">
            <v>1066440281</v>
          </cell>
          <cell r="G56" t="str">
            <v>System Admin</v>
          </cell>
          <cell r="H56" t="str">
            <v>Inactive</v>
          </cell>
          <cell r="I56">
            <v>45517</v>
          </cell>
          <cell r="J56">
            <v>45626</v>
          </cell>
          <cell r="K56">
            <v>1426</v>
          </cell>
        </row>
        <row r="57">
          <cell r="A57">
            <v>746</v>
          </cell>
          <cell r="B57" t="str">
            <v>Mohamed Moubarak Khalifa</v>
          </cell>
          <cell r="C57" t="str">
            <v>Ahmed ibrahim Eissa</v>
          </cell>
          <cell r="D57" t="str">
            <v>Office Boy</v>
          </cell>
        </row>
        <row r="57">
          <cell r="H57" t="str">
            <v>Inactive</v>
          </cell>
        </row>
        <row r="57">
          <cell r="K57">
            <v>746</v>
          </cell>
        </row>
        <row r="58">
          <cell r="A58">
            <v>5003</v>
          </cell>
          <cell r="B58" t="str">
            <v>Kareem Ayman Mohamed</v>
          </cell>
          <cell r="C58" t="str">
            <v>Hanien Barakat</v>
          </cell>
          <cell r="D58" t="str">
            <v>SFE</v>
          </cell>
          <cell r="E58" t="str">
            <v>Kareem.Ayman@averroes-eg.com</v>
          </cell>
          <cell r="F58">
            <v>1273311689</v>
          </cell>
          <cell r="G58" t="str">
            <v>SFE Admin</v>
          </cell>
          <cell r="H58" t="str">
            <v>Inactive</v>
          </cell>
          <cell r="I58">
            <v>45313</v>
          </cell>
          <cell r="J58">
            <v>45716</v>
          </cell>
          <cell r="K58">
            <v>5003</v>
          </cell>
        </row>
        <row r="59">
          <cell r="A59">
            <v>288</v>
          </cell>
          <cell r="B59" t="str">
            <v>Joseph Wageh</v>
          </cell>
          <cell r="C59" t="str">
            <v>Mohamed ellahoney</v>
          </cell>
          <cell r="D59" t="str">
            <v>HR</v>
          </cell>
          <cell r="E59" t="str">
            <v>joseph.wageh@averroes-eg.com</v>
          </cell>
          <cell r="F59">
            <v>1277559964</v>
          </cell>
          <cell r="G59" t="str">
            <v>HR Manager</v>
          </cell>
          <cell r="H59" t="str">
            <v>Inactive</v>
          </cell>
        </row>
        <row r="59">
          <cell r="J59">
            <v>45808</v>
          </cell>
          <cell r="K59">
            <v>288</v>
          </cell>
        </row>
        <row r="60">
          <cell r="A60">
            <v>287</v>
          </cell>
          <cell r="B60" t="str">
            <v>Hanien Barakat</v>
          </cell>
          <cell r="C60" t="str">
            <v>Mohamed ellahoney</v>
          </cell>
          <cell r="D60" t="str">
            <v>Training &amp; SFE</v>
          </cell>
          <cell r="E60" t="str">
            <v>hanien.barakat@averroes-eg.com</v>
          </cell>
          <cell r="F60">
            <v>1018348599</v>
          </cell>
          <cell r="G60" t="str">
            <v>Training &amp; SFE Manager</v>
          </cell>
          <cell r="H60" t="str">
            <v>Inactive</v>
          </cell>
        </row>
        <row r="60">
          <cell r="J60">
            <v>45747</v>
          </cell>
          <cell r="K60">
            <v>287</v>
          </cell>
        </row>
        <row r="61">
          <cell r="A61">
            <v>432</v>
          </cell>
          <cell r="B61" t="str">
            <v>Moataz Refaat mahmoud</v>
          </cell>
          <cell r="C61" t="str">
            <v>Hanien Barakat</v>
          </cell>
          <cell r="D61" t="str">
            <v>Training</v>
          </cell>
          <cell r="E61" t="str">
            <v>moataz.refaat@averroes-eg.com</v>
          </cell>
          <cell r="F61">
            <v>1011285218</v>
          </cell>
          <cell r="G61" t="str">
            <v>Training Specialist</v>
          </cell>
          <cell r="H61" t="str">
            <v>Inactive</v>
          </cell>
          <cell r="I61">
            <v>43556</v>
          </cell>
          <cell r="J61">
            <v>45747</v>
          </cell>
          <cell r="K61">
            <v>432</v>
          </cell>
        </row>
        <row r="62">
          <cell r="A62">
            <v>1437</v>
          </cell>
          <cell r="B62" t="str">
            <v>Hazem Samy Anwar</v>
          </cell>
          <cell r="C62" t="str">
            <v>Joseph Wageh</v>
          </cell>
          <cell r="D62" t="str">
            <v>HR</v>
          </cell>
          <cell r="E62" t="str">
            <v>Hazem.AboZahra@averroes-eg.com</v>
          </cell>
          <cell r="F62">
            <v>1005700959</v>
          </cell>
          <cell r="G62" t="str">
            <v>Talent Acquisition Specialist</v>
          </cell>
          <cell r="H62" t="str">
            <v>Inactive</v>
          </cell>
          <cell r="I62">
            <v>45537</v>
          </cell>
          <cell r="J62">
            <v>45899</v>
          </cell>
          <cell r="K62">
            <v>1437</v>
          </cell>
        </row>
        <row r="63">
          <cell r="A63">
            <v>722</v>
          </cell>
          <cell r="B63" t="str">
            <v>Mahmoud AbdElreheem Shady</v>
          </cell>
          <cell r="C63" t="str">
            <v>Walaa Marie</v>
          </cell>
          <cell r="D63" t="str">
            <v>Compliance</v>
          </cell>
          <cell r="E63" t="str">
            <v>Mahmoud.Shadi@averroes-eg.com</v>
          </cell>
          <cell r="F63">
            <v>1092505002</v>
          </cell>
          <cell r="G63" t="str">
            <v>Field Compliance Specialist</v>
          </cell>
          <cell r="H63" t="str">
            <v>Inactive</v>
          </cell>
          <cell r="I63">
            <v>44817</v>
          </cell>
          <cell r="J63">
            <v>45900</v>
          </cell>
          <cell r="K63">
            <v>722</v>
          </cell>
        </row>
        <row r="64">
          <cell r="A64">
            <v>1039</v>
          </cell>
          <cell r="B64" t="str">
            <v>Ahmed Maher ElSharkawy</v>
          </cell>
          <cell r="C64" t="str">
            <v>Walaa Marie</v>
          </cell>
          <cell r="D64" t="str">
            <v>Compliance</v>
          </cell>
          <cell r="E64" t="str">
            <v>Ahmed.Maher.ElSharkawy@averroes-eg.com</v>
          </cell>
          <cell r="F64">
            <v>1142243432</v>
          </cell>
          <cell r="G64" t="str">
            <v>Field Compliance Specialist</v>
          </cell>
          <cell r="H64" t="str">
            <v>Inactive</v>
          </cell>
          <cell r="I64">
            <v>44927</v>
          </cell>
          <cell r="J64">
            <v>45869</v>
          </cell>
          <cell r="K64">
            <v>1039</v>
          </cell>
        </row>
        <row r="65">
          <cell r="A65">
            <v>1716</v>
          </cell>
          <cell r="B65" t="str">
            <v>Sawsan Atif AboAlfotouh</v>
          </cell>
          <cell r="C65" t="str">
            <v>Islam Mohamed Elsayed</v>
          </cell>
          <cell r="D65" t="str">
            <v>Distribution</v>
          </cell>
        </row>
        <row r="65">
          <cell r="F65">
            <v>1117696499</v>
          </cell>
          <cell r="G65" t="str">
            <v>Sales Rep</v>
          </cell>
          <cell r="H65" t="str">
            <v>Inactive</v>
          </cell>
          <cell r="I65">
            <v>45832</v>
          </cell>
          <cell r="J65">
            <v>45872</v>
          </cell>
          <cell r="K65">
            <v>1716</v>
          </cell>
        </row>
        <row r="66">
          <cell r="A66">
            <v>1614</v>
          </cell>
          <cell r="B66" t="str">
            <v>Dareen Hussein Ahmed</v>
          </cell>
          <cell r="C66" t="str">
            <v>Walaa Marie</v>
          </cell>
          <cell r="D66" t="str">
            <v>Compliance</v>
          </cell>
          <cell r="E66" t="str">
            <v>Dareen.Hussein.Ahmed@averroes-eg.com</v>
          </cell>
          <cell r="F66">
            <v>1027821333</v>
          </cell>
          <cell r="G66" t="str">
            <v>Admin</v>
          </cell>
          <cell r="H66" t="str">
            <v>Inactive</v>
          </cell>
          <cell r="I66">
            <v>45760</v>
          </cell>
          <cell r="J66">
            <v>45991</v>
          </cell>
          <cell r="K66">
            <v>1614</v>
          </cell>
        </row>
        <row r="67">
          <cell r="A67">
            <v>1272</v>
          </cell>
          <cell r="B67" t="str">
            <v>Mahmoud Mohamed Mahfouz</v>
          </cell>
          <cell r="C67" t="str">
            <v>Mohamed Hassan Abdallah</v>
          </cell>
          <cell r="D67" t="str">
            <v>Trade Department</v>
          </cell>
          <cell r="E67" t="str">
            <v>Mahmoud.Mohamed.Mahfouz@averroes-eg.com</v>
          </cell>
          <cell r="F67">
            <v>1111826099</v>
          </cell>
          <cell r="G67" t="str">
            <v>Key Account Manager</v>
          </cell>
          <cell r="H67" t="str">
            <v>Inactive</v>
          </cell>
          <cell r="I67">
            <v>45187</v>
          </cell>
        </row>
        <row r="67">
          <cell r="K67">
            <v>1272</v>
          </cell>
        </row>
        <row r="68">
          <cell r="A68">
            <v>1811</v>
          </cell>
          <cell r="B68" t="str">
            <v>Abeer Mansour Abdelmouty</v>
          </cell>
          <cell r="C68" t="str">
            <v>Nermeen Amin Khalil</v>
          </cell>
          <cell r="D68" t="str">
            <v>Operation</v>
          </cell>
          <cell r="E68" t="str">
            <v>Abeer.Mansour.Abdelmouty@averroes-eg.com</v>
          </cell>
          <cell r="F68">
            <v>1150681352</v>
          </cell>
          <cell r="G68" t="str">
            <v>Operation Admin</v>
          </cell>
          <cell r="H68" t="str">
            <v>Inactive</v>
          </cell>
          <cell r="I68">
            <v>45999</v>
          </cell>
          <cell r="J68">
            <v>46112</v>
          </cell>
          <cell r="K68">
            <v>1811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9"/>
  <sheetViews>
    <sheetView workbookViewId="0">
      <pane ySplit="1" topLeftCell="A2" activePane="bottomLeft" state="frozen"/>
      <selection/>
      <selection pane="bottomLeft" activeCell="B14" sqref="B14"/>
    </sheetView>
  </sheetViews>
  <sheetFormatPr defaultColWidth="9.14285714285714" defaultRowHeight="15"/>
  <cols>
    <col min="1" max="1" width="19.4285714285714" customWidth="1"/>
    <col min="2" max="2" width="37" customWidth="1"/>
    <col min="3" max="3" width="29.1428571428571" customWidth="1"/>
    <col min="4" max="4" width="26.7142857142857" customWidth="1"/>
    <col min="5" max="6" width="22.2857142857143" customWidth="1"/>
    <col min="7" max="7" width="13.4285714285714" customWidth="1"/>
    <col min="8" max="8" width="11.5714285714286" customWidth="1"/>
    <col min="9" max="9" width="13.5714285714286" customWidth="1"/>
    <col min="10" max="10" width="48.2857142857143" customWidth="1"/>
    <col min="11" max="11" width="28.5714285714286" customWidth="1"/>
  </cols>
  <sheetData>
    <row r="1" spans="1:12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 t="s">
        <v>8</v>
      </c>
      <c r="J1" s="20" t="s">
        <v>9</v>
      </c>
      <c r="K1" s="21" t="s">
        <v>10</v>
      </c>
    </row>
    <row r="2" spans="1:12">
      <c r="A2" s="22">
        <v>657</v>
      </c>
      <c r="B2" s="23" t="s">
        <v>11</v>
      </c>
      <c r="C2" s="23" t="s">
        <v>12</v>
      </c>
      <c r="D2" s="23" t="s">
        <v>13</v>
      </c>
      <c r="E2" s="23">
        <v>877</v>
      </c>
      <c r="F2" s="24">
        <v>1234</v>
      </c>
      <c r="G2" s="25">
        <v>1030821888</v>
      </c>
      <c r="H2" s="26">
        <v>45179</v>
      </c>
      <c r="I2" s="25" t="s">
        <v>14</v>
      </c>
      <c r="J2" s="25" t="s">
        <v>15</v>
      </c>
      <c r="K2" s="27" t="s">
        <v>16</v>
      </c>
    </row>
    <row r="3" spans="1:12">
      <c r="A3" s="28">
        <v>59</v>
      </c>
      <c r="B3" s="25" t="s">
        <v>17</v>
      </c>
      <c r="C3" s="25"/>
      <c r="D3" s="25" t="str">
        <f>VLOOKUP(B3,[2]Sheet1!$B:$H,7,0)</f>
        <v>BUM</v>
      </c>
      <c r="E3" s="40" t="s">
        <v>18</v>
      </c>
      <c r="F3" s="29">
        <v>5678</v>
      </c>
      <c r="G3" s="25">
        <v>1100</v>
      </c>
      <c r="H3" s="25"/>
      <c r="I3" s="25" t="str">
        <f>VLOOKUP(A3,[2]Sheet1!$A:$F,6,0)</f>
        <v>Unit 1</v>
      </c>
      <c r="J3" s="25" t="str">
        <f>VLOOKUP(A3,[2]Sheet1!$A:$L,12,0)</f>
        <v>abdelhameed.elshiekh@averroes-eg.com</v>
      </c>
      <c r="K3" s="27" t="s">
        <v>16</v>
      </c>
    </row>
    <row r="4" spans="1:12">
      <c r="A4" s="28">
        <v>60</v>
      </c>
      <c r="B4" s="25" t="s">
        <v>19</v>
      </c>
      <c r="C4" s="25"/>
      <c r="D4" s="25" t="str">
        <f>VLOOKUP(B4,[2]Sheet1!$B:$H,7,0)</f>
        <v>BUM</v>
      </c>
      <c r="E4" s="40" t="s">
        <v>18</v>
      </c>
      <c r="F4" s="29">
        <v>3320</v>
      </c>
      <c r="G4" s="25"/>
      <c r="H4" s="25"/>
      <c r="I4" s="25" t="str">
        <f>VLOOKUP(A4,[2]Sheet1!$A:$F,6,0)</f>
        <v>Unit 2</v>
      </c>
      <c r="J4" s="25" t="str">
        <f>VLOOKUP(A4,[2]Sheet1!$A:$L,12,0)</f>
        <v>ibrahim.ammar@averroes-eg.com</v>
      </c>
      <c r="K4" s="27" t="s">
        <v>16</v>
      </c>
    </row>
    <row r="5" spans="1:12">
      <c r="A5" s="28">
        <v>61</v>
      </c>
      <c r="B5" s="25" t="s">
        <v>20</v>
      </c>
      <c r="C5" s="25"/>
      <c r="D5" s="25" t="str">
        <f>VLOOKUP(B5,[2]Sheet1!$B:$H,7,0)</f>
        <v>BUM</v>
      </c>
      <c r="E5" s="40" t="s">
        <v>18</v>
      </c>
      <c r="F5" s="29">
        <v>6080</v>
      </c>
      <c r="G5" s="25"/>
      <c r="H5" s="25"/>
      <c r="I5" s="25" t="str">
        <f>VLOOKUP(A5,[2]Sheet1!$A:$F,6,0)</f>
        <v>Unit 3</v>
      </c>
      <c r="J5" s="25" t="str">
        <f>VLOOKUP(A5,[2]Sheet1!$A:$L,12,0)</f>
        <v>aboelabbas.samir@averroes-eg.com</v>
      </c>
      <c r="K5" s="27" t="s">
        <v>16</v>
      </c>
    </row>
    <row r="6" spans="1:12">
      <c r="A6" s="28">
        <v>160</v>
      </c>
      <c r="B6" s="30" t="s">
        <v>21</v>
      </c>
      <c r="C6" s="25"/>
      <c r="D6" s="25" t="str">
        <f>VLOOKUP(B6,[2]Sheet1!$B:$H,7,0)</f>
        <v>LM</v>
      </c>
      <c r="E6" s="40" t="s">
        <v>18</v>
      </c>
      <c r="F6" s="29">
        <v>36620538</v>
      </c>
      <c r="G6" s="31">
        <f>VLOOKUP(A6,[2]Sheet1!$A:$J,10,0)</f>
        <v>1028045242</v>
      </c>
      <c r="H6" s="32">
        <f>VLOOKUP(A6,[2]Sheet1!$A:$K,11,0)</f>
        <v>39376</v>
      </c>
      <c r="I6" s="25" t="str">
        <f>VLOOKUP(A6,[2]Sheet1!$A:$F,6,0)</f>
        <v>Unit 4</v>
      </c>
      <c r="J6" s="25" t="str">
        <f>VLOOKUP(A6,[2]Sheet1!$A:$L,12,0)</f>
        <v>abdallah.gamal@averroes-eg.com</v>
      </c>
      <c r="K6" s="27" t="s">
        <v>16</v>
      </c>
    </row>
    <row r="7" spans="1:12">
      <c r="A7" s="28">
        <v>799</v>
      </c>
      <c r="B7" s="25" t="s">
        <v>22</v>
      </c>
      <c r="C7" s="30" t="str">
        <f>VLOOKUP(B7,[2]Sheet1!$B:$E,4,0)</f>
        <v>Abd Elhameed Elshiekh</v>
      </c>
      <c r="D7" s="25" t="str">
        <f>VLOOKUP(B7,[2]Sheet1!$B:$H,7,0)</f>
        <v>AM</v>
      </c>
      <c r="E7" s="25">
        <f>VLOOKUP(C7,[2]Sheet1!$B:$M,12,0)</f>
        <v>59</v>
      </c>
      <c r="F7" s="29">
        <v>36620539</v>
      </c>
      <c r="G7" s="31">
        <f>VLOOKUP(A7,[2]Sheet1!$A:$J,10,0)</f>
        <v>1097195559</v>
      </c>
      <c r="H7" s="32">
        <f>VLOOKUP(A7,[2]Sheet1!$A:$K,11,0)</f>
        <v>44378</v>
      </c>
      <c r="I7" s="25" t="str">
        <f>VLOOKUP(A7,[2]Sheet1!$A:$F,6,0)</f>
        <v>Averozolid Line</v>
      </c>
      <c r="J7" s="25" t="str">
        <f>VLOOKUP(A7,[2]Sheet1!$A:$L,12,0)</f>
        <v>Ahmed.Hamdy.Ahmed@averroes-eg.com</v>
      </c>
      <c r="K7" s="27" t="str">
        <f>VLOOKUP(A7,[2]Sheet1!$A:$N,14,0)</f>
        <v>Sidi Beshr Kebly</v>
      </c>
    </row>
    <row r="8" spans="1:12">
      <c r="A8" s="28">
        <v>1063</v>
      </c>
      <c r="B8" s="12" t="s">
        <v>23</v>
      </c>
      <c r="C8" s="30" t="str">
        <f>VLOOKUP(B8,[2]Sheet1!$B:$D,3,0)</f>
        <v>Ahmed Hamdy Ahmed</v>
      </c>
      <c r="D8" s="25" t="str">
        <f>VLOOKUP(B8,[2]Sheet1!$B:$H,7,0)</f>
        <v>DM</v>
      </c>
      <c r="E8" s="25">
        <f>VLOOKUP(C8,[2]Sheet1!$B:$M,12,0)</f>
        <v>799</v>
      </c>
      <c r="F8" s="29">
        <v>36620540</v>
      </c>
      <c r="G8" s="31">
        <f>VLOOKUP(A8,[2]Sheet1!$A:$J,10,0)</f>
        <v>1013426462</v>
      </c>
      <c r="H8" s="32">
        <f>VLOOKUP(A8,[2]Sheet1!$A:$K,11,0)</f>
        <v>44927</v>
      </c>
      <c r="I8" s="25" t="str">
        <f>VLOOKUP(A8,[2]Sheet1!$A:$F,6,0)</f>
        <v>Averozolid Line</v>
      </c>
      <c r="J8" s="25" t="str">
        <f>VLOOKUP(A8,[2]Sheet1!$A:$L,12,0)</f>
        <v>Asmaa.Ahmed.Mohamed@averroes-eg.com</v>
      </c>
      <c r="K8" s="27" t="str">
        <f>VLOOKUP(A8,[2]Sheet1!$A:$N,14,0)</f>
        <v>El Agamy</v>
      </c>
    </row>
    <row r="9" spans="1:12">
      <c r="A9" s="33">
        <v>1723</v>
      </c>
      <c r="B9" s="13" t="s">
        <v>24</v>
      </c>
      <c r="C9" s="30" t="str">
        <f>VLOOKUP(B9,[2]Sheet1!$B:$C,2,0)</f>
        <v>Asmaa Ahmed Mohamed</v>
      </c>
      <c r="D9" s="25" t="str">
        <f>VLOOKUP(B9,[2]Sheet1!$B:$H,7,0)</f>
        <v>MR</v>
      </c>
      <c r="E9" s="25">
        <f>VLOOKUP(C9,[2]Sheet1!$B:$M,12,0)</f>
        <v>1063</v>
      </c>
      <c r="F9" s="29">
        <v>1230</v>
      </c>
      <c r="G9" s="31">
        <f>VLOOKUP(A9,[2]Sheet1!$A:$J,10,0)</f>
        <v>1024665225</v>
      </c>
      <c r="H9" s="32">
        <f>VLOOKUP(A9,[2]Sheet1!$A:$K,11,0)</f>
        <v>45871</v>
      </c>
      <c r="I9" s="25" t="str">
        <f>VLOOKUP(A9,[2]Sheet1!$A:$F,6,0)</f>
        <v>Averozolid Line</v>
      </c>
      <c r="J9" s="25"/>
      <c r="K9" s="27" t="str">
        <f>VLOOKUP(A9,[2]Sheet1!$A:$N,14,0)</f>
        <v>Abo Homos</v>
      </c>
      <c r="L9" t="s">
        <v>25</v>
      </c>
    </row>
    <row r="10" spans="1:12">
      <c r="A10" s="28">
        <v>1064</v>
      </c>
      <c r="B10" s="13" t="s">
        <v>26</v>
      </c>
      <c r="C10" s="30" t="str">
        <f>VLOOKUP(B10,[2]Sheet1!$B:$C,2,0)</f>
        <v>Asmaa Ahmed Mohamed</v>
      </c>
      <c r="D10" s="25" t="str">
        <f>VLOOKUP(B10,[2]Sheet1!$B:$H,7,0)</f>
        <v>MR</v>
      </c>
      <c r="E10" s="25">
        <f>VLOOKUP(C10,[2]Sheet1!$B:$M,12,0)</f>
        <v>1063</v>
      </c>
      <c r="F10" s="29">
        <v>36620542</v>
      </c>
      <c r="G10" s="31">
        <f>VLOOKUP(A10,[2]Sheet1!$A:$J,10,0)</f>
        <v>1065290292</v>
      </c>
      <c r="H10" s="32">
        <f>VLOOKUP(A10,[2]Sheet1!$A:$K,11,0)</f>
        <v>44927</v>
      </c>
      <c r="I10" s="25" t="str">
        <f>VLOOKUP(A10,[2]Sheet1!$A:$F,6,0)</f>
        <v>Averozolid Line</v>
      </c>
      <c r="J10" s="25"/>
      <c r="K10" s="27" t="str">
        <f>VLOOKUP(A10,[2]Sheet1!$A:$N,14,0)</f>
        <v>El Asafra Kebly</v>
      </c>
    </row>
    <row r="11" spans="1:12">
      <c r="A11" s="28">
        <v>1814</v>
      </c>
      <c r="B11" s="13" t="s">
        <v>27</v>
      </c>
      <c r="C11" s="30" t="str">
        <f>VLOOKUP(B11,[2]Sheet1!$B:$C,2,0)</f>
        <v>Asmaa Ahmed Mohamed</v>
      </c>
      <c r="D11" s="25" t="str">
        <f>VLOOKUP(B11,[2]Sheet1!$B:$H,7,0)</f>
        <v>MR</v>
      </c>
      <c r="E11" s="25">
        <f>VLOOKUP(C11,[2]Sheet1!$B:$M,12,0)</f>
        <v>1063</v>
      </c>
      <c r="F11" s="29">
        <v>36620543</v>
      </c>
      <c r="G11" s="31">
        <f>VLOOKUP(A11,[2]Sheet1!$A:$J,10,0)</f>
        <v>1021405443</v>
      </c>
      <c r="H11" s="32">
        <f>VLOOKUP(A11,[2]Sheet1!$A:$K,11,0)</f>
        <v>45998</v>
      </c>
      <c r="I11" s="25" t="str">
        <f>VLOOKUP(A11,[2]Sheet1!$A:$F,6,0)</f>
        <v>Averozolid Line</v>
      </c>
      <c r="J11" s="25"/>
      <c r="K11" s="27" t="str">
        <f>VLOOKUP(A11,[2]Sheet1!$A:$N,14,0)</f>
        <v>Abou El Matameer</v>
      </c>
    </row>
    <row r="12" spans="1:12">
      <c r="A12" s="28">
        <v>1570</v>
      </c>
      <c r="B12" s="13" t="s">
        <v>28</v>
      </c>
      <c r="C12" s="30" t="str">
        <f>VLOOKUP(B12,[2]Sheet1!$B:$C,2,0)</f>
        <v>Asmaa Ahmed Mohamed</v>
      </c>
      <c r="D12" s="25" t="str">
        <f>VLOOKUP(B12,[2]Sheet1!$B:$H,7,0)</f>
        <v>MR</v>
      </c>
      <c r="E12" s="25">
        <f>VLOOKUP(C12,[2]Sheet1!$B:$M,12,0)</f>
        <v>1063</v>
      </c>
      <c r="F12" s="29">
        <v>36620544</v>
      </c>
      <c r="G12" s="31">
        <f>VLOOKUP(A12,[2]Sheet1!$A:$J,10,0)</f>
        <v>1204775122</v>
      </c>
      <c r="H12" s="32">
        <f>VLOOKUP(A12,[2]Sheet1!$A:$K,11,0)</f>
        <v>45718</v>
      </c>
      <c r="I12" s="25" t="str">
        <f>VLOOKUP(A12,[2]Sheet1!$A:$F,6,0)</f>
        <v>Averozolid Line</v>
      </c>
      <c r="J12" s="25"/>
      <c r="K12" s="27" t="str">
        <f>VLOOKUP(A12,[2]Sheet1!$A:$N,14,0)</f>
        <v>Sidi Beshr</v>
      </c>
    </row>
    <row r="13" spans="1:12">
      <c r="A13" s="28">
        <v>1692</v>
      </c>
      <c r="B13" s="13" t="s">
        <v>29</v>
      </c>
      <c r="C13" s="30" t="str">
        <f>VLOOKUP(B13,[2]Sheet1!$B:$C,2,0)</f>
        <v>Asmaa Ahmed Mohamed</v>
      </c>
      <c r="D13" s="25" t="str">
        <f>VLOOKUP(B13,[2]Sheet1!$B:$H,7,0)</f>
        <v>MR</v>
      </c>
      <c r="E13" s="25">
        <f>VLOOKUP(C13,[2]Sheet1!$B:$M,12,0)</f>
        <v>1063</v>
      </c>
      <c r="F13" s="29">
        <v>36620545</v>
      </c>
      <c r="G13" s="31">
        <f>VLOOKUP(A13,[2]Sheet1!$A:$J,10,0)</f>
        <v>1200640829</v>
      </c>
      <c r="H13" s="32">
        <f>VLOOKUP(A13,[2]Sheet1!$A:$K,11,0)</f>
        <v>45822</v>
      </c>
      <c r="I13" s="25" t="str">
        <f>VLOOKUP(A13,[2]Sheet1!$A:$F,6,0)</f>
        <v>Averozolid Line</v>
      </c>
      <c r="J13" s="25"/>
      <c r="K13" s="27" t="str">
        <f>VLOOKUP(A13,[2]Sheet1!$A:$N,14,0)</f>
        <v>El Mahmoudia</v>
      </c>
    </row>
    <row r="14" spans="1:12">
      <c r="A14" s="28">
        <v>484</v>
      </c>
      <c r="B14" s="13" t="s">
        <v>30</v>
      </c>
      <c r="C14" s="30" t="str">
        <f>VLOOKUP(B14,[2]Sheet1!$B:$C,2,0)</f>
        <v>Asmaa Ahmed Mohamed</v>
      </c>
      <c r="D14" s="25" t="str">
        <f>VLOOKUP(B14,[2]Sheet1!$B:$H,7,0)</f>
        <v>MR</v>
      </c>
      <c r="E14" s="25">
        <f>VLOOKUP(C14,[2]Sheet1!$B:$M,12,0)</f>
        <v>1063</v>
      </c>
      <c r="F14" s="29">
        <v>36620547</v>
      </c>
      <c r="G14" s="31">
        <f>VLOOKUP(A14,[2]Sheet1!$A:$J,10,0)</f>
        <v>1143315381</v>
      </c>
      <c r="H14" s="32">
        <f>VLOOKUP(A14,[2]Sheet1!$A:$K,11,0)</f>
        <v>43757</v>
      </c>
      <c r="I14" s="25" t="str">
        <f>VLOOKUP(A14,[2]Sheet1!$A:$F,6,0)</f>
        <v>Averozolid Line</v>
      </c>
      <c r="J14" s="25"/>
      <c r="K14" s="27" t="str">
        <f>VLOOKUP(A14,[2]Sheet1!$A:$N,14,0)</f>
        <v>Gleem - Stanly</v>
      </c>
    </row>
    <row r="15" spans="1:12">
      <c r="A15" s="28">
        <v>782</v>
      </c>
      <c r="B15" s="25" t="s">
        <v>31</v>
      </c>
      <c r="C15" s="30" t="str">
        <f>VLOOKUP(B15,[2]Sheet1!$B:$D,3,0)</f>
        <v>Ahmed Hamdy Ahmed</v>
      </c>
      <c r="D15" s="25" t="str">
        <f>VLOOKUP(B15,[2]Sheet1!$B:$H,7,0)</f>
        <v>DM</v>
      </c>
      <c r="E15" s="25">
        <f>VLOOKUP(C15,[2]Sheet1!$B:$M,12,0)</f>
        <v>799</v>
      </c>
      <c r="F15" s="29">
        <v>36620548</v>
      </c>
      <c r="G15" s="31">
        <f>VLOOKUP(A15,[2]Sheet1!$A:$J,10,0)</f>
        <v>1065292874</v>
      </c>
      <c r="H15" s="32">
        <f>VLOOKUP(A15,[2]Sheet1!$A:$K,11,0)</f>
        <v>44348</v>
      </c>
      <c r="I15" s="25" t="str">
        <f>VLOOKUP(A15,[2]Sheet1!$A:$F,6,0)</f>
        <v>Averozolid Line</v>
      </c>
      <c r="J15" s="25"/>
      <c r="K15" s="27" t="str">
        <f>VLOOKUP(A15,[2]Sheet1!$A:$N,14,0)</f>
        <v>Damanhour</v>
      </c>
    </row>
    <row r="16" spans="1:12">
      <c r="A16" s="28">
        <v>1134</v>
      </c>
      <c r="B16" s="25" t="s">
        <v>32</v>
      </c>
      <c r="C16" s="30" t="str">
        <f>VLOOKUP(B16,[2]Sheet1!$B:$C,2,0)</f>
        <v>Mai Ahmed Behiry</v>
      </c>
      <c r="D16" s="25" t="str">
        <f>VLOOKUP(B16,[2]Sheet1!$B:$H,7,0)</f>
        <v>MR</v>
      </c>
      <c r="E16" s="25">
        <f>VLOOKUP(C16,[2]Sheet1!$B:$M,12,0)</f>
        <v>782</v>
      </c>
      <c r="F16" s="29">
        <v>36620549</v>
      </c>
      <c r="G16" s="31">
        <f>VLOOKUP(A16,[2]Sheet1!$A:$J,10,0)</f>
        <v>1019187658</v>
      </c>
      <c r="H16" s="32">
        <f>VLOOKUP(A16,[2]Sheet1!$A:$K,11,0)</f>
        <v>44958</v>
      </c>
      <c r="I16" s="25" t="str">
        <f>VLOOKUP(A16,[2]Sheet1!$A:$F,6,0)</f>
        <v>Averozolid Line</v>
      </c>
      <c r="J16" s="25"/>
      <c r="K16" s="27" t="str">
        <f>VLOOKUP(A16,[2]Sheet1!$A:$N,14,0)</f>
        <v>Desouk</v>
      </c>
    </row>
    <row r="17" spans="1:11">
      <c r="A17" s="28">
        <v>1226</v>
      </c>
      <c r="B17" s="25" t="s">
        <v>33</v>
      </c>
      <c r="C17" s="30" t="str">
        <f>VLOOKUP(B17,[2]Sheet1!$B:$C,2,0)</f>
        <v>Mai Ahmed Behiry</v>
      </c>
      <c r="D17" s="25" t="str">
        <f>VLOOKUP(B17,[2]Sheet1!$B:$H,7,0)</f>
        <v>MR</v>
      </c>
      <c r="E17" s="25">
        <f>VLOOKUP(C17,[2]Sheet1!$B:$M,12,0)</f>
        <v>782</v>
      </c>
      <c r="F17" s="29">
        <v>36620550</v>
      </c>
      <c r="G17" s="31">
        <f>VLOOKUP(A17,[2]Sheet1!$A:$J,10,0)</f>
        <v>1027218951</v>
      </c>
      <c r="H17" s="32">
        <f>VLOOKUP(A17,[2]Sheet1!$A:$K,11,0)</f>
        <v>45094</v>
      </c>
      <c r="I17" s="25" t="str">
        <f>VLOOKUP(A17,[2]Sheet1!$A:$F,6,0)</f>
        <v>Averozolid Line</v>
      </c>
      <c r="J17" s="25"/>
      <c r="K17" s="27" t="str">
        <f>VLOOKUP(A17,[2]Sheet1!$A:$N,14,0)</f>
        <v>Etay El Baroud</v>
      </c>
    </row>
    <row r="18" spans="1:11">
      <c r="A18" s="28">
        <v>637</v>
      </c>
      <c r="B18" s="25" t="s">
        <v>34</v>
      </c>
      <c r="C18" s="30" t="str">
        <f>VLOOKUP(B18,[2]Sheet1!$B:$C,2,0)</f>
        <v>Mai Ahmed Behiry</v>
      </c>
      <c r="D18" s="25" t="str">
        <f>VLOOKUP(B18,[2]Sheet1!$B:$H,7,0)</f>
        <v>MR</v>
      </c>
      <c r="E18" s="25">
        <f>VLOOKUP(C18,[2]Sheet1!$B:$M,12,0)</f>
        <v>782</v>
      </c>
      <c r="F18" s="29">
        <v>36620551</v>
      </c>
      <c r="G18" s="31">
        <f>VLOOKUP(A18,[2]Sheet1!$A:$J,10,0)</f>
        <v>1012117062</v>
      </c>
      <c r="H18" s="32">
        <f>VLOOKUP(A18,[2]Sheet1!$A:$K,11,0)</f>
        <v>43892</v>
      </c>
      <c r="I18" s="25" t="str">
        <f>VLOOKUP(A18,[2]Sheet1!$A:$F,6,0)</f>
        <v>Averozolid Line</v>
      </c>
      <c r="J18" s="25"/>
      <c r="K18" s="27" t="str">
        <f>VLOOKUP(A18,[2]Sheet1!$A:$N,14,0)</f>
        <v>Kafr El Shiekh</v>
      </c>
    </row>
    <row r="19" spans="1:11">
      <c r="A19" s="28">
        <v>551</v>
      </c>
      <c r="B19" s="25" t="s">
        <v>35</v>
      </c>
      <c r="C19" s="30" t="str">
        <f>VLOOKUP(B19,[2]Sheet1!$B:$C,2,0)</f>
        <v>Mai Ahmed Behiry</v>
      </c>
      <c r="D19" s="25" t="str">
        <f>VLOOKUP(B19,[2]Sheet1!$B:$H,7,0)</f>
        <v>MR</v>
      </c>
      <c r="E19" s="25">
        <f>VLOOKUP(C19,[2]Sheet1!$B:$M,12,0)</f>
        <v>782</v>
      </c>
      <c r="F19" s="29">
        <v>36620552</v>
      </c>
      <c r="G19" s="31">
        <f>VLOOKUP(A19,[2]Sheet1!$A:$J,10,0)</f>
        <v>1064834835</v>
      </c>
      <c r="H19" s="32">
        <f>VLOOKUP(A19,[2]Sheet1!$A:$K,11,0)</f>
        <v>43852</v>
      </c>
      <c r="I19" s="25" t="str">
        <f>VLOOKUP(A19,[2]Sheet1!$A:$F,6,0)</f>
        <v>Averozolid Line</v>
      </c>
      <c r="J19" s="25"/>
      <c r="K19" s="27" t="str">
        <f>VLOOKUP(A19,[2]Sheet1!$A:$N,14,0)</f>
        <v>Kafr El Shiekh</v>
      </c>
    </row>
    <row r="20" spans="1:11">
      <c r="A20" s="28">
        <v>974</v>
      </c>
      <c r="B20" s="25" t="s">
        <v>36</v>
      </c>
      <c r="C20" s="30" t="str">
        <f>VLOOKUP(B20,[2]Sheet1!$B:$D,3,0)</f>
        <v>Ahmed Hamdy Ahmed</v>
      </c>
      <c r="D20" s="25" t="str">
        <f>VLOOKUP(B20,[2]Sheet1!$B:$H,7,0)</f>
        <v>DM</v>
      </c>
      <c r="E20" s="25">
        <f>VLOOKUP(C20,[2]Sheet1!$B:$M,12,0)</f>
        <v>799</v>
      </c>
      <c r="F20" s="29">
        <v>36620553</v>
      </c>
      <c r="G20" s="31">
        <f>VLOOKUP(A20,[2]Sheet1!$A:$J,10,0)</f>
        <v>1277121908</v>
      </c>
      <c r="H20" s="32">
        <f>VLOOKUP(A20,[2]Sheet1!$A:$K,11,0)</f>
        <v>44758</v>
      </c>
      <c r="I20" s="25" t="str">
        <f>VLOOKUP(A20,[2]Sheet1!$A:$F,6,0)</f>
        <v>Averozolid Line</v>
      </c>
      <c r="J20" s="25"/>
      <c r="K20" s="27" t="str">
        <f>VLOOKUP(A20,[2]Sheet1!$A:$N,14,0)</f>
        <v>Moharam Bek</v>
      </c>
    </row>
    <row r="21" spans="1:11">
      <c r="A21" s="28">
        <v>1451</v>
      </c>
      <c r="B21" s="25" t="s">
        <v>37</v>
      </c>
      <c r="C21" s="30" t="str">
        <f>VLOOKUP(B21,[2]Sheet1!$B:$C,2,0)</f>
        <v>Marina Adel Samy</v>
      </c>
      <c r="D21" s="25" t="str">
        <f>VLOOKUP(B21,[2]Sheet1!$B:$H,7,0)</f>
        <v>MR</v>
      </c>
      <c r="E21" s="25">
        <f>VLOOKUP(C21,[2]Sheet1!$B:$M,12,0)</f>
        <v>974</v>
      </c>
      <c r="F21" s="29">
        <v>36620555</v>
      </c>
      <c r="G21" s="31">
        <f>VLOOKUP(A21,[2]Sheet1!$A:$J,10,0)</f>
        <v>1211159906</v>
      </c>
      <c r="H21" s="32">
        <f>VLOOKUP(A21,[2]Sheet1!$A:$K,11,0)</f>
        <v>45577</v>
      </c>
      <c r="I21" s="25" t="str">
        <f>VLOOKUP(A21,[2]Sheet1!$A:$F,6,0)</f>
        <v>Averozolid Line</v>
      </c>
      <c r="J21" s="25"/>
      <c r="K21" s="27" t="str">
        <f>VLOOKUP(A21,[2]Sheet1!$A:$N,14,0)</f>
        <v>El Qabary</v>
      </c>
    </row>
    <row r="22" spans="1:11">
      <c r="A22" s="28">
        <v>1582</v>
      </c>
      <c r="B22" s="25" t="s">
        <v>38</v>
      </c>
      <c r="C22" s="30" t="str">
        <f>VLOOKUP(B22,[2]Sheet1!$B:$C,2,0)</f>
        <v>Marina Adel Samy</v>
      </c>
      <c r="D22" s="25" t="str">
        <f>VLOOKUP(B22,[2]Sheet1!$B:$H,7,0)</f>
        <v>MR</v>
      </c>
      <c r="E22" s="25">
        <f>VLOOKUP(C22,[2]Sheet1!$B:$M,12,0)</f>
        <v>974</v>
      </c>
      <c r="F22" s="29">
        <v>36620556</v>
      </c>
      <c r="G22" s="31">
        <f>VLOOKUP(A22,[2]Sheet1!$A:$J,10,0)</f>
        <v>1009692686</v>
      </c>
      <c r="H22" s="32">
        <f>VLOOKUP(A22,[2]Sheet1!$A:$K,11,0)</f>
        <v>45725</v>
      </c>
      <c r="I22" s="25" t="str">
        <f>VLOOKUP(A22,[2]Sheet1!$A:$F,6,0)</f>
        <v>Averozolid Line</v>
      </c>
      <c r="J22" s="25"/>
      <c r="K22" s="27" t="str">
        <f>VLOOKUP(A22,[2]Sheet1!$A:$N,14,0)</f>
        <v>El Ebrahimia</v>
      </c>
    </row>
    <row r="23" spans="1:11">
      <c r="A23" s="28">
        <v>1834</v>
      </c>
      <c r="B23" s="25" t="s">
        <v>39</v>
      </c>
      <c r="C23" s="30" t="str">
        <f>VLOOKUP(B23,[2]Sheet1!$B:$C,2,0)</f>
        <v>Marina Adel Samy</v>
      </c>
      <c r="D23" s="25" t="str">
        <f>VLOOKUP(B23,[2]Sheet1!$B:$H,7,0)</f>
        <v>MR</v>
      </c>
      <c r="E23" s="25">
        <f>VLOOKUP(C23,[2]Sheet1!$B:$M,12,0)</f>
        <v>974</v>
      </c>
      <c r="F23" s="29">
        <v>36620558</v>
      </c>
      <c r="G23" s="31">
        <f>VLOOKUP(A23,[2]Sheet1!$A:$J,10,0)</f>
        <v>1212271646</v>
      </c>
      <c r="H23" s="32">
        <f>VLOOKUP(A23,[2]Sheet1!$A:$K,11,0)</f>
        <v>46011</v>
      </c>
      <c r="I23" s="25" t="str">
        <f>VLOOKUP(A23,[2]Sheet1!$A:$F,6,0)</f>
        <v>Averozolid Line</v>
      </c>
      <c r="J23" s="25"/>
      <c r="K23" s="27" t="str">
        <f>VLOOKUP(A23,[2]Sheet1!$A:$N,14,0)</f>
        <v>Victoria</v>
      </c>
    </row>
    <row r="24" spans="1:11">
      <c r="A24" s="28">
        <v>1267</v>
      </c>
      <c r="B24" s="34" t="s">
        <v>40</v>
      </c>
      <c r="C24" s="30" t="str">
        <f>VLOOKUP(B24,[2]Sheet1!$B:$C,2,0)</f>
        <v>Marina Adel Samy</v>
      </c>
      <c r="D24" s="25" t="str">
        <f>VLOOKUP(B24,[2]Sheet1!$B:$H,7,0)</f>
        <v>MR</v>
      </c>
      <c r="E24" s="25">
        <f>VLOOKUP(C24,[2]Sheet1!$B:$M,12,0)</f>
        <v>974</v>
      </c>
      <c r="F24" s="29">
        <v>36620559</v>
      </c>
      <c r="G24" s="31">
        <f>VLOOKUP(A24,[2]Sheet1!$A:$J,10,0)</f>
        <v>1122177715</v>
      </c>
      <c r="H24" s="32">
        <f>VLOOKUP(A24,[2]Sheet1!$A:$K,11,0)</f>
        <v>45185</v>
      </c>
      <c r="I24" s="25" t="str">
        <f>VLOOKUP(A24,[2]Sheet1!$A:$F,6,0)</f>
        <v>Averozolid Line</v>
      </c>
      <c r="J24" s="25"/>
      <c r="K24" s="27" t="str">
        <f>VLOOKUP(A24,[2]Sheet1!$A:$N,14,0)</f>
        <v>El Dekhiala</v>
      </c>
    </row>
    <row r="25" spans="1:11">
      <c r="A25" s="28">
        <v>1699</v>
      </c>
      <c r="B25" s="34" t="s">
        <v>41</v>
      </c>
      <c r="C25" s="30" t="str">
        <f>VLOOKUP(B25,[2]Sheet1!$B:$C,2,0)</f>
        <v>Marina Adel Samy</v>
      </c>
      <c r="D25" s="25" t="str">
        <f>VLOOKUP(B25,[2]Sheet1!$B:$H,7,0)</f>
        <v>MR</v>
      </c>
      <c r="E25" s="25">
        <f>VLOOKUP(C25,[2]Sheet1!$B:$M,12,0)</f>
        <v>974</v>
      </c>
      <c r="F25" s="29">
        <v>36620560</v>
      </c>
      <c r="G25" s="31">
        <f>VLOOKUP(A25,[2]Sheet1!$A:$J,10,0)</f>
        <v>1222218132</v>
      </c>
      <c r="H25" s="32">
        <f>VLOOKUP(A25,[2]Sheet1!$A:$K,11,0)</f>
        <v>45839</v>
      </c>
      <c r="I25" s="25" t="str">
        <f>VLOOKUP(A25,[2]Sheet1!$A:$F,6,0)</f>
        <v>Averozolid Line</v>
      </c>
      <c r="J25" s="25"/>
      <c r="K25" s="27" t="str">
        <f>VLOOKUP(A25,[2]Sheet1!$A:$N,14,0)</f>
        <v>Abo Yousef</v>
      </c>
    </row>
    <row r="26" spans="1:11">
      <c r="A26" s="28">
        <v>618</v>
      </c>
      <c r="B26" s="34" t="s">
        <v>42</v>
      </c>
      <c r="C26" s="30" t="str">
        <f>VLOOKUP(B26,[2]Sheet1!$B:$E,4,0)</f>
        <v>Abd Elhameed Elshiekh</v>
      </c>
      <c r="D26" s="25" t="str">
        <f>VLOOKUP(B26,[2]Sheet1!$B:$H,7,0)</f>
        <v>AM</v>
      </c>
      <c r="E26" s="25">
        <f>VLOOKUP(C26,[2]Sheet1!$B:$M,12,0)</f>
        <v>59</v>
      </c>
      <c r="F26" s="29">
        <v>36620563</v>
      </c>
      <c r="G26" s="31">
        <f>VLOOKUP(A26,[2]Sheet1!$A:$J,10,0)</f>
        <v>1000720221</v>
      </c>
      <c r="H26" s="32">
        <f>VLOOKUP(A26,[2]Sheet1!$A:$K,11,0)</f>
        <v>43876</v>
      </c>
      <c r="I26" s="25" t="str">
        <f>VLOOKUP(A26,[2]Sheet1!$A:$F,6,0)</f>
        <v>Averozolid Line</v>
      </c>
      <c r="J26" s="25" t="str">
        <f>VLOOKUP(A26,[2]Sheet1!$A:$L,12,0)</f>
        <v>ahmed.shawky@averroes-eg.com</v>
      </c>
      <c r="K26" s="27" t="str">
        <f>VLOOKUP(A26,[2]Sheet1!$A:$N,14,0)</f>
        <v>10th Of Ramadan</v>
      </c>
    </row>
    <row r="27" spans="1:11">
      <c r="A27" s="28">
        <v>1375</v>
      </c>
      <c r="B27" s="34" t="s">
        <v>43</v>
      </c>
      <c r="C27" s="30" t="str">
        <f>VLOOKUP(B27,[2]Sheet1!$B:$D,3,0)</f>
        <v>Ahmed Shawky Adawy</v>
      </c>
      <c r="D27" s="25" t="str">
        <f>VLOOKUP(B27,[2]Sheet1!$B:$H,7,0)</f>
        <v>DM</v>
      </c>
      <c r="E27" s="25">
        <f>VLOOKUP(C27,[2]Sheet1!$B:$M,12,0)</f>
        <v>618</v>
      </c>
      <c r="F27" s="29">
        <v>36620564</v>
      </c>
      <c r="G27" s="31">
        <f>VLOOKUP(A27,[2]Sheet1!$A:$J,10,0)</f>
        <v>1067226786</v>
      </c>
      <c r="H27" s="32">
        <f>VLOOKUP(A27,[2]Sheet1!$A:$K,11,0)</f>
        <v>45444</v>
      </c>
      <c r="I27" s="25" t="str">
        <f>VLOOKUP(A27,[2]Sheet1!$A:$F,6,0)</f>
        <v>Averozolid Line</v>
      </c>
      <c r="J27" s="25" t="str">
        <f>VLOOKUP(A27,[2]Sheet1!$A:$L,12,0)</f>
        <v>Mayada.Rashad@averroes-eg.com</v>
      </c>
      <c r="K27" s="27" t="str">
        <f>VLOOKUP(A27,[2]Sheet1!$A:$N,14,0)</f>
        <v>Talkha</v>
      </c>
    </row>
    <row r="28" spans="1:11">
      <c r="A28" s="28">
        <v>1781</v>
      </c>
      <c r="B28" s="34" t="s">
        <v>44</v>
      </c>
      <c r="C28" s="30" t="str">
        <f>VLOOKUP(B28,[2]Sheet1!$B:$C,2,0)</f>
        <v>Mayada Ahmed Rashad</v>
      </c>
      <c r="D28" s="25" t="str">
        <f>VLOOKUP(B28,[2]Sheet1!$B:$H,7,0)</f>
        <v>MR</v>
      </c>
      <c r="E28" s="25">
        <f>VLOOKUP(C28,[2]Sheet1!$B:$M,12,0)</f>
        <v>1375</v>
      </c>
      <c r="F28" s="29">
        <v>36620565</v>
      </c>
      <c r="G28" s="31">
        <f>VLOOKUP(A28,[2]Sheet1!$A:$J,10,0)</f>
        <v>1098474522</v>
      </c>
      <c r="H28" s="32">
        <f>VLOOKUP(A28,[2]Sheet1!$A:$K,11,0)</f>
        <v>45963</v>
      </c>
      <c r="I28" s="25" t="str">
        <f>VLOOKUP(A28,[2]Sheet1!$A:$F,6,0)</f>
        <v>Averozolid Line</v>
      </c>
      <c r="J28" s="25"/>
      <c r="K28" s="27" t="str">
        <f>VLOOKUP(A28,[2]Sheet1!$A:$N,14,0)</f>
        <v>El Mansoura</v>
      </c>
    </row>
    <row r="29" spans="1:11">
      <c r="A29" s="28">
        <v>227</v>
      </c>
      <c r="B29" s="34" t="s">
        <v>45</v>
      </c>
      <c r="C29" s="30" t="str">
        <f>VLOOKUP(B29,[2]Sheet1!$B:$C,2,0)</f>
        <v>Mayada Ahmed Rashad</v>
      </c>
      <c r="D29" s="25" t="str">
        <f>VLOOKUP(B29,[2]Sheet1!$B:$H,7,0)</f>
        <v>MR</v>
      </c>
      <c r="E29" s="25">
        <f>VLOOKUP(C29,[2]Sheet1!$B:$M,12,0)</f>
        <v>1375</v>
      </c>
      <c r="F29" s="29">
        <v>36620566</v>
      </c>
      <c r="G29" s="31" t="str">
        <f>VLOOKUP(A29,[2]Sheet1!$A:$J,10,0)</f>
        <v> 01005677611</v>
      </c>
      <c r="H29" s="32">
        <f>VLOOKUP(A29,[2]Sheet1!$A:$K,11,0)</f>
        <v>43163</v>
      </c>
      <c r="I29" s="25" t="str">
        <f>VLOOKUP(A29,[2]Sheet1!$A:$F,6,0)</f>
        <v>Averozolid Line</v>
      </c>
      <c r="J29" s="25"/>
      <c r="K29" s="27" t="str">
        <f>VLOOKUP(A29,[2]Sheet1!$A:$N,14,0)</f>
        <v>Meet Ghamr</v>
      </c>
    </row>
    <row r="30" spans="1:11">
      <c r="A30" s="28">
        <v>1386</v>
      </c>
      <c r="B30" s="34" t="s">
        <v>46</v>
      </c>
      <c r="C30" s="30" t="str">
        <f>VLOOKUP(B30,[2]Sheet1!$B:$C,2,0)</f>
        <v>Mayada Ahmed Rashad</v>
      </c>
      <c r="D30" s="25" t="str">
        <f>VLOOKUP(B30,[2]Sheet1!$B:$H,7,0)</f>
        <v>MR</v>
      </c>
      <c r="E30" s="25">
        <f>VLOOKUP(C30,[2]Sheet1!$B:$M,12,0)</f>
        <v>1375</v>
      </c>
      <c r="F30" s="29">
        <v>36620567</v>
      </c>
      <c r="G30" s="31">
        <f>VLOOKUP(A30,[2]Sheet1!$A:$J,10,0)</f>
        <v>1013304176</v>
      </c>
      <c r="H30" s="32">
        <f>VLOOKUP(A30,[2]Sheet1!$A:$K,11,0)</f>
        <v>45444</v>
      </c>
      <c r="I30" s="25" t="str">
        <f>VLOOKUP(A30,[2]Sheet1!$A:$F,6,0)</f>
        <v>Averozolid Line</v>
      </c>
      <c r="J30" s="25"/>
      <c r="K30" s="27" t="str">
        <f>VLOOKUP(A30,[2]Sheet1!$A:$N,14,0)</f>
        <v>Dekernes</v>
      </c>
    </row>
    <row r="31" spans="1:11">
      <c r="A31" s="28">
        <v>1769</v>
      </c>
      <c r="B31" s="34" t="s">
        <v>47</v>
      </c>
      <c r="C31" s="30" t="str">
        <f>VLOOKUP(B31,[2]Sheet1!$B:$C,2,0)</f>
        <v>Mayada Ahmed Rashad</v>
      </c>
      <c r="D31" s="25" t="str">
        <f>VLOOKUP(B31,[2]Sheet1!$B:$H,7,0)</f>
        <v>MR</v>
      </c>
      <c r="E31" s="25">
        <f>VLOOKUP(C31,[2]Sheet1!$B:$M,12,0)</f>
        <v>1375</v>
      </c>
      <c r="F31" s="29">
        <v>36620568</v>
      </c>
      <c r="G31" s="31">
        <f>VLOOKUP(A31,[2]Sheet1!$A:$J,10,0)</f>
        <v>1063682374</v>
      </c>
      <c r="H31" s="32">
        <f>VLOOKUP(A31,[2]Sheet1!$A:$K,11,0)</f>
        <v>45945</v>
      </c>
      <c r="I31" s="25" t="str">
        <f>VLOOKUP(A31,[2]Sheet1!$A:$F,6,0)</f>
        <v>Averozolid Line</v>
      </c>
      <c r="J31" s="25"/>
      <c r="K31" s="27" t="str">
        <f>VLOOKUP(A31,[2]Sheet1!$A:$N,14,0)</f>
        <v>El Mansoura</v>
      </c>
    </row>
    <row r="32" spans="1:11">
      <c r="A32" s="28">
        <v>1592</v>
      </c>
      <c r="B32" s="34" t="s">
        <v>48</v>
      </c>
      <c r="C32" s="30" t="str">
        <f>VLOOKUP(B32,[2]Sheet1!$B:$C,2,0)</f>
        <v>Mayada Ahmed Rashad</v>
      </c>
      <c r="D32" s="25" t="str">
        <f>VLOOKUP(B32,[2]Sheet1!$B:$H,7,0)</f>
        <v>MR</v>
      </c>
      <c r="E32" s="25">
        <f>VLOOKUP(C32,[2]Sheet1!$B:$M,12,0)</f>
        <v>1375</v>
      </c>
      <c r="F32" s="29">
        <v>36620569</v>
      </c>
      <c r="G32" s="31">
        <f>VLOOKUP(A32,[2]Sheet1!$A:$J,10,0)</f>
        <v>1033505211</v>
      </c>
      <c r="H32" s="32">
        <f>VLOOKUP(A32,[2]Sheet1!$A:$K,11,0)</f>
        <v>45731</v>
      </c>
      <c r="I32" s="25" t="str">
        <f>VLOOKUP(A32,[2]Sheet1!$A:$F,6,0)</f>
        <v>Averozolid Line</v>
      </c>
      <c r="J32" s="25"/>
      <c r="K32" s="27" t="str">
        <f>VLOOKUP(A32,[2]Sheet1!$A:$N,14,0)</f>
        <v>Menyet El Nasr</v>
      </c>
    </row>
    <row r="33" spans="1:11">
      <c r="A33" s="28">
        <v>549</v>
      </c>
      <c r="B33" s="34" t="s">
        <v>49</v>
      </c>
      <c r="C33" s="30" t="str">
        <f>VLOOKUP(B33,[2]Sheet1!$B:$C,2,0)</f>
        <v>Mayada Ahmed Rashad</v>
      </c>
      <c r="D33" s="25" t="str">
        <f>VLOOKUP(B33,[2]Sheet1!$B:$H,7,0)</f>
        <v>MR</v>
      </c>
      <c r="E33" s="25">
        <f>VLOOKUP(C33,[2]Sheet1!$B:$M,12,0)</f>
        <v>1375</v>
      </c>
      <c r="F33" s="29">
        <v>36620570</v>
      </c>
      <c r="G33" s="31">
        <f>VLOOKUP(A33,[2]Sheet1!$A:$J,10,0)</f>
        <v>1146692254</v>
      </c>
      <c r="H33" s="32">
        <f>VLOOKUP(A33,[2]Sheet1!$A:$K,11,0)</f>
        <v>43850</v>
      </c>
      <c r="I33" s="25" t="str">
        <f>VLOOKUP(A33,[2]Sheet1!$A:$F,6,0)</f>
        <v>Averozolid Line</v>
      </c>
      <c r="J33" s="25"/>
      <c r="K33" s="27" t="str">
        <f>VLOOKUP(A33,[2]Sheet1!$A:$N,14,0)</f>
        <v>Port Saed</v>
      </c>
    </row>
    <row r="34" spans="1:11">
      <c r="A34" s="28">
        <v>1736</v>
      </c>
      <c r="B34" s="34" t="s">
        <v>50</v>
      </c>
      <c r="C34" s="30" t="str">
        <f>VLOOKUP(B34,[2]Sheet1!$B:$C,2,0)</f>
        <v>Mayada Ahmed Rashad</v>
      </c>
      <c r="D34" s="25" t="str">
        <f>VLOOKUP(B34,[2]Sheet1!$B:$H,7,0)</f>
        <v>MR</v>
      </c>
      <c r="E34" s="25">
        <f>VLOOKUP(C34,[2]Sheet1!$B:$M,12,0)</f>
        <v>1375</v>
      </c>
      <c r="F34" s="29">
        <v>36620571</v>
      </c>
      <c r="G34" s="31">
        <f>VLOOKUP(A34,[2]Sheet1!$A:$J,10,0)</f>
        <v>1227974997</v>
      </c>
      <c r="H34" s="32">
        <f>VLOOKUP(A34,[2]Sheet1!$A:$K,11,0)</f>
        <v>45901</v>
      </c>
      <c r="I34" s="25" t="str">
        <f>VLOOKUP(A34,[2]Sheet1!$A:$F,6,0)</f>
        <v>Averozolid Line</v>
      </c>
      <c r="J34" s="25"/>
      <c r="K34" s="27" t="str">
        <f>VLOOKUP(A34,[2]Sheet1!$A:$N,14,0)</f>
        <v>Domiat</v>
      </c>
    </row>
    <row r="35" spans="1:11">
      <c r="A35" s="28">
        <v>1440</v>
      </c>
      <c r="B35" s="34" t="s">
        <v>51</v>
      </c>
      <c r="C35" s="30" t="str">
        <f>VLOOKUP(B35,[2]Sheet1!$B:$C,2,0)</f>
        <v>Mayada Ahmed Rashad</v>
      </c>
      <c r="D35" s="25" t="str">
        <f>VLOOKUP(B35,[2]Sheet1!$B:$H,7,0)</f>
        <v>MR</v>
      </c>
      <c r="E35" s="25">
        <f>VLOOKUP(C35,[2]Sheet1!$B:$M,12,0)</f>
        <v>1375</v>
      </c>
      <c r="F35" s="29">
        <v>36620572</v>
      </c>
      <c r="G35" s="31">
        <f>VLOOKUP(A35,[2]Sheet1!$A:$J,10,0)</f>
        <v>1009869495</v>
      </c>
      <c r="H35" s="32">
        <f>VLOOKUP(A35,[2]Sheet1!$A:$K,11,0)</f>
        <v>45536</v>
      </c>
      <c r="I35" s="25" t="str">
        <f>VLOOKUP(A35,[2]Sheet1!$A:$F,6,0)</f>
        <v>Averozolid Line</v>
      </c>
      <c r="J35" s="25"/>
      <c r="K35" s="27" t="str">
        <f>VLOOKUP(A35,[2]Sheet1!$A:$N,14,0)</f>
        <v>Domiat</v>
      </c>
    </row>
    <row r="36" spans="1:11">
      <c r="A36" s="28">
        <v>699</v>
      </c>
      <c r="B36" s="34" t="s">
        <v>52</v>
      </c>
      <c r="C36" s="30" t="str">
        <f>VLOOKUP(B36,[2]Sheet1!$B:$D,3,0)</f>
        <v>Ahmed Shawky Adawy</v>
      </c>
      <c r="D36" s="25" t="str">
        <f>VLOOKUP(B36,[2]Sheet1!$B:$H,7,0)</f>
        <v>DM</v>
      </c>
      <c r="E36" s="25">
        <f>VLOOKUP(C36,[2]Sheet1!$B:$M,12,0)</f>
        <v>618</v>
      </c>
      <c r="F36" s="29">
        <v>36620573</v>
      </c>
      <c r="G36" s="31">
        <f>VLOOKUP(A36,[2]Sheet1!$A:$J,10,0)</f>
        <v>1026560922</v>
      </c>
      <c r="H36" s="32">
        <f>VLOOKUP(A36,[2]Sheet1!$A:$K,11,0)</f>
        <v>44172</v>
      </c>
      <c r="I36" s="25" t="str">
        <f>VLOOKUP(A36,[2]Sheet1!$A:$F,6,0)</f>
        <v>Averozolid Line</v>
      </c>
      <c r="J36" s="25" t="str">
        <f>VLOOKUP(A36,[2]Sheet1!$A:$L,12,0)</f>
        <v>Mohamed.Hassan.Amin@averroes-eg.com</v>
      </c>
      <c r="K36" s="27" t="str">
        <f>VLOOKUP(A36,[2]Sheet1!$A:$N,14,0)</f>
        <v>Fakoos</v>
      </c>
    </row>
    <row r="37" spans="1:11">
      <c r="A37" s="28">
        <v>1555</v>
      </c>
      <c r="B37" s="34" t="s">
        <v>53</v>
      </c>
      <c r="C37" s="30" t="str">
        <f>VLOOKUP(B37,[2]Sheet1!$B:$C,2,0)</f>
        <v>Mohamed Hassan Amin</v>
      </c>
      <c r="D37" s="25" t="str">
        <f>VLOOKUP(B37,[2]Sheet1!$B:$H,7,0)</f>
        <v>MR</v>
      </c>
      <c r="E37" s="25">
        <f>VLOOKUP(C37,[2]Sheet1!$B:$M,12,0)</f>
        <v>699</v>
      </c>
      <c r="F37" s="29">
        <v>36620574</v>
      </c>
      <c r="G37" s="31">
        <f>VLOOKUP(A37,[2]Sheet1!$A:$J,10,0)</f>
        <v>1202453837</v>
      </c>
      <c r="H37" s="32">
        <f>VLOOKUP(A37,[2]Sheet1!$A:$K,11,0)</f>
        <v>45710</v>
      </c>
      <c r="I37" s="25" t="str">
        <f>VLOOKUP(A37,[2]Sheet1!$A:$F,6,0)</f>
        <v>Averozolid Line</v>
      </c>
      <c r="J37" s="25"/>
      <c r="K37" s="27" t="str">
        <f>VLOOKUP(A37,[2]Sheet1!$A:$N,14,0)</f>
        <v>hehia</v>
      </c>
    </row>
    <row r="38" spans="1:11">
      <c r="A38" s="28">
        <v>843</v>
      </c>
      <c r="B38" s="34" t="s">
        <v>54</v>
      </c>
      <c r="C38" s="30" t="str">
        <f>VLOOKUP(B38,[2]Sheet1!$B:$C,2,0)</f>
        <v>Mohamed Hassan Amin</v>
      </c>
      <c r="D38" s="25" t="str">
        <f>VLOOKUP(B38,[2]Sheet1!$B:$H,7,0)</f>
        <v>MR</v>
      </c>
      <c r="E38" s="25">
        <f>VLOOKUP(C38,[2]Sheet1!$B:$M,12,0)</f>
        <v>699</v>
      </c>
      <c r="F38" s="29">
        <v>36620575</v>
      </c>
      <c r="G38" s="31">
        <f>VLOOKUP(A38,[2]Sheet1!$A:$J,10,0)</f>
        <v>1066047570</v>
      </c>
      <c r="H38" s="32">
        <f>VLOOKUP(A38,[2]Sheet1!$A:$K,11,0)</f>
        <v>44481</v>
      </c>
      <c r="I38" s="25" t="str">
        <f>VLOOKUP(A38,[2]Sheet1!$A:$F,6,0)</f>
        <v>Averozolid Line</v>
      </c>
      <c r="J38" s="25"/>
      <c r="K38" s="27" t="str">
        <f>VLOOKUP(A38,[2]Sheet1!$A:$N,14,0)</f>
        <v>Shebien El Kanater</v>
      </c>
    </row>
    <row r="39" spans="1:11">
      <c r="A39" s="28">
        <v>1573</v>
      </c>
      <c r="B39" s="34" t="s">
        <v>55</v>
      </c>
      <c r="C39" s="30" t="str">
        <f>VLOOKUP(B39,[2]Sheet1!$B:$C,2,0)</f>
        <v>Mohamed Hassan Amin</v>
      </c>
      <c r="D39" s="25" t="str">
        <f>VLOOKUP(B39,[2]Sheet1!$B:$H,7,0)</f>
        <v>MR</v>
      </c>
      <c r="E39" s="25">
        <f>VLOOKUP(C39,[2]Sheet1!$B:$M,12,0)</f>
        <v>699</v>
      </c>
      <c r="F39" s="29">
        <v>36620576</v>
      </c>
      <c r="G39" s="31">
        <f>VLOOKUP(A39,[2]Sheet1!$A:$J,10,0)</f>
        <v>1121718921</v>
      </c>
      <c r="H39" s="32">
        <f>VLOOKUP(A39,[2]Sheet1!$A:$K,11,0)</f>
        <v>45717</v>
      </c>
      <c r="I39" s="25" t="str">
        <f>VLOOKUP(A39,[2]Sheet1!$A:$F,6,0)</f>
        <v>Averozolid Line</v>
      </c>
      <c r="J39" s="25"/>
      <c r="K39" s="27" t="str">
        <f>VLOOKUP(A39,[2]Sheet1!$A:$N,14,0)</f>
        <v>Fakoos</v>
      </c>
    </row>
    <row r="40" spans="1:11">
      <c r="A40" s="28">
        <v>450</v>
      </c>
      <c r="B40" s="34" t="s">
        <v>56</v>
      </c>
      <c r="C40" s="30" t="str">
        <f>VLOOKUP(B40,[2]Sheet1!$B:$C,2,0)</f>
        <v>Mohamed Hassan Amin</v>
      </c>
      <c r="D40" s="25" t="str">
        <f>VLOOKUP(B40,[2]Sheet1!$B:$H,7,0)</f>
        <v>MR</v>
      </c>
      <c r="E40" s="25">
        <f>VLOOKUP(C40,[2]Sheet1!$B:$M,12,0)</f>
        <v>699</v>
      </c>
      <c r="F40" s="29">
        <v>36620577</v>
      </c>
      <c r="G40" s="31">
        <f>VLOOKUP(A40,[2]Sheet1!$A:$J,10,0)</f>
        <v>1148024572</v>
      </c>
      <c r="H40" s="32">
        <f>VLOOKUP(A40,[2]Sheet1!$A:$K,11,0)</f>
        <v>43586</v>
      </c>
      <c r="I40" s="25" t="str">
        <f>VLOOKUP(A40,[2]Sheet1!$A:$F,6,0)</f>
        <v>Averozolid Line</v>
      </c>
      <c r="J40" s="25"/>
      <c r="K40" s="27" t="str">
        <f>VLOOKUP(A40,[2]Sheet1!$A:$N,14,0)</f>
        <v>El Zakazik City</v>
      </c>
    </row>
    <row r="41" spans="1:11">
      <c r="A41" s="28">
        <v>1547</v>
      </c>
      <c r="B41" s="34" t="s">
        <v>57</v>
      </c>
      <c r="C41" s="30" t="str">
        <f>VLOOKUP(B41,[2]Sheet1!$B:$C,2,0)</f>
        <v>Mohamed Hassan Amin</v>
      </c>
      <c r="D41" s="25" t="str">
        <f>VLOOKUP(B41,[2]Sheet1!$B:$H,7,0)</f>
        <v>MR</v>
      </c>
      <c r="E41" s="25">
        <f>VLOOKUP(C41,[2]Sheet1!$B:$M,12,0)</f>
        <v>699</v>
      </c>
      <c r="F41" s="29">
        <v>36620578</v>
      </c>
      <c r="G41" s="31">
        <f>VLOOKUP(A41,[2]Sheet1!$A:$J,10,0)</f>
        <v>1278236617</v>
      </c>
      <c r="H41" s="32">
        <f>VLOOKUP(A41,[2]Sheet1!$A:$K,11,0)</f>
        <v>45703</v>
      </c>
      <c r="I41" s="25" t="str">
        <f>VLOOKUP(A41,[2]Sheet1!$A:$F,6,0)</f>
        <v>Averozolid Line</v>
      </c>
      <c r="J41" s="25"/>
      <c r="K41" s="27" t="str">
        <f>VLOOKUP(A41,[2]Sheet1!$A:$N,14,0)</f>
        <v>El Zakazik City</v>
      </c>
    </row>
    <row r="42" spans="1:11">
      <c r="A42" s="28">
        <v>425</v>
      </c>
      <c r="B42" s="34" t="s">
        <v>58</v>
      </c>
      <c r="C42" s="30" t="str">
        <f>VLOOKUP(B42,[2]Sheet1!$B:$C,2,0)</f>
        <v>Mohamed Hassan Amin</v>
      </c>
      <c r="D42" s="25" t="str">
        <f>VLOOKUP(B42,[2]Sheet1!$B:$H,7,0)</f>
        <v>MR</v>
      </c>
      <c r="E42" s="25">
        <f>VLOOKUP(C42,[2]Sheet1!$B:$M,12,0)</f>
        <v>699</v>
      </c>
      <c r="F42" s="29">
        <v>36620579</v>
      </c>
      <c r="G42" s="31">
        <f>VLOOKUP(A42,[2]Sheet1!$A:$J,10,0)</f>
        <v>1129242511</v>
      </c>
      <c r="H42" s="32">
        <f>VLOOKUP(A42,[2]Sheet1!$A:$K,11,0)</f>
        <v>43525</v>
      </c>
      <c r="I42" s="25" t="str">
        <f>VLOOKUP(A42,[2]Sheet1!$A:$F,6,0)</f>
        <v>Averozolid Line</v>
      </c>
      <c r="J42" s="25"/>
      <c r="K42" s="27" t="str">
        <f>VLOOKUP(A42,[2]Sheet1!$A:$N,14,0)</f>
        <v>10th Of Ramadan</v>
      </c>
    </row>
    <row r="43" spans="1:11">
      <c r="A43" s="28">
        <v>500</v>
      </c>
      <c r="B43" s="34" t="s">
        <v>59</v>
      </c>
      <c r="C43" s="30" t="str">
        <f>VLOOKUP(B43,[2]Sheet1!$B:$D,3,0)</f>
        <v>Ahmed Shawky Adawy</v>
      </c>
      <c r="D43" s="25" t="str">
        <f>VLOOKUP(B43,[2]Sheet1!$B:$H,7,0)</f>
        <v>DM</v>
      </c>
      <c r="E43" s="25">
        <f>VLOOKUP(C43,[2]Sheet1!$B:$M,12,0)</f>
        <v>618</v>
      </c>
      <c r="F43" s="29">
        <v>36620580</v>
      </c>
      <c r="G43" s="31">
        <f>VLOOKUP(A43,[2]Sheet1!$A:$J,10,0)</f>
        <v>1229858148</v>
      </c>
      <c r="H43" s="32">
        <f>VLOOKUP(A43,[2]Sheet1!$A:$K,11,0)</f>
        <v>43800</v>
      </c>
      <c r="I43" s="25" t="str">
        <f>VLOOKUP(A43,[2]Sheet1!$A:$F,6,0)</f>
        <v>Averozolid Line</v>
      </c>
      <c r="J43" s="25" t="str">
        <f>VLOOKUP(A43,[2]Sheet1!$A:$L,12,0)</f>
        <v>sara.magdy@averroes-eg.com</v>
      </c>
      <c r="K43" s="27" t="str">
        <f>VLOOKUP(A43,[2]Sheet1!$A:$N,14,0)</f>
        <v>Tanta City</v>
      </c>
    </row>
    <row r="44" spans="1:11">
      <c r="A44" s="28">
        <v>1352</v>
      </c>
      <c r="B44" s="34" t="s">
        <v>60</v>
      </c>
      <c r="C44" s="30" t="str">
        <f>VLOOKUP(B44,[2]Sheet1!$B:$C,2,0)</f>
        <v>Sara Magdy Ahmed</v>
      </c>
      <c r="D44" s="25" t="str">
        <f>VLOOKUP(B44,[2]Sheet1!$B:$H,7,0)</f>
        <v>MR</v>
      </c>
      <c r="E44" s="25">
        <f>VLOOKUP(C44,[2]Sheet1!$B:$M,12,0)</f>
        <v>500</v>
      </c>
      <c r="F44" s="29">
        <v>36620581</v>
      </c>
      <c r="G44" s="31">
        <f>VLOOKUP(A44,[2]Sheet1!$A:$J,10,0)</f>
        <v>1227672905</v>
      </c>
      <c r="H44" s="32">
        <f>VLOOKUP(A44,[2]Sheet1!$A:$K,11,0)</f>
        <v>45413</v>
      </c>
      <c r="I44" s="25" t="str">
        <f>VLOOKUP(A44,[2]Sheet1!$A:$F,6,0)</f>
        <v>Averozolid Line</v>
      </c>
      <c r="J44" s="25"/>
      <c r="K44" s="27" t="str">
        <f>VLOOKUP(A44,[2]Sheet1!$A:$N,14,0)</f>
        <v>Samanoud</v>
      </c>
    </row>
    <row r="45" spans="1:11">
      <c r="A45" s="28">
        <v>1059</v>
      </c>
      <c r="B45" s="34" t="s">
        <v>61</v>
      </c>
      <c r="C45" s="30" t="str">
        <f>VLOOKUP(B45,[2]Sheet1!$B:$C,2,0)</f>
        <v>Sara Magdy Ahmed</v>
      </c>
      <c r="D45" s="25" t="str">
        <f>VLOOKUP(B45,[2]Sheet1!$B:$H,7,0)</f>
        <v>MR</v>
      </c>
      <c r="E45" s="25">
        <f>VLOOKUP(C45,[2]Sheet1!$B:$M,12,0)</f>
        <v>500</v>
      </c>
      <c r="F45" s="29">
        <v>36620583</v>
      </c>
      <c r="G45" s="31">
        <f>VLOOKUP(A45,[2]Sheet1!$A:$J,10,0)</f>
        <v>1212492339</v>
      </c>
      <c r="H45" s="32">
        <f>VLOOKUP(A45,[2]Sheet1!$A:$K,11,0)</f>
        <v>44933</v>
      </c>
      <c r="I45" s="25" t="str">
        <f>VLOOKUP(A45,[2]Sheet1!$A:$F,6,0)</f>
        <v>Averozolid Line</v>
      </c>
      <c r="J45" s="25"/>
      <c r="K45" s="27" t="str">
        <f>VLOOKUP(A45,[2]Sheet1!$A:$N,14,0)</f>
        <v>El Sanata</v>
      </c>
    </row>
    <row r="46" spans="1:11">
      <c r="A46" s="28">
        <v>1337</v>
      </c>
      <c r="B46" s="34" t="s">
        <v>62</v>
      </c>
      <c r="C46" s="30" t="str">
        <f>VLOOKUP(B46,[2]Sheet1!$B:$C,2,0)</f>
        <v>Sara Magdy Ahmed</v>
      </c>
      <c r="D46" s="25" t="str">
        <f>VLOOKUP(B46,[2]Sheet1!$B:$H,7,0)</f>
        <v>MR</v>
      </c>
      <c r="E46" s="25">
        <f>VLOOKUP(C46,[2]Sheet1!$B:$M,12,0)</f>
        <v>500</v>
      </c>
      <c r="F46" s="29">
        <v>36620584</v>
      </c>
      <c r="G46" s="31">
        <f>VLOOKUP(A46,[2]Sheet1!$A:$J,10,0)</f>
        <v>1289344523</v>
      </c>
      <c r="H46" s="32">
        <f>VLOOKUP(A46,[2]Sheet1!$A:$K,11,0)</f>
        <v>45325</v>
      </c>
      <c r="I46" s="25" t="str">
        <f>VLOOKUP(A46,[2]Sheet1!$A:$F,6,0)</f>
        <v>Averozolid Line</v>
      </c>
      <c r="J46" s="25"/>
      <c r="K46" s="27" t="str">
        <f>VLOOKUP(A46,[2]Sheet1!$A:$N,14,0)</f>
        <v>Kafr El zayat</v>
      </c>
    </row>
    <row r="47" spans="1:11">
      <c r="A47" s="35">
        <v>141</v>
      </c>
      <c r="B47" s="34" t="s">
        <v>63</v>
      </c>
      <c r="C47" s="30" t="str">
        <f>VLOOKUP(B47,[2]Sheet1!$B:$C,2,0)</f>
        <v>Sara Magdy Ahmed</v>
      </c>
      <c r="D47" s="25" t="str">
        <f>VLOOKUP(B47,[2]Sheet1!$B:$H,7,0)</f>
        <v>MR</v>
      </c>
      <c r="E47" s="25">
        <f>VLOOKUP(C47,[2]Sheet1!$B:$M,12,0)</f>
        <v>500</v>
      </c>
      <c r="F47" s="29">
        <v>36620585</v>
      </c>
      <c r="G47" s="31" t="str">
        <f>VLOOKUP(A47,[2]Sheet1!$A:$J,10,0)</f>
        <v> 01005007061</v>
      </c>
      <c r="H47" s="32">
        <f>VLOOKUP(A47,[2]Sheet1!$A:$K,11,0)</f>
        <v>42066</v>
      </c>
      <c r="I47" s="25" t="str">
        <f>VLOOKUP(A47,[2]Sheet1!$A:$F,6,0)</f>
        <v>Averozolid Line</v>
      </c>
      <c r="J47" s="25"/>
      <c r="K47" s="27" t="str">
        <f>VLOOKUP(A47,[2]Sheet1!$A:$N,14,0)</f>
        <v>Shebien El Kom</v>
      </c>
    </row>
    <row r="48" spans="1:11">
      <c r="A48" s="28">
        <v>1808</v>
      </c>
      <c r="B48" s="34" t="s">
        <v>64</v>
      </c>
      <c r="C48" s="30" t="str">
        <f>VLOOKUP(B48,[2]Sheet1!$B:$C,2,0)</f>
        <v>Sara Magdy Ahmed</v>
      </c>
      <c r="D48" s="25" t="str">
        <f>VLOOKUP(B48,[2]Sheet1!$B:$H,7,0)</f>
        <v>MR</v>
      </c>
      <c r="E48" s="25">
        <f>VLOOKUP(C48,[2]Sheet1!$B:$M,12,0)</f>
        <v>500</v>
      </c>
      <c r="F48" s="29">
        <v>36620586</v>
      </c>
      <c r="G48" s="31">
        <f>VLOOKUP(A48,[2]Sheet1!$A:$J,10,0)</f>
        <v>1094006834</v>
      </c>
      <c r="H48" s="32">
        <f>VLOOKUP(A48,[2]Sheet1!$A:$K,11,0)</f>
        <v>45996</v>
      </c>
      <c r="I48" s="25" t="str">
        <f>VLOOKUP(A48,[2]Sheet1!$A:$F,6,0)</f>
        <v>Averozolid Line</v>
      </c>
      <c r="J48" s="25"/>
      <c r="K48" s="27" t="str">
        <f>VLOOKUP(A48,[2]Sheet1!$A:$N,14,0)</f>
        <v>Ashmoon</v>
      </c>
    </row>
    <row r="49" spans="1:11">
      <c r="A49" s="28">
        <v>1310</v>
      </c>
      <c r="B49" s="34" t="s">
        <v>65</v>
      </c>
      <c r="C49" s="30" t="str">
        <f>VLOOKUP(B49,[2]Sheet1!$B:$C,2,0)</f>
        <v>Sara Magdy Ahmed</v>
      </c>
      <c r="D49" s="25" t="str">
        <f>VLOOKUP(B49,[2]Sheet1!$B:$H,7,0)</f>
        <v>MR</v>
      </c>
      <c r="E49" s="25">
        <f>VLOOKUP(C49,[2]Sheet1!$B:$M,12,0)</f>
        <v>500</v>
      </c>
      <c r="F49" s="29">
        <v>36620589</v>
      </c>
      <c r="G49" s="31">
        <f>VLOOKUP(A49,[2]Sheet1!$A:$J,10,0)</f>
        <v>1097503414</v>
      </c>
      <c r="H49" s="32">
        <f>VLOOKUP(A49,[2]Sheet1!$A:$K,11,0)</f>
        <v>45265</v>
      </c>
      <c r="I49" s="25" t="str">
        <f>VLOOKUP(A49,[2]Sheet1!$A:$F,6,0)</f>
        <v>Averozolid Line</v>
      </c>
      <c r="J49" s="25"/>
      <c r="K49" s="27" t="str">
        <f>VLOOKUP(A49,[2]Sheet1!$A:$N,14,0)</f>
        <v>El Mahala El Kobra</v>
      </c>
    </row>
    <row r="50" spans="1:11">
      <c r="A50" s="28">
        <v>577</v>
      </c>
      <c r="B50" s="34" t="s">
        <v>66</v>
      </c>
      <c r="C50" s="30" t="str">
        <f>VLOOKUP(B50,[2]Sheet1!$B:$E,4,0)</f>
        <v>Abd Elhameed Elshiekh</v>
      </c>
      <c r="D50" s="25" t="str">
        <f>VLOOKUP(B50,[2]Sheet1!$B:$H,7,0)</f>
        <v>AM</v>
      </c>
      <c r="E50" s="25">
        <f>VLOOKUP(C50,[2]Sheet1!$B:$M,12,0)</f>
        <v>59</v>
      </c>
      <c r="F50" s="29">
        <v>36620590</v>
      </c>
      <c r="G50" s="31">
        <f>VLOOKUP(A50,[2]Sheet1!$A:$J,10,0)</f>
        <v>1003142319</v>
      </c>
      <c r="H50" s="32">
        <f>VLOOKUP(A50,[2]Sheet1!$A:$K,11,0)</f>
        <v>43862</v>
      </c>
      <c r="I50" s="25" t="str">
        <f>VLOOKUP(A50,[2]Sheet1!$A:$F,6,0)</f>
        <v>Averozolid Line</v>
      </c>
      <c r="J50" s="25" t="str">
        <f>VLOOKUP(A50,[2]Sheet1!$A:$L,12,0)</f>
        <v>ali.ahmed@averroes-eg.com</v>
      </c>
      <c r="K50" s="27" t="str">
        <f>VLOOKUP(A50,[2]Sheet1!$A:$N,14,0)</f>
        <v>Assuit City</v>
      </c>
    </row>
    <row r="51" spans="1:11">
      <c r="A51" s="28">
        <v>607</v>
      </c>
      <c r="B51" s="34" t="s">
        <v>67</v>
      </c>
      <c r="C51" s="30" t="str">
        <f>VLOOKUP(B51,[2]Sheet1!$B:$D,3,0)</f>
        <v>Ali Ahmed Ali</v>
      </c>
      <c r="D51" s="25" t="str">
        <f>VLOOKUP(B51,[2]Sheet1!$B:$H,7,0)</f>
        <v>DM</v>
      </c>
      <c r="E51" s="25">
        <f>VLOOKUP(C51,[2]Sheet1!$B:$M,12,0)</f>
        <v>577</v>
      </c>
      <c r="F51" s="29">
        <v>36620591</v>
      </c>
      <c r="G51" s="31" t="str">
        <f>VLOOKUP(A51,[2]Sheet1!$A:$J,10,0)</f>
        <v> 1050111668</v>
      </c>
      <c r="H51" s="32">
        <f>VLOOKUP(A51,[2]Sheet1!$A:$K,11,0)</f>
        <v>43865</v>
      </c>
      <c r="I51" s="25" t="str">
        <f>VLOOKUP(A51,[2]Sheet1!$A:$F,6,0)</f>
        <v>Averozolid Line</v>
      </c>
      <c r="J51" s="25" t="str">
        <f>VLOOKUP(A51,[2]Sheet1!$A:$L,12,0)</f>
        <v>abdelazeem.sameer@averroes-eg.com</v>
      </c>
      <c r="K51" s="27" t="str">
        <f>VLOOKUP(A51,[2]Sheet1!$A:$N,14,0)</f>
        <v>Malawy</v>
      </c>
    </row>
    <row r="52" spans="1:11">
      <c r="A52" s="28">
        <v>1721</v>
      </c>
      <c r="B52" s="34" t="s">
        <v>68</v>
      </c>
      <c r="C52" s="30" t="str">
        <f>VLOOKUP(B52,[2]Sheet1!$B:$C,2,0)</f>
        <v>Abdelazeem Sameer Abdelazeem</v>
      </c>
      <c r="D52" s="25" t="str">
        <f>VLOOKUP(B52,[2]Sheet1!$B:$H,7,0)</f>
        <v>MR</v>
      </c>
      <c r="E52" s="25">
        <f>VLOOKUP(C52,[2]Sheet1!$B:$M,12,0)</f>
        <v>607</v>
      </c>
      <c r="F52" s="29">
        <v>36620592</v>
      </c>
      <c r="G52" s="31">
        <f>VLOOKUP(A52,[2]Sheet1!$A:$J,10,0)</f>
        <v>1142641071</v>
      </c>
      <c r="H52" s="32">
        <f>VLOOKUP(A52,[2]Sheet1!$A:$K,11,0)</f>
        <v>45871</v>
      </c>
      <c r="I52" s="25" t="str">
        <f>VLOOKUP(A52,[2]Sheet1!$A:$F,6,0)</f>
        <v>Averozolid Line</v>
      </c>
      <c r="J52" s="25"/>
      <c r="K52" s="27" t="str">
        <f>VLOOKUP(A52,[2]Sheet1!$A:$N,14,0)</f>
        <v>Malawy</v>
      </c>
    </row>
    <row r="53" spans="1:11">
      <c r="A53" s="28">
        <v>1131</v>
      </c>
      <c r="B53" s="34" t="s">
        <v>69</v>
      </c>
      <c r="C53" s="30" t="str">
        <f>VLOOKUP(B53,[2]Sheet1!$B:$C,2,0)</f>
        <v>Abdelazeem Sameer Abdelazeem</v>
      </c>
      <c r="D53" s="25" t="str">
        <f>VLOOKUP(B53,[2]Sheet1!$B:$H,7,0)</f>
        <v>MR</v>
      </c>
      <c r="E53" s="25">
        <f>VLOOKUP(C53,[2]Sheet1!$B:$M,12,0)</f>
        <v>607</v>
      </c>
      <c r="F53" s="29">
        <v>36620593</v>
      </c>
      <c r="G53" s="31">
        <f>VLOOKUP(A53,[2]Sheet1!$A:$J,10,0)</f>
        <v>1005606839</v>
      </c>
      <c r="H53" s="32">
        <f>VLOOKUP(A53,[2]Sheet1!$A:$K,11,0)</f>
        <v>44961</v>
      </c>
      <c r="I53" s="25" t="str">
        <f>VLOOKUP(A53,[2]Sheet1!$A:$F,6,0)</f>
        <v>Averozolid Line</v>
      </c>
      <c r="J53" s="25"/>
      <c r="K53" s="27" t="str">
        <f>VLOOKUP(A53,[2]Sheet1!$A:$N,14,0)</f>
        <v>Bani Mazar</v>
      </c>
    </row>
    <row r="54" spans="1:11">
      <c r="A54" s="28">
        <v>1263</v>
      </c>
      <c r="B54" s="34" t="s">
        <v>70</v>
      </c>
      <c r="C54" s="30" t="str">
        <f>VLOOKUP(B54,[2]Sheet1!$B:$C,2,0)</f>
        <v>Abdelazeem Sameer Abdelazeem</v>
      </c>
      <c r="D54" s="25" t="str">
        <f>VLOOKUP(B54,[2]Sheet1!$B:$H,7,0)</f>
        <v>MR</v>
      </c>
      <c r="E54" s="25">
        <f>VLOOKUP(C54,[2]Sheet1!$B:$M,12,0)</f>
        <v>607</v>
      </c>
      <c r="F54" s="29">
        <v>36620594</v>
      </c>
      <c r="G54" s="31">
        <f>VLOOKUP(A54,[2]Sheet1!$A:$J,10,0)</f>
        <v>1122177715</v>
      </c>
      <c r="H54" s="32">
        <f>VLOOKUP(A54,[2]Sheet1!$A:$K,11,0)</f>
        <v>45178</v>
      </c>
      <c r="I54" s="25" t="str">
        <f>VLOOKUP(A54,[2]Sheet1!$A:$F,6,0)</f>
        <v>Averozolid Line</v>
      </c>
      <c r="J54" s="25"/>
      <c r="K54" s="27" t="str">
        <f>VLOOKUP(A54,[2]Sheet1!$A:$N,14,0)</f>
        <v>El Menia City</v>
      </c>
    </row>
    <row r="55" spans="1:11">
      <c r="A55" s="28">
        <v>845</v>
      </c>
      <c r="B55" s="34" t="s">
        <v>71</v>
      </c>
      <c r="C55" s="30" t="str">
        <f>VLOOKUP(B55,[2]Sheet1!$B:$C,2,0)</f>
        <v>Abdelazeem Sameer Abdelazeem</v>
      </c>
      <c r="D55" s="25" t="str">
        <f>VLOOKUP(B55,[2]Sheet1!$B:$H,7,0)</f>
        <v>MR</v>
      </c>
      <c r="E55" s="25">
        <f>VLOOKUP(C55,[2]Sheet1!$B:$M,12,0)</f>
        <v>607</v>
      </c>
      <c r="F55" s="29">
        <v>36620595</v>
      </c>
      <c r="G55" s="31">
        <f>VLOOKUP(A55,[2]Sheet1!$A:$J,10,0)</f>
        <v>1272784701</v>
      </c>
      <c r="H55" s="32">
        <f>VLOOKUP(A55,[2]Sheet1!$A:$K,11,0)</f>
        <v>44485</v>
      </c>
      <c r="I55" s="25" t="str">
        <f>VLOOKUP(A55,[2]Sheet1!$A:$F,6,0)</f>
        <v>Averozolid Line</v>
      </c>
      <c r="J55" s="25"/>
      <c r="K55" s="27" t="str">
        <f>VLOOKUP(A55,[2]Sheet1!$A:$N,14,0)</f>
        <v>El Qousia</v>
      </c>
    </row>
    <row r="56" spans="1:11">
      <c r="A56" s="28">
        <v>1432</v>
      </c>
      <c r="B56" s="34" t="s">
        <v>72</v>
      </c>
      <c r="C56" s="30" t="str">
        <f>VLOOKUP(B56,[2]Sheet1!$B:$C,2,0)</f>
        <v>Abdelazeem Sameer Abdelazeem</v>
      </c>
      <c r="D56" s="25" t="str">
        <f>VLOOKUP(B56,[2]Sheet1!$B:$H,7,0)</f>
        <v>MR</v>
      </c>
      <c r="E56" s="25">
        <f>VLOOKUP(C56,[2]Sheet1!$B:$M,12,0)</f>
        <v>607</v>
      </c>
      <c r="F56" s="29">
        <v>36620597</v>
      </c>
      <c r="G56" s="31">
        <f>VLOOKUP(A56,[2]Sheet1!$A:$J,10,0)</f>
        <v>1271977642</v>
      </c>
      <c r="H56" s="32">
        <f>VLOOKUP(A56,[2]Sheet1!$A:$K,11,0)</f>
        <v>45521</v>
      </c>
      <c r="I56" s="25" t="str">
        <f>VLOOKUP(A56,[2]Sheet1!$A:$F,6,0)</f>
        <v>Averozolid Line</v>
      </c>
      <c r="J56" s="25"/>
      <c r="K56" s="27" t="str">
        <f>VLOOKUP(A56,[2]Sheet1!$A:$N,14,0)</f>
        <v>Assuit City</v>
      </c>
    </row>
    <row r="57" spans="1:11">
      <c r="A57" s="28">
        <v>1598</v>
      </c>
      <c r="B57" s="34" t="s">
        <v>73</v>
      </c>
      <c r="C57" s="30" t="str">
        <f>VLOOKUP(B57,[2]Sheet1!$B:$C,2,0)</f>
        <v>Abdelazeem Sameer Abdelazeem</v>
      </c>
      <c r="D57" s="25" t="str">
        <f>VLOOKUP(B57,[2]Sheet1!$B:$H,7,0)</f>
        <v>MR</v>
      </c>
      <c r="E57" s="25">
        <f>VLOOKUP(C57,[2]Sheet1!$B:$M,12,0)</f>
        <v>607</v>
      </c>
      <c r="F57" s="29">
        <v>36620598</v>
      </c>
      <c r="G57" s="31">
        <f>VLOOKUP(A57,[2]Sheet1!$A:$J,10,0)</f>
        <v>1040598944</v>
      </c>
      <c r="H57" s="32">
        <f>VLOOKUP(A57,[2]Sheet1!$A:$K,11,0)</f>
        <v>45752</v>
      </c>
      <c r="I57" s="25" t="str">
        <f>VLOOKUP(A57,[2]Sheet1!$A:$F,6,0)</f>
        <v>Averozolid Line</v>
      </c>
      <c r="J57" s="25"/>
      <c r="K57" s="27" t="str">
        <f>VLOOKUP(A57,[2]Sheet1!$A:$N,14,0)</f>
        <v>Assuit City</v>
      </c>
    </row>
    <row r="58" spans="1:11">
      <c r="A58" s="28">
        <v>855</v>
      </c>
      <c r="B58" s="34" t="s">
        <v>74</v>
      </c>
      <c r="C58" s="30" t="str">
        <f>VLOOKUP(B58,[2]Sheet1!$B:$D,3,0)</f>
        <v>Ali Ahmed Ali</v>
      </c>
      <c r="D58" s="25" t="str">
        <f>VLOOKUP(B58,[2]Sheet1!$B:$H,7,0)</f>
        <v>DM</v>
      </c>
      <c r="E58" s="25">
        <f>VLOOKUP(C58,[2]Sheet1!$B:$M,12,0)</f>
        <v>577</v>
      </c>
      <c r="F58" s="29">
        <v>36620599</v>
      </c>
      <c r="G58" s="31"/>
      <c r="H58" s="32">
        <f>VLOOKUP(A58,[2]Sheet1!$A:$K,11,0)</f>
        <v>44501</v>
      </c>
      <c r="I58" s="25" t="str">
        <f>VLOOKUP(A58,[2]Sheet1!$A:$F,6,0)</f>
        <v>Averozolid Line</v>
      </c>
      <c r="J58" s="25"/>
      <c r="K58" s="27" t="str">
        <f>VLOOKUP(A58,[2]Sheet1!$A:$N,14,0)</f>
        <v>Tahta</v>
      </c>
    </row>
    <row r="59" spans="1:11">
      <c r="A59" s="28">
        <v>1756</v>
      </c>
      <c r="B59" s="34" t="s">
        <v>75</v>
      </c>
      <c r="C59" s="30" t="str">
        <f>VLOOKUP(B59,[2]Sheet1!$B:$C,2,0)</f>
        <v>Mai Ashraf Mohamed</v>
      </c>
      <c r="D59" s="25" t="str">
        <f>VLOOKUP(B59,[2]Sheet1!$B:$H,7,0)</f>
        <v>MR</v>
      </c>
      <c r="E59" s="25">
        <f>VLOOKUP(C59,[2]Sheet1!$B:$M,12,0)</f>
        <v>855</v>
      </c>
      <c r="F59" s="29">
        <v>36620600</v>
      </c>
      <c r="G59" s="31">
        <f>VLOOKUP(A59,[2]Sheet1!$A:$J,10,0)</f>
        <v>1003757367</v>
      </c>
      <c r="H59" s="32">
        <f>VLOOKUP(A59,[2]Sheet1!$A:$K,11,0)</f>
        <v>45931</v>
      </c>
      <c r="I59" s="25" t="str">
        <f>VLOOKUP(A59,[2]Sheet1!$A:$F,6,0)</f>
        <v>Averozolid Line</v>
      </c>
      <c r="J59" s="25"/>
      <c r="K59" s="27" t="str">
        <f>VLOOKUP(A59,[2]Sheet1!$A:$N,14,0)</f>
        <v>Nagaa Hamady</v>
      </c>
    </row>
    <row r="60" spans="1:11">
      <c r="A60" s="28">
        <v>1758</v>
      </c>
      <c r="B60" s="34" t="s">
        <v>76</v>
      </c>
      <c r="C60" s="30" t="str">
        <f>VLOOKUP(B60,[2]Sheet1!$B:$C,2,0)</f>
        <v>Mai Ashraf Mohamed</v>
      </c>
      <c r="D60" s="25" t="str">
        <f>VLOOKUP(B60,[2]Sheet1!$B:$H,7,0)</f>
        <v>MR</v>
      </c>
      <c r="E60" s="25">
        <f>VLOOKUP(C60,[2]Sheet1!$B:$M,12,0)</f>
        <v>855</v>
      </c>
      <c r="F60" s="29">
        <v>36620601</v>
      </c>
      <c r="G60" s="31">
        <f>VLOOKUP(A60,[2]Sheet1!$A:$J,10,0)</f>
        <v>1129324734</v>
      </c>
      <c r="H60" s="32">
        <f>VLOOKUP(A60,[2]Sheet1!$A:$K,11,0)</f>
        <v>45931</v>
      </c>
      <c r="I60" s="25" t="str">
        <f>VLOOKUP(A60,[2]Sheet1!$A:$F,6,0)</f>
        <v>Averozolid Line</v>
      </c>
      <c r="J60" s="25"/>
      <c r="K60" s="27" t="str">
        <f>VLOOKUP(A60,[2]Sheet1!$A:$N,14,0)</f>
        <v>Quena city</v>
      </c>
    </row>
    <row r="61" spans="1:11">
      <c r="A61" s="28">
        <v>1332</v>
      </c>
      <c r="B61" s="34" t="s">
        <v>77</v>
      </c>
      <c r="C61" s="30" t="str">
        <f>VLOOKUP(B61,[2]Sheet1!$B:$C,2,0)</f>
        <v>Mai Ashraf Mohamed</v>
      </c>
      <c r="D61" s="25" t="str">
        <f>VLOOKUP(B61,[2]Sheet1!$B:$H,7,0)</f>
        <v>MR</v>
      </c>
      <c r="E61" s="25">
        <f>VLOOKUP(C61,[2]Sheet1!$B:$M,12,0)</f>
        <v>855</v>
      </c>
      <c r="F61" s="29">
        <v>36620603</v>
      </c>
      <c r="G61" s="31">
        <f>VLOOKUP(A61,[2]Sheet1!$A:$J,10,0)</f>
        <v>1151900641</v>
      </c>
      <c r="H61" s="32">
        <f>VLOOKUP(A61,[2]Sheet1!$A:$K,11,0)</f>
        <v>45318</v>
      </c>
      <c r="I61" s="25" t="str">
        <f>VLOOKUP(A61,[2]Sheet1!$A:$F,6,0)</f>
        <v>Averozolid Line</v>
      </c>
      <c r="J61" s="25"/>
      <c r="K61" s="27" t="str">
        <f>VLOOKUP(A61,[2]Sheet1!$A:$N,14,0)</f>
        <v>Tahta</v>
      </c>
    </row>
    <row r="62" spans="1:11">
      <c r="A62" s="28">
        <v>748</v>
      </c>
      <c r="B62" s="34" t="s">
        <v>78</v>
      </c>
      <c r="C62" s="30" t="str">
        <f>VLOOKUP(B62,[2]Sheet1!$B:$C,2,0)</f>
        <v>Mai Ashraf Mohamed</v>
      </c>
      <c r="D62" s="25" t="str">
        <f>VLOOKUP(B62,[2]Sheet1!$B:$H,7,0)</f>
        <v>MR</v>
      </c>
      <c r="E62" s="25">
        <f>VLOOKUP(C62,[2]Sheet1!$B:$M,12,0)</f>
        <v>855</v>
      </c>
      <c r="F62" s="29">
        <v>36620604</v>
      </c>
      <c r="G62" s="31">
        <f>VLOOKUP(A62,[2]Sheet1!$A:$J,10,0)</f>
        <v>1270178089</v>
      </c>
      <c r="H62" s="32">
        <f>VLOOKUP(A62,[2]Sheet1!$A:$K,11,0)</f>
        <v>44256</v>
      </c>
      <c r="I62" s="25" t="str">
        <f>VLOOKUP(A62,[2]Sheet1!$A:$F,6,0)</f>
        <v>Averozolid Line</v>
      </c>
      <c r="J62" s="25"/>
      <c r="K62" s="27" t="str">
        <f>VLOOKUP(A62,[2]Sheet1!$A:$N,14,0)</f>
        <v>Gerga</v>
      </c>
    </row>
    <row r="63" spans="1:11">
      <c r="A63" s="28">
        <v>997</v>
      </c>
      <c r="B63" s="34" t="s">
        <v>79</v>
      </c>
      <c r="C63" s="30" t="str">
        <f>VLOOKUP(B63,[2]Sheet1!$B:$C,2,0)</f>
        <v>Mai Ashraf Mohamed</v>
      </c>
      <c r="D63" s="25" t="str">
        <f>VLOOKUP(B63,[2]Sheet1!$B:$H,7,0)</f>
        <v>MR</v>
      </c>
      <c r="E63" s="25">
        <f>VLOOKUP(C63,[2]Sheet1!$B:$M,12,0)</f>
        <v>855</v>
      </c>
      <c r="F63" s="29">
        <v>36620605</v>
      </c>
      <c r="G63" s="31">
        <f>VLOOKUP(A63,[2]Sheet1!$A:$J,10,0)</f>
        <v>1119211215</v>
      </c>
      <c r="H63" s="32">
        <f>VLOOKUP(A63,[2]Sheet1!$A:$K,11,0)</f>
        <v>44814</v>
      </c>
      <c r="I63" s="25" t="str">
        <f>VLOOKUP(A63,[2]Sheet1!$A:$F,6,0)</f>
        <v>Averozolid Line</v>
      </c>
      <c r="J63" s="25"/>
      <c r="K63" s="27" t="str">
        <f>VLOOKUP(A63,[2]Sheet1!$A:$N,14,0)</f>
        <v>Armant</v>
      </c>
    </row>
    <row r="64" spans="1:11">
      <c r="A64" s="28">
        <v>1747</v>
      </c>
      <c r="B64" s="34" t="s">
        <v>80</v>
      </c>
      <c r="C64" s="30" t="str">
        <f>VLOOKUP(B64,[2]Sheet1!$B:$C,2,0)</f>
        <v>Mai Ashraf Mohamed</v>
      </c>
      <c r="D64" s="25" t="str">
        <f>VLOOKUP(B64,[2]Sheet1!$B:$H,7,0)</f>
        <v>MR</v>
      </c>
      <c r="E64" s="25">
        <f>VLOOKUP(C64,[2]Sheet1!$B:$M,12,0)</f>
        <v>855</v>
      </c>
      <c r="F64" s="29">
        <v>36620606</v>
      </c>
      <c r="G64" s="31">
        <f>VLOOKUP(A64,[2]Sheet1!$A:$J,10,0)</f>
        <v>1120262699</v>
      </c>
      <c r="H64" s="32">
        <f>VLOOKUP(A64,[2]Sheet1!$A:$K,11,0)</f>
        <v>45914</v>
      </c>
      <c r="I64" s="25" t="str">
        <f>VLOOKUP(A64,[2]Sheet1!$A:$F,6,0)</f>
        <v>Averozolid Line</v>
      </c>
      <c r="J64" s="25"/>
      <c r="K64" s="27" t="str">
        <f>VLOOKUP(A64,[2]Sheet1!$A:$N,14,0)</f>
        <v>Aswan City</v>
      </c>
    </row>
    <row r="65" spans="1:11">
      <c r="A65" s="28">
        <v>1869</v>
      </c>
      <c r="B65" s="34" t="s">
        <v>81</v>
      </c>
      <c r="C65" s="30" t="str">
        <f>VLOOKUP(B65,[2]Sheet1!$B:$E,4,0)</f>
        <v>Abd Elhameed Elshiekh</v>
      </c>
      <c r="D65" s="25" t="str">
        <f>VLOOKUP(B65,[2]Sheet1!$B:$H,7,0)</f>
        <v>AM</v>
      </c>
      <c r="E65" s="25">
        <f>VLOOKUP(C65,[2]Sheet1!$B:$M,12,0)</f>
        <v>59</v>
      </c>
      <c r="F65" s="29">
        <v>36620607</v>
      </c>
      <c r="G65" s="31">
        <f>VLOOKUP(A65,[2]Sheet1!$A:$J,10,0)</f>
        <v>1001355148</v>
      </c>
      <c r="H65" s="32">
        <f>VLOOKUP(A65,[2]Sheet1!$A:$K,11,0)</f>
        <v>46054</v>
      </c>
      <c r="I65" s="25" t="str">
        <f>VLOOKUP(A65,[2]Sheet1!$A:$F,6,0)</f>
        <v>Averozolid Line</v>
      </c>
      <c r="J65" s="25"/>
      <c r="K65" s="27" t="str">
        <f>VLOOKUP(A65,[2]Sheet1!$A:$I,9,0)</f>
        <v>Cairo</v>
      </c>
    </row>
    <row r="66" spans="1:11">
      <c r="A66" s="28">
        <v>1619</v>
      </c>
      <c r="B66" s="34" t="s">
        <v>82</v>
      </c>
      <c r="C66" s="30" t="str">
        <f>VLOOKUP(B66,[2]Sheet1!$B:$D,3,0)</f>
        <v>Ahmed Omer Ali Mostafa</v>
      </c>
      <c r="D66" s="25" t="str">
        <f>VLOOKUP(B66,[2]Sheet1!$B:$H,7,0)</f>
        <v>DM</v>
      </c>
      <c r="E66" s="25">
        <f>VLOOKUP(C66,[2]Sheet1!$B:$M,12,0)</f>
        <v>1869</v>
      </c>
      <c r="F66" s="29">
        <v>36620609</v>
      </c>
      <c r="G66" s="31">
        <f>VLOOKUP(A66,[2]Sheet1!$A:$J,10,0)</f>
        <v>1111329335</v>
      </c>
      <c r="H66" s="32">
        <f>VLOOKUP(A66,[2]Sheet1!$A:$K,11,0)</f>
        <v>45767</v>
      </c>
      <c r="I66" s="25" t="str">
        <f>VLOOKUP(A66,[2]Sheet1!$A:$F,6,0)</f>
        <v>Averozolid Line</v>
      </c>
      <c r="J66" s="25" t="str">
        <f>VLOOKUP(A66,[2]Sheet1!$A:$L,12,0)</f>
        <v>Ahmed.Fawzy.Abdelwahab@averroes-eg.com</v>
      </c>
      <c r="K66" s="27" t="str">
        <f>VLOOKUP(A66,[2]Sheet1!$A:$N,14,0)</f>
        <v>Embaba</v>
      </c>
    </row>
    <row r="67" spans="1:11">
      <c r="A67" s="28">
        <v>1554</v>
      </c>
      <c r="B67" s="34" t="s">
        <v>83</v>
      </c>
      <c r="C67" s="30" t="str">
        <f>VLOOKUP(B67,[2]Sheet1!$B:$C,2,0)</f>
        <v>Ahmed Fawzy Abdelwahab</v>
      </c>
      <c r="D67" s="25" t="str">
        <f>VLOOKUP(B67,[2]Sheet1!$B:$H,7,0)</f>
        <v>MR</v>
      </c>
      <c r="E67" s="25">
        <f>VLOOKUP(C67,[2]Sheet1!$B:$M,12,0)</f>
        <v>1619</v>
      </c>
      <c r="F67" s="29">
        <v>36620610</v>
      </c>
      <c r="G67" s="31">
        <f>VLOOKUP(A67,[2]Sheet1!$A:$J,10,0)</f>
        <v>1020578275</v>
      </c>
      <c r="H67" s="32">
        <f>VLOOKUP(A67,[2]Sheet1!$A:$K,11,0)</f>
        <v>45708</v>
      </c>
      <c r="I67" s="25" t="str">
        <f>VLOOKUP(A67,[2]Sheet1!$A:$F,6,0)</f>
        <v>Averozolid Line</v>
      </c>
      <c r="J67" s="25"/>
      <c r="K67" s="27" t="str">
        <f>VLOOKUP(A67,[2]Sheet1!$A:$N,14,0)</f>
        <v>Mokattam</v>
      </c>
    </row>
    <row r="68" spans="1:11">
      <c r="A68" s="28">
        <v>1713</v>
      </c>
      <c r="B68" s="34" t="s">
        <v>84</v>
      </c>
      <c r="C68" s="30" t="str">
        <f>VLOOKUP(B68,[2]Sheet1!$B:$C,2,0)</f>
        <v>Ahmed Fawzy Abdelwahab</v>
      </c>
      <c r="D68" s="25" t="str">
        <f>VLOOKUP(B68,[2]Sheet1!$B:$H,7,0)</f>
        <v>MR</v>
      </c>
      <c r="E68" s="25">
        <f>VLOOKUP(C68,[2]Sheet1!$B:$M,12,0)</f>
        <v>1619</v>
      </c>
      <c r="F68" s="29">
        <v>36620611</v>
      </c>
      <c r="G68" s="31">
        <f>VLOOKUP(A68,[2]Sheet1!$A:$J,10,0)</f>
        <v>1009620471</v>
      </c>
      <c r="H68" s="32">
        <f>VLOOKUP(A68,[2]Sheet1!$A:$K,11,0)</f>
        <v>45850</v>
      </c>
      <c r="I68" s="25" t="str">
        <f>VLOOKUP(A68,[2]Sheet1!$A:$F,6,0)</f>
        <v>Averozolid Line</v>
      </c>
      <c r="J68" s="25"/>
      <c r="K68" s="27" t="str">
        <f>VLOOKUP(A68,[2]Sheet1!$A:$N,14,0)</f>
        <v>DAR ELSALAM - CAIRO</v>
      </c>
    </row>
    <row r="69" spans="1:11">
      <c r="A69" s="28">
        <v>1608</v>
      </c>
      <c r="B69" s="34" t="s">
        <v>85</v>
      </c>
      <c r="C69" s="30" t="str">
        <f>VLOOKUP(B69,[2]Sheet1!$B:$C,2,0)</f>
        <v>Ahmed Fawzy Abdelwahab</v>
      </c>
      <c r="D69" s="25" t="str">
        <f>VLOOKUP(B69,[2]Sheet1!$B:$H,7,0)</f>
        <v>MR</v>
      </c>
      <c r="E69" s="25">
        <f>VLOOKUP(C69,[2]Sheet1!$B:$M,12,0)</f>
        <v>1619</v>
      </c>
      <c r="F69" s="29">
        <v>36620612</v>
      </c>
      <c r="G69" s="31">
        <f>VLOOKUP(A69,[2]Sheet1!$A:$J,10,0)</f>
        <v>1148849956</v>
      </c>
      <c r="H69" s="32">
        <f>VLOOKUP(A69,[2]Sheet1!$A:$K,11,0)</f>
        <v>45752</v>
      </c>
      <c r="I69" s="25" t="str">
        <f>VLOOKUP(A69,[2]Sheet1!$A:$F,6,0)</f>
        <v>Averozolid Line</v>
      </c>
      <c r="J69" s="25"/>
      <c r="K69" s="27" t="str">
        <f>VLOOKUP(A69,[2]Sheet1!$A:$N,14,0)</f>
        <v>Embaba</v>
      </c>
    </row>
    <row r="70" spans="1:11">
      <c r="A70" s="28">
        <v>1103</v>
      </c>
      <c r="B70" s="34" t="s">
        <v>86</v>
      </c>
      <c r="C70" s="30" t="str">
        <f>VLOOKUP(B70,[2]Sheet1!$B:$C,2,0)</f>
        <v>Ahmed Fawzy Abdelwahab</v>
      </c>
      <c r="D70" s="25" t="str">
        <f>VLOOKUP(B70,[2]Sheet1!$B:$H,7,0)</f>
        <v>MR</v>
      </c>
      <c r="E70" s="25">
        <f>VLOOKUP(C70,[2]Sheet1!$B:$M,12,0)</f>
        <v>1619</v>
      </c>
      <c r="F70" s="29">
        <v>36620613</v>
      </c>
      <c r="G70" s="31" t="str">
        <f>VLOOKUP(A70,[2]Sheet1!$A:$J,10,0)</f>
        <v> 1284584316</v>
      </c>
      <c r="H70" s="32">
        <f>VLOOKUP(A70,[2]Sheet1!$A:$K,11,0)</f>
        <v>44927</v>
      </c>
      <c r="I70" s="25" t="str">
        <f>VLOOKUP(A70,[2]Sheet1!$A:$F,6,0)</f>
        <v>Averozolid Line</v>
      </c>
      <c r="J70" s="25"/>
      <c r="K70" s="27" t="str">
        <f>VLOOKUP(A70,[2]Sheet1!$A:$N,14,0)</f>
        <v>El Maasara</v>
      </c>
    </row>
    <row r="71" spans="1:11">
      <c r="A71" s="28">
        <v>1523</v>
      </c>
      <c r="B71" s="34" t="s">
        <v>87</v>
      </c>
      <c r="C71" s="30" t="str">
        <f>VLOOKUP(B71,[2]Sheet1!$B:$C,2,0)</f>
        <v>Ahmed Fawzy Abdelwahab</v>
      </c>
      <c r="D71" s="25" t="str">
        <f>VLOOKUP(B71,[2]Sheet1!$B:$H,7,0)</f>
        <v>MR</v>
      </c>
      <c r="E71" s="25">
        <f>VLOOKUP(C71,[2]Sheet1!$B:$M,12,0)</f>
        <v>1619</v>
      </c>
      <c r="F71" s="29">
        <v>36620614</v>
      </c>
      <c r="G71" s="31">
        <f>VLOOKUP(A71,[2]Sheet1!$A:$J,10,0)</f>
        <v>1098089404</v>
      </c>
      <c r="H71" s="32">
        <f>VLOOKUP(A71,[2]Sheet1!$A:$K,11,0)</f>
        <v>45691</v>
      </c>
      <c r="I71" s="25" t="str">
        <f>VLOOKUP(A71,[2]Sheet1!$A:$F,6,0)</f>
        <v>Averozolid Line</v>
      </c>
      <c r="J71" s="25"/>
      <c r="K71" s="27" t="str">
        <f>VLOOKUP(A71,[2]Sheet1!$A:$N,14,0)</f>
        <v>Suiz</v>
      </c>
    </row>
    <row r="72" spans="1:11">
      <c r="A72" s="28">
        <v>1400</v>
      </c>
      <c r="B72" s="34" t="s">
        <v>88</v>
      </c>
      <c r="C72" s="30" t="str">
        <f>VLOOKUP(B72,[2]Sheet1!$B:$C,2,0)</f>
        <v>Ahmed Fawzy Abdelwahab</v>
      </c>
      <c r="D72" s="25" t="str">
        <f>VLOOKUP(B72,[2]Sheet1!$B:$H,7,0)</f>
        <v>MR</v>
      </c>
      <c r="E72" s="25">
        <f>VLOOKUP(C72,[2]Sheet1!$B:$M,12,0)</f>
        <v>1619</v>
      </c>
      <c r="F72" s="29">
        <v>36620616</v>
      </c>
      <c r="G72" s="31">
        <f>VLOOKUP(A72,[2]Sheet1!$A:$J,10,0)</f>
        <v>1221659472</v>
      </c>
      <c r="H72" s="32">
        <f>VLOOKUP(A72,[2]Sheet1!$A:$K,11,0)</f>
        <v>45465</v>
      </c>
      <c r="I72" s="25" t="str">
        <f>VLOOKUP(A72,[2]Sheet1!$A:$F,6,0)</f>
        <v>Averozolid Line</v>
      </c>
      <c r="J72" s="25"/>
      <c r="K72" s="27" t="str">
        <f>VLOOKUP(A72,[2]Sheet1!$A:$N,14,0)</f>
        <v>Hay El Salam</v>
      </c>
    </row>
    <row r="73" spans="1:11">
      <c r="A73" s="28">
        <v>857</v>
      </c>
      <c r="B73" s="34" t="s">
        <v>89</v>
      </c>
      <c r="C73" s="30" t="str">
        <f>VLOOKUP(B73,[2]Sheet1!$B:$D,3,0)</f>
        <v>Ahmed Omer Ali Mostafa</v>
      </c>
      <c r="D73" s="25" t="str">
        <f>VLOOKUP(B73,[2]Sheet1!$B:$H,7,0)</f>
        <v>DM</v>
      </c>
      <c r="E73" s="25">
        <f>VLOOKUP(C73,[2]Sheet1!$B:$M,12,0)</f>
        <v>1869</v>
      </c>
      <c r="F73" s="29">
        <v>36620618</v>
      </c>
      <c r="G73" s="31">
        <f>VLOOKUP(A73,[2]Sheet1!$A:$J,10,0)</f>
        <v>1114248475</v>
      </c>
      <c r="H73" s="32">
        <f>VLOOKUP(A73,[2]Sheet1!$A:$K,11,0)</f>
        <v>44501</v>
      </c>
      <c r="I73" s="25" t="str">
        <f>VLOOKUP(A73,[2]Sheet1!$A:$F,6,0)</f>
        <v>Averozolid Line</v>
      </c>
      <c r="J73" s="25" t="str">
        <f>VLOOKUP(A73,[2]Sheet1!$A:$L,12,0)</f>
        <v>Mohamed.Khaled.Helal@averroes-eg.com</v>
      </c>
      <c r="K73" s="27" t="str">
        <f>VLOOKUP(A73,[2]Sheet1!$A:$N,14,0)</f>
        <v>El Marg</v>
      </c>
    </row>
    <row r="74" spans="1:11">
      <c r="A74" s="28">
        <v>1593</v>
      </c>
      <c r="B74" s="34" t="s">
        <v>90</v>
      </c>
      <c r="C74" s="30" t="str">
        <f>VLOOKUP(B74,[2]Sheet1!$B:$C,2,0)</f>
        <v>Mohamed Khaled Helal</v>
      </c>
      <c r="D74" s="25" t="str">
        <f>VLOOKUP(B74,[2]Sheet1!$B:$H,7,0)</f>
        <v>MR</v>
      </c>
      <c r="E74" s="25">
        <f>VLOOKUP(C74,[2]Sheet1!$B:$M,12,0)</f>
        <v>857</v>
      </c>
      <c r="F74" s="29">
        <v>36620619</v>
      </c>
      <c r="G74" s="31">
        <f>VLOOKUP(A74,[2]Sheet1!$A:$J,10,0)</f>
        <v>1146909164</v>
      </c>
      <c r="H74" s="32">
        <f>VLOOKUP(A74,[2]Sheet1!$A:$K,11,0)</f>
        <v>45731</v>
      </c>
      <c r="I74" s="25" t="str">
        <f>VLOOKUP(A74,[2]Sheet1!$A:$F,6,0)</f>
        <v>Averozolid Line</v>
      </c>
      <c r="J74" s="25"/>
      <c r="K74" s="27" t="str">
        <f>VLOOKUP(A74,[2]Sheet1!$A:$N,14,0)</f>
        <v>NASR CITY II</v>
      </c>
    </row>
    <row r="75" spans="1:11">
      <c r="A75" s="28">
        <v>794</v>
      </c>
      <c r="B75" s="34" t="s">
        <v>91</v>
      </c>
      <c r="C75" s="30" t="str">
        <f>VLOOKUP(B75,[2]Sheet1!$B:$C,2,0)</f>
        <v>Mohamed Khaled Helal</v>
      </c>
      <c r="D75" s="25" t="str">
        <f>VLOOKUP(B75,[2]Sheet1!$B:$H,7,0)</f>
        <v>MR</v>
      </c>
      <c r="E75" s="25">
        <f>VLOOKUP(C75,[2]Sheet1!$B:$M,12,0)</f>
        <v>857</v>
      </c>
      <c r="F75" s="29">
        <v>36620621</v>
      </c>
      <c r="G75" s="31">
        <f>VLOOKUP(A75,[2]Sheet1!$A:$J,10,0)</f>
        <v>1021022474</v>
      </c>
      <c r="H75" s="32">
        <f>VLOOKUP(A75,[2]Sheet1!$A:$K,11,0)</f>
        <v>44362</v>
      </c>
      <c r="I75" s="25" t="str">
        <f>VLOOKUP(A75,[2]Sheet1!$A:$F,6,0)</f>
        <v>Averozolid Line</v>
      </c>
      <c r="J75" s="25"/>
      <c r="K75" s="27" t="str">
        <f>VLOOKUP(A75,[2]Sheet1!$A:$N,14,0)</f>
        <v>6th of October City</v>
      </c>
    </row>
    <row r="76" spans="1:11">
      <c r="A76" s="28">
        <v>1740</v>
      </c>
      <c r="B76" s="34" t="s">
        <v>92</v>
      </c>
      <c r="C76" s="30" t="str">
        <f>VLOOKUP(B76,[2]Sheet1!$B:$C,2,0)</f>
        <v>Mohamed Khaled Helal</v>
      </c>
      <c r="D76" s="25" t="str">
        <f>VLOOKUP(B76,[2]Sheet1!$B:$H,7,0)</f>
        <v>MR</v>
      </c>
      <c r="E76" s="25">
        <f>VLOOKUP(C76,[2]Sheet1!$B:$M,12,0)</f>
        <v>857</v>
      </c>
      <c r="F76" s="29">
        <v>36620622</v>
      </c>
      <c r="G76" s="31">
        <f>VLOOKUP(A76,[2]Sheet1!$A:$J,10,0)</f>
        <v>1156256210</v>
      </c>
      <c r="H76" s="32">
        <f>VLOOKUP(A76,[2]Sheet1!$A:$K,11,0)</f>
        <v>45901</v>
      </c>
      <c r="I76" s="25" t="str">
        <f>VLOOKUP(A76,[2]Sheet1!$A:$F,6,0)</f>
        <v>Averozolid Line</v>
      </c>
      <c r="J76" s="25"/>
      <c r="K76" s="27" t="str">
        <f>VLOOKUP(A76,[2]Sheet1!$A:$N,14,0)</f>
        <v>Madenet El Salam</v>
      </c>
    </row>
    <row r="77" spans="1:11">
      <c r="A77" s="28">
        <v>1685</v>
      </c>
      <c r="B77" s="34" t="s">
        <v>93</v>
      </c>
      <c r="C77" s="30" t="str">
        <f>VLOOKUP(B77,[2]Sheet1!$B:$C,2,0)</f>
        <v>Mohamed Khaled Helal</v>
      </c>
      <c r="D77" s="25" t="str">
        <f>VLOOKUP(B77,[2]Sheet1!$B:$H,7,0)</f>
        <v>MR</v>
      </c>
      <c r="E77" s="25">
        <f>VLOOKUP(C77,[2]Sheet1!$B:$M,12,0)</f>
        <v>857</v>
      </c>
      <c r="F77" s="29">
        <v>36620623</v>
      </c>
      <c r="G77" s="31">
        <f>VLOOKUP(A77,[2]Sheet1!$A:$J,10,0)</f>
        <v>1005213439</v>
      </c>
      <c r="H77" s="32">
        <f>VLOOKUP(A77,[2]Sheet1!$A:$K,11,0)</f>
        <v>45809</v>
      </c>
      <c r="I77" s="25" t="str">
        <f>VLOOKUP(A77,[2]Sheet1!$A:$F,6,0)</f>
        <v>Averozolid Line</v>
      </c>
      <c r="J77" s="25"/>
      <c r="K77" s="27" t="str">
        <f>VLOOKUP(A77,[2]Sheet1!$A:$N,14,0)</f>
        <v>Bani Swaif City</v>
      </c>
    </row>
    <row r="78" spans="1:11">
      <c r="A78" s="28">
        <v>1512</v>
      </c>
      <c r="B78" s="34" t="s">
        <v>94</v>
      </c>
      <c r="C78" s="30" t="str">
        <f>VLOOKUP(B78,[2]Sheet1!$B:$C,2,0)</f>
        <v>Mohamed Khaled Helal</v>
      </c>
      <c r="D78" s="25" t="str">
        <f>VLOOKUP(B78,[2]Sheet1!$B:$H,7,0)</f>
        <v>MR</v>
      </c>
      <c r="E78" s="25">
        <f>VLOOKUP(C78,[2]Sheet1!$B:$M,12,0)</f>
        <v>857</v>
      </c>
      <c r="F78" s="29">
        <v>36620625</v>
      </c>
      <c r="G78" s="31">
        <f>VLOOKUP(A78,[2]Sheet1!$A:$J,10,0)</f>
        <v>1114108412</v>
      </c>
      <c r="H78" s="32">
        <f>VLOOKUP(A78,[2]Sheet1!$A:$K,11,0)</f>
        <v>45689</v>
      </c>
      <c r="I78" s="25" t="str">
        <f>VLOOKUP(A78,[2]Sheet1!$A:$F,6,0)</f>
        <v>Averozolid Line</v>
      </c>
      <c r="J78" s="25"/>
      <c r="K78" s="27" t="str">
        <f>VLOOKUP(A78,[2]Sheet1!$A:$N,14,0)</f>
        <v>El Marg</v>
      </c>
    </row>
    <row r="79" spans="1:11">
      <c r="A79" s="28">
        <v>1253</v>
      </c>
      <c r="B79" s="34" t="s">
        <v>95</v>
      </c>
      <c r="C79" s="30" t="str">
        <f>VLOOKUP(B79,[2]Sheet1!$B:$C,2,0)</f>
        <v>Mohamed Khaled Helal</v>
      </c>
      <c r="D79" s="25" t="str">
        <f>VLOOKUP(B79,[2]Sheet1!$B:$H,7,0)</f>
        <v>MR</v>
      </c>
      <c r="E79" s="25">
        <f>VLOOKUP(C79,[2]Sheet1!$B:$M,12,0)</f>
        <v>857</v>
      </c>
      <c r="F79" s="29">
        <v>36620626</v>
      </c>
      <c r="G79" s="31">
        <f>VLOOKUP(A79,[2]Sheet1!$A:$J,10,0)</f>
        <v>1289876655</v>
      </c>
      <c r="H79" s="32">
        <f>VLOOKUP(A79,[2]Sheet1!$A:$K,11,0)</f>
        <v>45171</v>
      </c>
      <c r="I79" s="25" t="str">
        <f>VLOOKUP(A79,[2]Sheet1!$A:$F,6,0)</f>
        <v>Averozolid Line</v>
      </c>
      <c r="J79" s="25"/>
      <c r="K79" s="27" t="str">
        <f>VLOOKUP(A79,[2]Sheet1!$A:$N,14,0)</f>
        <v>El Zawya El Hamra I</v>
      </c>
    </row>
    <row r="80" spans="1:11">
      <c r="A80" s="28">
        <v>206</v>
      </c>
      <c r="B80" s="34" t="s">
        <v>96</v>
      </c>
      <c r="C80" s="30" t="str">
        <f>VLOOKUP(B80,[2]Sheet1!$B:$D,3,0)</f>
        <v>Ahmed Omer Ali Mostafa</v>
      </c>
      <c r="D80" s="25" t="str">
        <f>VLOOKUP(B80,[2]Sheet1!$B:$H,7,0)</f>
        <v>DM</v>
      </c>
      <c r="E80" s="25">
        <f>VLOOKUP(C80,[2]Sheet1!$B:$M,12,0)</f>
        <v>1869</v>
      </c>
      <c r="F80" s="29">
        <v>36620627</v>
      </c>
      <c r="G80" s="31" t="str">
        <f>VLOOKUP(A80,[2]Sheet1!$A:$J,10,0)</f>
        <v> 01225402590</v>
      </c>
      <c r="H80" s="32">
        <f>VLOOKUP(A80,[2]Sheet1!$A:$K,11,0)</f>
        <v>43150</v>
      </c>
      <c r="I80" s="25" t="str">
        <f>VLOOKUP(A80,[2]Sheet1!$A:$F,6,0)</f>
        <v>Averozolid Line</v>
      </c>
      <c r="J80" s="25" t="str">
        <f>VLOOKUP(A80,[2]Sheet1!$A:$L,12,0)</f>
        <v>Rania.Isaac.Wadea@averroes-eg.com</v>
      </c>
      <c r="K80" s="27" t="str">
        <f>VLOOKUP(A80,[2]Sheet1!$A:$N,14,0)</f>
        <v>El Mazallat</v>
      </c>
    </row>
    <row r="81" spans="1:11">
      <c r="A81" s="28">
        <v>1606</v>
      </c>
      <c r="B81" s="34" t="s">
        <v>97</v>
      </c>
      <c r="C81" s="30" t="str">
        <f>VLOOKUP(B81,[2]Sheet1!$B:$C,2,0)</f>
        <v>Rania Isaac Wadea</v>
      </c>
      <c r="D81" s="25" t="str">
        <f>VLOOKUP(B81,[2]Sheet1!$B:$H,7,0)</f>
        <v>MR</v>
      </c>
      <c r="E81" s="25">
        <f>VLOOKUP(C81,[2]Sheet1!$B:$M,12,0)</f>
        <v>206</v>
      </c>
      <c r="F81" s="29">
        <v>36620628</v>
      </c>
      <c r="G81" s="31">
        <f>VLOOKUP(A81,[2]Sheet1!$A:$J,10,0)</f>
        <v>1141945376</v>
      </c>
      <c r="H81" s="32">
        <f>VLOOKUP(A81,[2]Sheet1!$A:$K,11,0)</f>
        <v>45752</v>
      </c>
      <c r="I81" s="25" t="str">
        <f>VLOOKUP(A81,[2]Sheet1!$A:$F,6,0)</f>
        <v>Averozolid Line</v>
      </c>
      <c r="J81" s="25"/>
      <c r="K81" s="27" t="str">
        <f>VLOOKUP(A81,[2]Sheet1!$A:$N,14,0)</f>
        <v>El Zaytoun</v>
      </c>
    </row>
    <row r="82" spans="1:11">
      <c r="A82" s="28">
        <v>1700</v>
      </c>
      <c r="B82" s="34" t="s">
        <v>98</v>
      </c>
      <c r="C82" s="30" t="str">
        <f>VLOOKUP(B82,[2]Sheet1!$B:$C,2,0)</f>
        <v>Rania Isaac Wadea</v>
      </c>
      <c r="D82" s="25" t="str">
        <f>VLOOKUP(B82,[2]Sheet1!$B:$H,7,0)</f>
        <v>MR</v>
      </c>
      <c r="E82" s="25">
        <f>VLOOKUP(C82,[2]Sheet1!$B:$M,12,0)</f>
        <v>206</v>
      </c>
      <c r="F82" s="29">
        <v>36620629</v>
      </c>
      <c r="G82" s="31">
        <f>VLOOKUP(A82,[2]Sheet1!$A:$J,10,0)</f>
        <v>1115180440</v>
      </c>
      <c r="H82" s="32">
        <f>VLOOKUP(A82,[2]Sheet1!$A:$K,11,0)</f>
        <v>45839</v>
      </c>
      <c r="I82" s="25" t="str">
        <f>VLOOKUP(A82,[2]Sheet1!$A:$F,6,0)</f>
        <v>Averozolid Line</v>
      </c>
      <c r="J82" s="25"/>
      <c r="K82" s="27" t="str">
        <f>VLOOKUP(A82,[2]Sheet1!$A:$N,14,0)</f>
        <v>Shoubra El-Khima</v>
      </c>
    </row>
    <row r="83" spans="1:11">
      <c r="A83" s="28">
        <v>1835</v>
      </c>
      <c r="B83" s="34" t="s">
        <v>99</v>
      </c>
      <c r="C83" s="30" t="str">
        <f>VLOOKUP(B83,[2]Sheet1!$B:$C,2,0)</f>
        <v>Rania Isaac Wadea</v>
      </c>
      <c r="D83" s="25" t="str">
        <f>VLOOKUP(B83,[2]Sheet1!$B:$H,7,0)</f>
        <v>MR</v>
      </c>
      <c r="E83" s="25">
        <f>VLOOKUP(C83,[2]Sheet1!$B:$M,12,0)</f>
        <v>206</v>
      </c>
      <c r="F83" s="29">
        <v>36620630</v>
      </c>
      <c r="G83" s="31">
        <f>VLOOKUP(A83,[2]Sheet1!$A:$J,10,0)</f>
        <v>1206079398</v>
      </c>
      <c r="H83" s="32">
        <f>VLOOKUP(A83,[2]Sheet1!$A:$K,11,0)</f>
        <v>46039</v>
      </c>
      <c r="I83" s="25" t="str">
        <f>VLOOKUP(A83,[2]Sheet1!$A:$F,6,0)</f>
        <v>Averozolid Line</v>
      </c>
      <c r="J83" s="25"/>
      <c r="K83" s="27" t="str">
        <f>VLOOKUP(A83,[2]Sheet1!$A:$N,14,0)</f>
        <v>Matar El Nozha</v>
      </c>
    </row>
    <row r="84" spans="1:11">
      <c r="A84" s="28">
        <v>1605</v>
      </c>
      <c r="B84" s="34" t="s">
        <v>100</v>
      </c>
      <c r="C84" s="30" t="str">
        <f>VLOOKUP(B84,[2]Sheet1!$B:$C,2,0)</f>
        <v>Rania Isaac Wadea</v>
      </c>
      <c r="D84" s="25" t="str">
        <f>VLOOKUP(B84,[2]Sheet1!$B:$H,7,0)</f>
        <v>MR</v>
      </c>
      <c r="E84" s="25">
        <f>VLOOKUP(C84,[2]Sheet1!$B:$M,12,0)</f>
        <v>206</v>
      </c>
      <c r="F84" s="29">
        <v>36620631</v>
      </c>
      <c r="G84" s="31">
        <f>VLOOKUP(A84,[2]Sheet1!$A:$J,10,0)</f>
        <v>1122973605</v>
      </c>
      <c r="H84" s="32">
        <f>VLOOKUP(A84,[2]Sheet1!$A:$K,11,0)</f>
        <v>45752</v>
      </c>
      <c r="I84" s="25" t="str">
        <f>VLOOKUP(A84,[2]Sheet1!$A:$F,6,0)</f>
        <v>Averozolid Line</v>
      </c>
      <c r="J84" s="25"/>
      <c r="K84" s="27" t="str">
        <f>VLOOKUP(A84,[2]Sheet1!$A:$N,14,0)</f>
        <v>Road El Farag</v>
      </c>
    </row>
    <row r="85" spans="1:11">
      <c r="A85" s="28">
        <v>1481</v>
      </c>
      <c r="B85" s="34" t="s">
        <v>101</v>
      </c>
      <c r="C85" s="30" t="str">
        <f>VLOOKUP(B85,[2]Sheet1!$B:$C,2,0)</f>
        <v>Rania Isaac Wadea</v>
      </c>
      <c r="D85" s="25" t="str">
        <f>VLOOKUP(B85,[2]Sheet1!$B:$H,7,0)</f>
        <v>MR</v>
      </c>
      <c r="E85" s="25">
        <f>VLOOKUP(C85,[2]Sheet1!$B:$M,12,0)</f>
        <v>206</v>
      </c>
      <c r="F85" s="29">
        <v>36620634</v>
      </c>
      <c r="G85" s="31">
        <f>VLOOKUP(A85,[2]Sheet1!$A:$J,10,0)</f>
        <v>1212187020</v>
      </c>
      <c r="H85" s="32">
        <f>VLOOKUP(A85,[2]Sheet1!$A:$K,11,0)</f>
        <v>45658</v>
      </c>
      <c r="I85" s="25" t="str">
        <f>VLOOKUP(A85,[2]Sheet1!$A:$F,6,0)</f>
        <v>Averozolid Line</v>
      </c>
      <c r="J85" s="25"/>
      <c r="K85" s="27" t="str">
        <f>VLOOKUP(A85,[2]Sheet1!$A:$I,9,0)</f>
        <v>Cairo</v>
      </c>
    </row>
    <row r="86" spans="1:11">
      <c r="A86" s="28">
        <v>988</v>
      </c>
      <c r="B86" s="34" t="s">
        <v>102</v>
      </c>
      <c r="C86" s="30" t="str">
        <f>VLOOKUP(B86,[2]Sheet1!$B:$D,3,0)</f>
        <v>Ahmed Omer Ali Mostafa</v>
      </c>
      <c r="D86" s="25" t="str">
        <f>VLOOKUP(B86,[2]Sheet1!$B:$H,7,0)</f>
        <v>DM</v>
      </c>
      <c r="E86" s="25">
        <f>VLOOKUP(C86,[2]Sheet1!$B:$M,12,0)</f>
        <v>1869</v>
      </c>
      <c r="F86" s="29">
        <v>36620635</v>
      </c>
      <c r="G86" s="31">
        <f>VLOOKUP(A86,[2]Sheet1!$A:$J,10,0)</f>
        <v>1111615948</v>
      </c>
      <c r="H86" s="32">
        <f>VLOOKUP(A86,[2]Sheet1!$A:$K,11,0)</f>
        <v>44807</v>
      </c>
      <c r="I86" s="25" t="str">
        <f>VLOOKUP(A86,[2]Sheet1!$A:$F,6,0)</f>
        <v>Averozolid Line</v>
      </c>
      <c r="J86" s="25" t="str">
        <f>VLOOKUP(A86,[2]Sheet1!$A:$L,12,0)</f>
        <v>Tayseer.AbdElbary@averroes-eg.com</v>
      </c>
      <c r="K86" s="27" t="str">
        <f>VLOOKUP(A86,[2]Sheet1!$A:$N,14,0)</f>
        <v>El Haram</v>
      </c>
    </row>
    <row r="87" spans="1:11">
      <c r="A87" s="28">
        <v>1468</v>
      </c>
      <c r="B87" s="34" t="s">
        <v>103</v>
      </c>
      <c r="C87" s="30" t="str">
        <f>VLOOKUP(B87,[2]Sheet1!$B:$C,2,0)</f>
        <v>Tayseer ElSayed AbdElbary</v>
      </c>
      <c r="D87" s="25" t="str">
        <f>VLOOKUP(B87,[2]Sheet1!$B:$H,7,0)</f>
        <v>MR</v>
      </c>
      <c r="E87" s="25">
        <f>VLOOKUP(C87,[2]Sheet1!$B:$M,12,0)</f>
        <v>988</v>
      </c>
      <c r="F87" s="29">
        <v>36620636</v>
      </c>
      <c r="G87" s="31">
        <f>VLOOKUP(A87,[2]Sheet1!$A:$J,10,0)</f>
        <v>1005263453</v>
      </c>
      <c r="H87" s="32">
        <f>VLOOKUP(A87,[2]Sheet1!$A:$K,11,0)</f>
        <v>45627</v>
      </c>
      <c r="I87" s="25" t="str">
        <f>VLOOKUP(A87,[2]Sheet1!$A:$F,6,0)</f>
        <v>Averozolid Line</v>
      </c>
      <c r="J87" s="25"/>
      <c r="K87" s="27" t="str">
        <f>VLOOKUP(A87,[2]Sheet1!$A:$N,14,0)</f>
        <v>Sakyet Mekky</v>
      </c>
    </row>
    <row r="88" spans="1:11">
      <c r="A88" s="28">
        <v>1745</v>
      </c>
      <c r="B88" s="34" t="s">
        <v>104</v>
      </c>
      <c r="C88" s="30" t="str">
        <f>VLOOKUP(B88,[2]Sheet1!$B:$C,2,0)</f>
        <v>Tayseer ElSayed AbdElbary</v>
      </c>
      <c r="D88" s="25" t="str">
        <f>VLOOKUP(B88,[2]Sheet1!$B:$H,7,0)</f>
        <v>MR</v>
      </c>
      <c r="E88" s="25">
        <f>VLOOKUP(C88,[2]Sheet1!$B:$M,12,0)</f>
        <v>988</v>
      </c>
      <c r="F88" s="29">
        <v>36620639</v>
      </c>
      <c r="G88" s="31">
        <f>VLOOKUP(A88,[2]Sheet1!$A:$J,10,0)</f>
        <v>1204449959</v>
      </c>
      <c r="H88" s="32">
        <f>VLOOKUP(A88,[2]Sheet1!$A:$K,11,0)</f>
        <v>45909</v>
      </c>
      <c r="I88" s="25" t="str">
        <f>VLOOKUP(A88,[2]Sheet1!$A:$F,6,0)</f>
        <v>Averozolid Line</v>
      </c>
      <c r="J88" s="25"/>
      <c r="K88" s="27" t="str">
        <f>VLOOKUP(A88,[2]Sheet1!$A:$N,14,0)</f>
        <v>Faisal</v>
      </c>
    </row>
    <row r="89" spans="1:11">
      <c r="A89" s="28">
        <v>1218</v>
      </c>
      <c r="B89" s="34" t="s">
        <v>105</v>
      </c>
      <c r="C89" s="30" t="str">
        <f>VLOOKUP(B89,[2]Sheet1!$B:$C,2,0)</f>
        <v>Tayseer ElSayed AbdElbary</v>
      </c>
      <c r="D89" s="25" t="str">
        <f>VLOOKUP(B89,[2]Sheet1!$B:$H,7,0)</f>
        <v>MR</v>
      </c>
      <c r="E89" s="25">
        <f>VLOOKUP(C89,[2]Sheet1!$B:$M,12,0)</f>
        <v>988</v>
      </c>
      <c r="F89" s="29">
        <v>36620640</v>
      </c>
      <c r="G89" s="31">
        <f>VLOOKUP(A89,[2]Sheet1!$A:$J,10,0)</f>
        <v>1061890112</v>
      </c>
      <c r="H89" s="32">
        <f>VLOOKUP(A89,[2]Sheet1!$A:$K,11,0)</f>
        <v>45017</v>
      </c>
      <c r="I89" s="25" t="str">
        <f>VLOOKUP(A89,[2]Sheet1!$A:$F,6,0)</f>
        <v>Averozolid Line</v>
      </c>
      <c r="J89" s="25"/>
      <c r="K89" s="27" t="str">
        <f>VLOOKUP(A89,[2]Sheet1!$A:$N,14,0)</f>
        <v>El Basrawy</v>
      </c>
    </row>
    <row r="90" spans="1:11">
      <c r="A90" s="28">
        <v>68</v>
      </c>
      <c r="B90" s="34" t="s">
        <v>106</v>
      </c>
      <c r="C90" s="30" t="str">
        <f>VLOOKUP(B90,[2]Sheet1!$B:$E,4,0)</f>
        <v>Abd Elhameed Elshiekh</v>
      </c>
      <c r="D90" s="25" t="str">
        <f>VLOOKUP(B90,[2]Sheet1!$B:$H,7,0)</f>
        <v>AM</v>
      </c>
      <c r="E90" s="25">
        <f>VLOOKUP(C90,[2]Sheet1!$B:$M,12,0)</f>
        <v>59</v>
      </c>
      <c r="F90" s="29">
        <v>36620641</v>
      </c>
      <c r="G90" s="31" t="str">
        <f>VLOOKUP(A90,[2]Sheet1!$A:$J,10,0)</f>
        <v> 01002999232</v>
      </c>
      <c r="H90" s="32">
        <f>VLOOKUP(A90,[2]Sheet1!$A:$K,11,0)</f>
        <v>41671</v>
      </c>
      <c r="I90" s="25" t="str">
        <f>VLOOKUP(A90,[2]Sheet1!$A:$F,6,0)</f>
        <v>Ortho Line</v>
      </c>
      <c r="J90" s="25" t="str">
        <f>VLOOKUP(A90,[2]Sheet1!$A:$L,12,0)</f>
        <v>hossam.elwakeel@averroes-eg.com</v>
      </c>
      <c r="K90" s="27" t="str">
        <f>VLOOKUP(A90,[2]Sheet1!$A:$N,14,0)</f>
        <v>Kafr El Shiekh</v>
      </c>
    </row>
    <row r="91" spans="1:11">
      <c r="A91" s="28">
        <v>176</v>
      </c>
      <c r="B91" s="34" t="s">
        <v>107</v>
      </c>
      <c r="C91" s="30" t="str">
        <f>VLOOKUP(B91,[2]Sheet1!$B:$D,3,0)</f>
        <v>Hossam Kamel ElWakeel</v>
      </c>
      <c r="D91" s="25" t="str">
        <f>VLOOKUP(B91,[2]Sheet1!$B:$H,7,0)</f>
        <v>DM</v>
      </c>
      <c r="E91" s="25">
        <f>VLOOKUP(C91,[2]Sheet1!$B:$M,12,0)</f>
        <v>68</v>
      </c>
      <c r="F91" s="29">
        <v>36620642</v>
      </c>
      <c r="G91" s="31" t="str">
        <f>VLOOKUP(A91,[2]Sheet1!$A:$J,10,0)</f>
        <v> 01093198714</v>
      </c>
      <c r="H91" s="32">
        <f>VLOOKUP(A91,[2]Sheet1!$A:$K,11,0)</f>
        <v>43008</v>
      </c>
      <c r="I91" s="25" t="str">
        <f>VLOOKUP(A91,[2]Sheet1!$A:$F,6,0)</f>
        <v>Ortho Line</v>
      </c>
      <c r="J91" s="25" t="str">
        <f>VLOOKUP(A91,[2]Sheet1!$A:$L,12,0)</f>
        <v>ali.omar@averroes-eg.com</v>
      </c>
      <c r="K91" s="27" t="str">
        <f>VLOOKUP(A91,[2]Sheet1!$A:$N,14,0)</f>
        <v>Quariet Kherbetha</v>
      </c>
    </row>
    <row r="92" spans="1:11">
      <c r="A92" s="28">
        <v>1442</v>
      </c>
      <c r="B92" s="34" t="s">
        <v>108</v>
      </c>
      <c r="C92" s="30" t="str">
        <f>VLOOKUP(B92,[2]Sheet1!$B:$C,2,0)</f>
        <v>Ali Omar freag</v>
      </c>
      <c r="D92" s="25" t="str">
        <f>VLOOKUP(B92,[2]Sheet1!$B:$H,7,0)</f>
        <v>MR</v>
      </c>
      <c r="E92" s="25">
        <f>VLOOKUP(C92,[2]Sheet1!$B:$M,12,0)</f>
        <v>176</v>
      </c>
      <c r="F92" s="29">
        <v>36620643</v>
      </c>
      <c r="G92" s="31">
        <f>VLOOKUP(A92,[2]Sheet1!$A:$J,10,0)</f>
        <v>1097123754</v>
      </c>
      <c r="H92" s="32">
        <f>VLOOKUP(A92,[2]Sheet1!$A:$K,11,0)</f>
        <v>45542</v>
      </c>
      <c r="I92" s="25" t="str">
        <f>VLOOKUP(A92,[2]Sheet1!$A:$F,6,0)</f>
        <v>Ortho Line</v>
      </c>
      <c r="J92" s="25"/>
      <c r="K92" s="27" t="str">
        <f>VLOOKUP(A92,[2]Sheet1!$A:$N,14,0)</f>
        <v>Kafr El Shiekh</v>
      </c>
    </row>
    <row r="93" spans="1:11">
      <c r="A93" s="28">
        <v>1095</v>
      </c>
      <c r="B93" s="34" t="s">
        <v>109</v>
      </c>
      <c r="C93" s="30" t="str">
        <f>VLOOKUP(B93,[2]Sheet1!$B:$C,2,0)</f>
        <v>Ali Omar freag</v>
      </c>
      <c r="D93" s="25" t="str">
        <f>VLOOKUP(B93,[2]Sheet1!$B:$H,7,0)</f>
        <v>MR</v>
      </c>
      <c r="E93" s="25">
        <f>VLOOKUP(C93,[2]Sheet1!$B:$M,12,0)</f>
        <v>176</v>
      </c>
      <c r="F93" s="29">
        <v>36620645</v>
      </c>
      <c r="G93" s="31" t="str">
        <f>VLOOKUP(A93,[2]Sheet1!$A:$J,10,0)</f>
        <v> 01003761973</v>
      </c>
      <c r="H93" s="32">
        <f>VLOOKUP(A93,[2]Sheet1!$A:$K,11,0)</f>
        <v>44927</v>
      </c>
      <c r="I93" s="25" t="str">
        <f>VLOOKUP(A93,[2]Sheet1!$A:$F,6,0)</f>
        <v>Ortho Line</v>
      </c>
      <c r="J93" s="25"/>
      <c r="K93" s="27" t="str">
        <f>VLOOKUP(A93,[2]Sheet1!$A:$N,14,0)</f>
        <v>Etay El Baroud</v>
      </c>
    </row>
    <row r="94" spans="1:11">
      <c r="A94" s="28">
        <v>1508</v>
      </c>
      <c r="B94" s="34" t="s">
        <v>110</v>
      </c>
      <c r="C94" s="30" t="str">
        <f>VLOOKUP(B94,[2]Sheet1!$B:$C,2,0)</f>
        <v>Ali Omar freag</v>
      </c>
      <c r="D94" s="25" t="str">
        <f>VLOOKUP(B94,[2]Sheet1!$B:$H,7,0)</f>
        <v>MR</v>
      </c>
      <c r="E94" s="25">
        <f>VLOOKUP(C94,[2]Sheet1!$B:$M,12,0)</f>
        <v>176</v>
      </c>
      <c r="F94" s="29">
        <v>36620646</v>
      </c>
      <c r="G94" s="31">
        <f>VLOOKUP(A94,[2]Sheet1!$A:$J,10,0)</f>
        <v>1020160488</v>
      </c>
      <c r="H94" s="32">
        <f>VLOOKUP(A94,[2]Sheet1!$A:$K,11,0)</f>
        <v>45713</v>
      </c>
      <c r="I94" s="25" t="str">
        <f>VLOOKUP(A94,[2]Sheet1!$A:$F,6,0)</f>
        <v>Ortho Line</v>
      </c>
      <c r="J94" s="25"/>
      <c r="K94" s="27" t="str">
        <f>VLOOKUP(A94,[2]Sheet1!$A:$N,14,0)</f>
        <v>Kafer Eldwar</v>
      </c>
    </row>
    <row r="95" spans="1:11">
      <c r="A95" s="28">
        <v>1387</v>
      </c>
      <c r="B95" s="34" t="s">
        <v>111</v>
      </c>
      <c r="C95" s="30" t="str">
        <f>VLOOKUP(B95,[2]Sheet1!$B:$C,2,0)</f>
        <v>Ali Omar freag</v>
      </c>
      <c r="D95" s="25" t="str">
        <f>VLOOKUP(B95,[2]Sheet1!$B:$H,7,0)</f>
        <v>MR</v>
      </c>
      <c r="E95" s="25">
        <f>VLOOKUP(C95,[2]Sheet1!$B:$M,12,0)</f>
        <v>176</v>
      </c>
      <c r="F95" s="29">
        <v>36620647</v>
      </c>
      <c r="G95" s="31">
        <f>VLOOKUP(A95,[2]Sheet1!$A:$J,10,0)</f>
        <v>1011957365</v>
      </c>
      <c r="H95" s="32">
        <f>VLOOKUP(A95,[2]Sheet1!$A:$K,11,0)</f>
        <v>45446</v>
      </c>
      <c r="I95" s="25" t="str">
        <f>VLOOKUP(A95,[2]Sheet1!$A:$F,6,0)</f>
        <v>Ortho Line</v>
      </c>
      <c r="J95" s="25"/>
      <c r="K95" s="27" t="str">
        <f>VLOOKUP(A95,[2]Sheet1!$A:$N,14,0)</f>
        <v>Damanhour</v>
      </c>
    </row>
    <row r="96" spans="1:11">
      <c r="A96" s="28">
        <v>1235</v>
      </c>
      <c r="B96" s="34" t="s">
        <v>112</v>
      </c>
      <c r="C96" s="30" t="str">
        <f>VLOOKUP(B96,[2]Sheet1!$B:$C,2,0)</f>
        <v>Ali Omar freag</v>
      </c>
      <c r="D96" s="25" t="str">
        <f>VLOOKUP(B96,[2]Sheet1!$B:$H,7,0)</f>
        <v>MR</v>
      </c>
      <c r="E96" s="25">
        <f>VLOOKUP(C96,[2]Sheet1!$B:$M,12,0)</f>
        <v>176</v>
      </c>
      <c r="F96" s="29">
        <v>36620648</v>
      </c>
      <c r="G96" s="31">
        <f>VLOOKUP(A96,[2]Sheet1!$A:$J,10,0)</f>
        <v>1022321401</v>
      </c>
      <c r="H96" s="32">
        <f>VLOOKUP(A96,[2]Sheet1!$A:$K,11,0)</f>
        <v>45111</v>
      </c>
      <c r="I96" s="25" t="str">
        <f>VLOOKUP(A96,[2]Sheet1!$A:$F,6,0)</f>
        <v>Ortho Line</v>
      </c>
      <c r="J96" s="25"/>
      <c r="K96" s="27" t="str">
        <f>VLOOKUP(A96,[2]Sheet1!$A:$N,14,0)</f>
        <v>Shoubra (Damanhour)</v>
      </c>
    </row>
    <row r="97" spans="1:11">
      <c r="A97" s="28">
        <v>1511</v>
      </c>
      <c r="B97" s="34" t="s">
        <v>113</v>
      </c>
      <c r="C97" s="30" t="str">
        <f>VLOOKUP(B97,[2]Sheet1!$B:$C,2,0)</f>
        <v>Ali Omar freag</v>
      </c>
      <c r="D97" s="25" t="str">
        <f>VLOOKUP(B97,[2]Sheet1!$B:$H,7,0)</f>
        <v>MR</v>
      </c>
      <c r="E97" s="25">
        <f>VLOOKUP(C97,[2]Sheet1!$B:$M,12,0)</f>
        <v>176</v>
      </c>
      <c r="F97" s="29">
        <v>36620649</v>
      </c>
      <c r="G97" s="31">
        <f>VLOOKUP(A97,[2]Sheet1!$A:$J,10,0)</f>
        <v>1099180337</v>
      </c>
      <c r="H97" s="32">
        <f>VLOOKUP(A97,[2]Sheet1!$A:$K,11,0)</f>
        <v>45690</v>
      </c>
      <c r="I97" s="25" t="str">
        <f>VLOOKUP(A97,[2]Sheet1!$A:$F,6,0)</f>
        <v>Ortho Line</v>
      </c>
      <c r="J97" s="25"/>
      <c r="K97" s="27" t="str">
        <f>VLOOKUP(A97,[2]Sheet1!$A:$N,14,0)</f>
        <v>Kafr El Shiekh</v>
      </c>
    </row>
    <row r="98" spans="1:11">
      <c r="A98" s="28">
        <v>1779</v>
      </c>
      <c r="B98" s="34" t="s">
        <v>114</v>
      </c>
      <c r="C98" s="30" t="str">
        <f>VLOOKUP(B98,[2]Sheet1!$B:$C,2,0)</f>
        <v>Ali Omar freag</v>
      </c>
      <c r="D98" s="25" t="str">
        <f>VLOOKUP(B98,[2]Sheet1!$B:$H,7,0)</f>
        <v>MR</v>
      </c>
      <c r="E98" s="25">
        <f>VLOOKUP(C98,[2]Sheet1!$B:$M,12,0)</f>
        <v>176</v>
      </c>
      <c r="F98" s="29">
        <v>36620651</v>
      </c>
      <c r="G98" s="31">
        <f>VLOOKUP(A98,[2]Sheet1!$A:$J,10,0)</f>
        <v>1095695938</v>
      </c>
      <c r="H98" s="32">
        <f>VLOOKUP(A98,[2]Sheet1!$A:$K,11,0)</f>
        <v>45962</v>
      </c>
      <c r="I98" s="25" t="str">
        <f>VLOOKUP(A98,[2]Sheet1!$A:$F,6,0)</f>
        <v>Ortho Line</v>
      </c>
      <c r="J98" s="25"/>
      <c r="K98" s="27" t="str">
        <f>VLOOKUP(A98,[2]Sheet1!$A:$N,14,0)</f>
        <v>Desouk</v>
      </c>
    </row>
    <row r="99" spans="1:11">
      <c r="A99" s="28">
        <v>543</v>
      </c>
      <c r="B99" s="34" t="s">
        <v>115</v>
      </c>
      <c r="C99" s="30" t="str">
        <f>VLOOKUP(B99,[2]Sheet1!$B:$D,3,0)</f>
        <v>Hossam Kamel ElWakeel</v>
      </c>
      <c r="D99" s="25" t="str">
        <f>VLOOKUP(B99,[2]Sheet1!$B:$H,7,0)</f>
        <v>DM</v>
      </c>
      <c r="E99" s="25">
        <f>VLOOKUP(C99,[2]Sheet1!$B:$M,12,0)</f>
        <v>68</v>
      </c>
      <c r="F99" s="29">
        <v>36620652</v>
      </c>
      <c r="G99" s="31">
        <f>VLOOKUP(A99,[2]Sheet1!$A:$J,10,0)</f>
        <v>1200102243</v>
      </c>
      <c r="H99" s="32">
        <f>VLOOKUP(A99,[2]Sheet1!$A:$K,11,0)</f>
        <v>43846</v>
      </c>
      <c r="I99" s="25" t="str">
        <f>VLOOKUP(A99,[2]Sheet1!$A:$F,6,0)</f>
        <v>Ortho Line</v>
      </c>
      <c r="J99" s="25" t="str">
        <f>VLOOKUP(A99,[2]Sheet1!$A:$L,12,0)</f>
        <v>hebtallah.hanfy@averroes-eg.com</v>
      </c>
      <c r="K99" s="27" t="str">
        <f>VLOOKUP(A99,[2]Sheet1!$A:$N,14,0)</f>
        <v>El Asafra Kebly</v>
      </c>
    </row>
    <row r="100" spans="1:11">
      <c r="A100" s="28">
        <v>1398</v>
      </c>
      <c r="B100" s="34" t="s">
        <v>116</v>
      </c>
      <c r="C100" s="30" t="str">
        <f>VLOOKUP(B100,[2]Sheet1!$B:$C,2,0)</f>
        <v>Hebtallah Hanfy Elsaid</v>
      </c>
      <c r="D100" s="25" t="str">
        <f>VLOOKUP(B100,[2]Sheet1!$B:$H,7,0)</f>
        <v>MR</v>
      </c>
      <c r="E100" s="25">
        <f>VLOOKUP(C100,[2]Sheet1!$B:$M,12,0)</f>
        <v>543</v>
      </c>
      <c r="F100" s="29">
        <v>36620653</v>
      </c>
      <c r="G100" s="31">
        <f>VLOOKUP(A100,[2]Sheet1!$A:$J,10,0)</f>
        <v>1270836966</v>
      </c>
      <c r="H100" s="32">
        <f>VLOOKUP(A100,[2]Sheet1!$A:$K,11,0)</f>
        <v>45465</v>
      </c>
      <c r="I100" s="25" t="str">
        <f>VLOOKUP(A100,[2]Sheet1!$A:$F,6,0)</f>
        <v>Ortho Line</v>
      </c>
      <c r="J100" s="25"/>
      <c r="K100" s="27" t="str">
        <f>VLOOKUP(A100,[2]Sheet1!$A:$N,14,0)</f>
        <v>El Falaky (Alex)</v>
      </c>
    </row>
    <row r="101" spans="1:11">
      <c r="A101" s="28">
        <v>1406</v>
      </c>
      <c r="B101" s="34" t="s">
        <v>117</v>
      </c>
      <c r="C101" s="30" t="str">
        <f>VLOOKUP(B101,[2]Sheet1!$B:$C,2,0)</f>
        <v>Hebtallah Hanfy Elsaid</v>
      </c>
      <c r="D101" s="25" t="str">
        <f>VLOOKUP(B101,[2]Sheet1!$B:$H,7,0)</f>
        <v>MR</v>
      </c>
      <c r="E101" s="25">
        <f>VLOOKUP(C101,[2]Sheet1!$B:$M,12,0)</f>
        <v>543</v>
      </c>
      <c r="F101" s="29">
        <v>36620654</v>
      </c>
      <c r="G101" s="31">
        <f>VLOOKUP(A101,[2]Sheet1!$A:$J,10,0)</f>
        <v>1554098724</v>
      </c>
      <c r="H101" s="32">
        <f>VLOOKUP(A101,[2]Sheet1!$A:$K,11,0)</f>
        <v>45479</v>
      </c>
      <c r="I101" s="25" t="str">
        <f>VLOOKUP(A101,[2]Sheet1!$A:$F,6,0)</f>
        <v>Ortho Line</v>
      </c>
      <c r="J101" s="25"/>
      <c r="K101" s="27" t="str">
        <f>VLOOKUP(A101,[2]Sheet1!$A:$N,14,0)</f>
        <v>El Hanoveel</v>
      </c>
    </row>
    <row r="102" spans="1:11">
      <c r="A102" s="28">
        <v>1361</v>
      </c>
      <c r="B102" s="34" t="s">
        <v>118</v>
      </c>
      <c r="C102" s="30" t="str">
        <f>VLOOKUP(B102,[2]Sheet1!$B:$C,2,0)</f>
        <v>Hebtallah Hanfy Elsaid</v>
      </c>
      <c r="D102" s="25" t="str">
        <f>VLOOKUP(B102,[2]Sheet1!$B:$H,7,0)</f>
        <v>MR</v>
      </c>
      <c r="E102" s="25">
        <f>VLOOKUP(C102,[2]Sheet1!$B:$M,12,0)</f>
        <v>543</v>
      </c>
      <c r="F102" s="29">
        <v>36620656</v>
      </c>
      <c r="G102" s="31">
        <f>VLOOKUP(A102,[2]Sheet1!$A:$J,10,0)</f>
        <v>1288635673</v>
      </c>
      <c r="H102" s="32">
        <f>VLOOKUP(A102,[2]Sheet1!$A:$K,11,0)</f>
        <v>45423</v>
      </c>
      <c r="I102" s="25" t="str">
        <f>VLOOKUP(A102,[2]Sheet1!$A:$F,6,0)</f>
        <v>Ortho Line</v>
      </c>
      <c r="J102" s="25"/>
      <c r="K102" s="27" t="str">
        <f>VLOOKUP(A102,[2]Sheet1!$A:$N,14,0)</f>
        <v>El Betash</v>
      </c>
    </row>
    <row r="103" spans="1:11">
      <c r="A103" s="28">
        <v>1594</v>
      </c>
      <c r="B103" s="34" t="s">
        <v>119</v>
      </c>
      <c r="C103" s="30" t="str">
        <f>VLOOKUP(B103,[2]Sheet1!$B:$C,2,0)</f>
        <v>Hebtallah Hanfy Elsaid</v>
      </c>
      <c r="D103" s="25" t="str">
        <f>VLOOKUP(B103,[2]Sheet1!$B:$H,7,0)</f>
        <v>MR</v>
      </c>
      <c r="E103" s="25">
        <f>VLOOKUP(C103,[2]Sheet1!$B:$M,12,0)</f>
        <v>543</v>
      </c>
      <c r="F103" s="29">
        <v>36620657</v>
      </c>
      <c r="G103" s="31">
        <f>VLOOKUP(A103,[2]Sheet1!$A:$J,10,0)</f>
        <v>1212314471</v>
      </c>
      <c r="H103" s="32">
        <f>VLOOKUP(A103,[2]Sheet1!$A:$K,11,0)</f>
        <v>45717</v>
      </c>
      <c r="I103" s="25" t="str">
        <f>VLOOKUP(A103,[2]Sheet1!$A:$F,6,0)</f>
        <v>Ortho Line</v>
      </c>
      <c r="J103" s="25"/>
      <c r="K103" s="27" t="str">
        <f>VLOOKUP(A103,[2]Sheet1!$A:$N,14,0)</f>
        <v>El Asafra</v>
      </c>
    </row>
    <row r="104" spans="1:11">
      <c r="A104" s="28">
        <v>1595</v>
      </c>
      <c r="B104" s="34" t="s">
        <v>120</v>
      </c>
      <c r="C104" s="30" t="str">
        <f>VLOOKUP(B104,[2]Sheet1!$B:$C,2,0)</f>
        <v>Hebtallah Hanfy Elsaid</v>
      </c>
      <c r="D104" s="25" t="str">
        <f>VLOOKUP(B104,[2]Sheet1!$B:$H,7,0)</f>
        <v>MR</v>
      </c>
      <c r="E104" s="25">
        <f>VLOOKUP(C104,[2]Sheet1!$B:$M,12,0)</f>
        <v>543</v>
      </c>
      <c r="F104" s="29">
        <v>36620658</v>
      </c>
      <c r="G104" s="31">
        <f>VLOOKUP(A104,[2]Sheet1!$A:$J,10,0)</f>
        <v>1287590852</v>
      </c>
      <c r="H104" s="32">
        <f>VLOOKUP(A104,[2]Sheet1!$A:$K,11,0)</f>
        <v>45728</v>
      </c>
      <c r="I104" s="25" t="str">
        <f>VLOOKUP(A104,[2]Sheet1!$A:$F,6,0)</f>
        <v>Ortho Line</v>
      </c>
      <c r="J104" s="25"/>
      <c r="K104" s="27" t="str">
        <f>VLOOKUP(A104,[2]Sheet1!$A:$N,14,0)</f>
        <v>Sidi Beshr Bahary</v>
      </c>
    </row>
    <row r="105" spans="1:11">
      <c r="A105" s="28">
        <v>1821</v>
      </c>
      <c r="B105" s="34" t="s">
        <v>121</v>
      </c>
      <c r="C105" s="30" t="str">
        <f>VLOOKUP(B105,[2]Sheet1!$B:$C,2,0)</f>
        <v>Hebtallah Hanfy Elsaid</v>
      </c>
      <c r="D105" s="25" t="str">
        <f>VLOOKUP(B105,[2]Sheet1!$B:$H,7,0)</f>
        <v>MR</v>
      </c>
      <c r="E105" s="25">
        <f>VLOOKUP(C105,[2]Sheet1!$B:$M,12,0)</f>
        <v>543</v>
      </c>
      <c r="F105" s="29">
        <v>36620659</v>
      </c>
      <c r="G105" s="31">
        <f>VLOOKUP(A105,[2]Sheet1!$A:$J,10,0)</f>
        <v>1507111624</v>
      </c>
      <c r="H105" s="32">
        <f>VLOOKUP(A105,[2]Sheet1!$A:$K,11,0)</f>
        <v>46013</v>
      </c>
      <c r="I105" s="25" t="str">
        <f>VLOOKUP(A105,[2]Sheet1!$A:$F,6,0)</f>
        <v>Ortho Line</v>
      </c>
      <c r="J105" s="25"/>
      <c r="K105" s="27" t="str">
        <f>VLOOKUP(A105,[2]Sheet1!$A:$N,14,0)</f>
        <v>El Betash</v>
      </c>
    </row>
    <row r="106" spans="1:11">
      <c r="A106" s="28">
        <v>1706</v>
      </c>
      <c r="B106" s="34" t="s">
        <v>122</v>
      </c>
      <c r="C106" s="30" t="str">
        <f>VLOOKUP(B106,[2]Sheet1!$B:$C,2,0)</f>
        <v>Hebtallah Hanfy Elsaid</v>
      </c>
      <c r="D106" s="25" t="str">
        <f>VLOOKUP(B106,[2]Sheet1!$B:$H,7,0)</f>
        <v>MR</v>
      </c>
      <c r="E106" s="25">
        <f>VLOOKUP(C106,[2]Sheet1!$B:$M,12,0)</f>
        <v>543</v>
      </c>
      <c r="F106" s="29">
        <v>36620660</v>
      </c>
      <c r="G106" s="31">
        <f>VLOOKUP(A106,[2]Sheet1!$A:$J,10,0)</f>
        <v>1550447381</v>
      </c>
      <c r="H106" s="32">
        <f>VLOOKUP(A106,[2]Sheet1!$A:$K,11,0)</f>
        <v>45839</v>
      </c>
      <c r="I106" s="25" t="str">
        <f>VLOOKUP(A106,[2]Sheet1!$A:$F,6,0)</f>
        <v>Ortho Line</v>
      </c>
      <c r="J106" s="25"/>
      <c r="K106" s="27" t="str">
        <f>VLOOKUP(A106,[2]Sheet1!$A:$N,14,0)</f>
        <v>El Siuf Bahary</v>
      </c>
    </row>
    <row r="107" spans="1:11">
      <c r="A107" s="28">
        <v>959</v>
      </c>
      <c r="B107" s="34" t="s">
        <v>123</v>
      </c>
      <c r="C107" s="30" t="str">
        <f>VLOOKUP(B107,[2]Sheet1!$B:$E,4,0)</f>
        <v>Abd Elhameed Elshiekh</v>
      </c>
      <c r="D107" s="25" t="str">
        <f>VLOOKUP(B107,[2]Sheet1!$B:$H,7,0)</f>
        <v>AM</v>
      </c>
      <c r="E107" s="25">
        <f>VLOOKUP(C107,[2]Sheet1!$B:$M,12,0)</f>
        <v>59</v>
      </c>
      <c r="F107" s="29">
        <v>36620661</v>
      </c>
      <c r="G107" s="31">
        <f>VLOOKUP(A107,[2]Sheet1!$A:$J,10,0)</f>
        <v>1147609346</v>
      </c>
      <c r="H107" s="32">
        <f>VLOOKUP(A107,[2]Sheet1!$A:$K,11,0)</f>
        <v>44615</v>
      </c>
      <c r="I107" s="25" t="str">
        <f>VLOOKUP(A107,[2]Sheet1!$A:$F,6,0)</f>
        <v>Ortho Line</v>
      </c>
      <c r="J107" s="25" t="str">
        <f>VLOOKUP(A107,[2]Sheet1!$A:$L,12,0)</f>
        <v>Mohamed.Nagar.Abdelrhim@averroes-eg.com</v>
      </c>
      <c r="K107" s="27" t="str">
        <f>VLOOKUP(A107,[2]Sheet1!$A:$N,14,0)</f>
        <v>Helwan</v>
      </c>
    </row>
    <row r="108" spans="1:11">
      <c r="A108" s="28">
        <v>1324</v>
      </c>
      <c r="B108" s="34" t="s">
        <v>124</v>
      </c>
      <c r="C108" s="30" t="str">
        <f>VLOOKUP(B108,[2]Sheet1!$B:$D,3,0)</f>
        <v>Mohamed Nagar Abdelrhim</v>
      </c>
      <c r="D108" s="25" t="str">
        <f>VLOOKUP(B108,[2]Sheet1!$B:$H,7,0)</f>
        <v>DM</v>
      </c>
      <c r="E108" s="25">
        <f>VLOOKUP(C108,[2]Sheet1!$B:$M,12,0)</f>
        <v>959</v>
      </c>
      <c r="F108" s="29">
        <v>36620662</v>
      </c>
      <c r="G108" s="31">
        <f>VLOOKUP(A108,[2]Sheet1!$A:$J,10,0)</f>
        <v>1005691168</v>
      </c>
      <c r="H108" s="32">
        <f>VLOOKUP(A108,[2]Sheet1!$A:$K,11,0)</f>
        <v>45293</v>
      </c>
      <c r="I108" s="25" t="str">
        <f>VLOOKUP(A108,[2]Sheet1!$A:$F,6,0)</f>
        <v>Ortho Line</v>
      </c>
      <c r="J108" s="25" t="str">
        <f>VLOOKUP(A108,[2]Sheet1!$A:$L,12,0)</f>
        <v>Ibrahem.Fayek@averroes-eg.com</v>
      </c>
      <c r="K108" s="27" t="str">
        <f>VLOOKUP(A108,[2]Sheet1!$A:$N,14,0)</f>
        <v>Mansheyet Naser</v>
      </c>
    </row>
    <row r="109" spans="1:11">
      <c r="A109" s="28">
        <v>1863</v>
      </c>
      <c r="B109" s="34" t="s">
        <v>125</v>
      </c>
      <c r="C109" s="30" t="str">
        <f>VLOOKUP(B109,[2]Sheet1!$B:$C,2,0)</f>
        <v>Ibrahem Fayek Ismail</v>
      </c>
      <c r="D109" s="25" t="str">
        <f>VLOOKUP(B109,[2]Sheet1!$B:$H,7,0)</f>
        <v>MR</v>
      </c>
      <c r="E109" s="25">
        <f>VLOOKUP(C109,[2]Sheet1!$B:$M,12,0)</f>
        <v>1324</v>
      </c>
      <c r="F109" s="29">
        <v>36620663</v>
      </c>
      <c r="G109" s="31">
        <f>VLOOKUP(A109,[2]Sheet1!$A:$J,10,0)</f>
        <v>1156870485</v>
      </c>
      <c r="H109" s="32">
        <f>VLOOKUP(A109,[2]Sheet1!$A:$K,11,0)</f>
        <v>46060</v>
      </c>
      <c r="I109" s="25" t="str">
        <f>VLOOKUP(A109,[2]Sheet1!$A:$F,6,0)</f>
        <v>Ortho Line</v>
      </c>
      <c r="J109" s="25"/>
      <c r="K109" s="27" t="str">
        <f>VLOOKUP(A109,[2]Sheet1!$A:$N,14,0)</f>
        <v>El Sahel</v>
      </c>
    </row>
    <row r="110" spans="1:11">
      <c r="A110" s="28">
        <v>1330</v>
      </c>
      <c r="B110" s="34" t="s">
        <v>126</v>
      </c>
      <c r="C110" s="30" t="str">
        <f>VLOOKUP(B110,[2]Sheet1!$B:$C,2,0)</f>
        <v>Ibrahem Fayek Ismail</v>
      </c>
      <c r="D110" s="25" t="str">
        <f>VLOOKUP(B110,[2]Sheet1!$B:$H,7,0)</f>
        <v>MR</v>
      </c>
      <c r="E110" s="25">
        <f>VLOOKUP(C110,[2]Sheet1!$B:$M,12,0)</f>
        <v>1324</v>
      </c>
      <c r="F110" s="29">
        <v>36620665</v>
      </c>
      <c r="G110" s="31">
        <f>VLOOKUP(A110,[2]Sheet1!$A:$J,10,0)</f>
        <v>1066171906</v>
      </c>
      <c r="H110" s="32">
        <f>VLOOKUP(A110,[2]Sheet1!$A:$K,11,0)</f>
        <v>45311</v>
      </c>
      <c r="I110" s="25" t="str">
        <f>VLOOKUP(A110,[2]Sheet1!$A:$F,6,0)</f>
        <v>Ortho Line</v>
      </c>
      <c r="J110" s="25"/>
      <c r="K110" s="27" t="str">
        <f>VLOOKUP(A110,[2]Sheet1!$A:$N,14,0)</f>
        <v>Suiz</v>
      </c>
    </row>
    <row r="111" spans="1:11">
      <c r="A111" s="28">
        <v>925</v>
      </c>
      <c r="B111" s="34" t="s">
        <v>127</v>
      </c>
      <c r="C111" s="30" t="str">
        <f>VLOOKUP(B111,[2]Sheet1!$B:$C,2,0)</f>
        <v>Ibrahem Fayek Ismail</v>
      </c>
      <c r="D111" s="25" t="str">
        <f>VLOOKUP(B111,[2]Sheet1!$B:$H,7,0)</f>
        <v>MR</v>
      </c>
      <c r="E111" s="25">
        <f>VLOOKUP(C111,[2]Sheet1!$B:$M,12,0)</f>
        <v>1324</v>
      </c>
      <c r="F111" s="29">
        <v>36620666</v>
      </c>
      <c r="G111" s="31">
        <f>VLOOKUP(A111,[2]Sheet1!$A:$J,10,0)</f>
        <v>1287737504</v>
      </c>
      <c r="H111" s="32">
        <f>VLOOKUP(A111,[2]Sheet1!$A:$K,11,0)</f>
        <v>44597</v>
      </c>
      <c r="I111" s="25" t="str">
        <f>VLOOKUP(A111,[2]Sheet1!$A:$F,6,0)</f>
        <v>Ortho Line</v>
      </c>
      <c r="J111" s="25"/>
      <c r="K111" s="27" t="str">
        <f>VLOOKUP(A111,[2]Sheet1!$A:$N,14,0)</f>
        <v>El Basateen</v>
      </c>
    </row>
    <row r="112" spans="1:11">
      <c r="A112" s="28">
        <v>311</v>
      </c>
      <c r="B112" s="34" t="s">
        <v>128</v>
      </c>
      <c r="C112" s="30" t="str">
        <f>VLOOKUP(B112,[2]Sheet1!$B:$C,2,0)</f>
        <v>Ibrahem Fayek Ismail</v>
      </c>
      <c r="D112" s="25" t="str">
        <f>VLOOKUP(B112,[2]Sheet1!$B:$H,7,0)</f>
        <v>MR</v>
      </c>
      <c r="E112" s="25">
        <f>VLOOKUP(C112,[2]Sheet1!$B:$M,12,0)</f>
        <v>1324</v>
      </c>
      <c r="F112" s="29">
        <v>36620668</v>
      </c>
      <c r="G112" s="31" t="str">
        <f>VLOOKUP(A112,[2]Sheet1!$A:$J,10,0)</f>
        <v> 01129050807</v>
      </c>
      <c r="H112" s="32">
        <f>VLOOKUP(A112,[2]Sheet1!$A:$K,11,0)</f>
        <v>43282</v>
      </c>
      <c r="I112" s="25" t="str">
        <f>VLOOKUP(A112,[2]Sheet1!$A:$F,6,0)</f>
        <v>Ortho Line</v>
      </c>
      <c r="J112" s="25"/>
      <c r="K112" s="27" t="str">
        <f>VLOOKUP(A112,[2]Sheet1!$A:$N,14,0)</f>
        <v>Helwan</v>
      </c>
    </row>
    <row r="113" spans="1:11">
      <c r="A113" s="28">
        <v>1591</v>
      </c>
      <c r="B113" s="34" t="s">
        <v>129</v>
      </c>
      <c r="C113" s="30" t="str">
        <f>VLOOKUP(B113,[2]Sheet1!$B:$D,3,0)</f>
        <v>Mohamed Nagar Abdelrhim</v>
      </c>
      <c r="D113" s="25" t="str">
        <f>VLOOKUP(B113,[2]Sheet1!$B:$H,7,0)</f>
        <v>DM</v>
      </c>
      <c r="E113" s="25">
        <f>VLOOKUP(C113,[2]Sheet1!$B:$M,12,0)</f>
        <v>959</v>
      </c>
      <c r="F113" s="29">
        <v>36620669</v>
      </c>
      <c r="G113" s="31">
        <f>VLOOKUP(A113,[2]Sheet1!$A:$J,10,0)</f>
        <v>1015864146</v>
      </c>
      <c r="H113" s="32">
        <f>VLOOKUP(A113,[2]Sheet1!$A:$K,11,0)</f>
        <v>45735</v>
      </c>
      <c r="I113" s="25" t="str">
        <f>VLOOKUP(A113,[2]Sheet1!$A:$F,6,0)</f>
        <v>Ortho Line</v>
      </c>
      <c r="J113" s="25" t="str">
        <f>VLOOKUP(A113,[2]Sheet1!$A:$L,12,0)</f>
        <v>Mahmoud.Mohsen.Mahmoud@averroes-eg.com</v>
      </c>
      <c r="K113" s="27" t="str">
        <f>VLOOKUP(A113,[2]Sheet1!$A:$N,14,0)</f>
        <v>Hadayek Al Ahram</v>
      </c>
    </row>
    <row r="114" spans="1:11">
      <c r="A114" s="28">
        <v>1359</v>
      </c>
      <c r="B114" s="34" t="s">
        <v>130</v>
      </c>
      <c r="C114" s="30" t="str">
        <f>VLOOKUP(B114,[2]Sheet1!$B:$C,2,0)</f>
        <v>Mahmoud Mohsen Mahmoud</v>
      </c>
      <c r="D114" s="25" t="str">
        <f>VLOOKUP(B114,[2]Sheet1!$B:$H,7,0)</f>
        <v>MR</v>
      </c>
      <c r="E114" s="25">
        <f>VLOOKUP(C114,[2]Sheet1!$B:$M,12,0)</f>
        <v>1591</v>
      </c>
      <c r="F114" s="29">
        <v>36620670</v>
      </c>
      <c r="G114" s="31">
        <f>VLOOKUP(A114,[2]Sheet1!$A:$J,10,0)</f>
        <v>1126176336</v>
      </c>
      <c r="H114" s="32">
        <f>VLOOKUP(A114,[2]Sheet1!$A:$K,11,0)</f>
        <v>45423</v>
      </c>
      <c r="I114" s="25" t="str">
        <f>VLOOKUP(A114,[2]Sheet1!$A:$F,6,0)</f>
        <v>Ortho Line</v>
      </c>
      <c r="J114" s="25"/>
      <c r="K114" s="27" t="str">
        <f>VLOOKUP(A114,[2]Sheet1!$A:$N,14,0)</f>
        <v>Abo El Nomros</v>
      </c>
    </row>
    <row r="115" spans="1:11">
      <c r="A115" s="28">
        <v>1841</v>
      </c>
      <c r="B115" s="34" t="s">
        <v>131</v>
      </c>
      <c r="C115" s="30" t="str">
        <f>VLOOKUP(B115,[2]Sheet1!$B:$C,2,0)</f>
        <v>Mahmoud Mohsen Mahmoud</v>
      </c>
      <c r="D115" s="25" t="str">
        <f>VLOOKUP(B115,[2]Sheet1!$B:$H,7,0)</f>
        <v>MR</v>
      </c>
      <c r="E115" s="25">
        <f>VLOOKUP(C115,[2]Sheet1!$B:$M,12,0)</f>
        <v>1591</v>
      </c>
      <c r="F115" s="29">
        <v>36620671</v>
      </c>
      <c r="G115" s="31"/>
      <c r="H115" s="32">
        <f>VLOOKUP(A115,[2]Sheet1!$A:$K,11,0)</f>
        <v>46021</v>
      </c>
      <c r="I115" s="25" t="str">
        <f>VLOOKUP(A115,[2]Sheet1!$A:$F,6,0)</f>
        <v>Ortho Line</v>
      </c>
      <c r="J115" s="25"/>
      <c r="K115" s="27" t="str">
        <f>VLOOKUP(A115,[2]Sheet1!$A:$I,9,0)</f>
        <v>Cairo</v>
      </c>
    </row>
    <row r="116" spans="1:11">
      <c r="A116" s="28">
        <v>1627</v>
      </c>
      <c r="B116" s="34" t="s">
        <v>132</v>
      </c>
      <c r="C116" s="30" t="str">
        <f>VLOOKUP(B116,[2]Sheet1!$B:$C,2,0)</f>
        <v>Mahmoud Mohsen Mahmoud</v>
      </c>
      <c r="D116" s="25" t="str">
        <f>VLOOKUP(B116,[2]Sheet1!$B:$H,7,0)</f>
        <v>MR</v>
      </c>
      <c r="E116" s="25">
        <f>VLOOKUP(C116,[2]Sheet1!$B:$M,12,0)</f>
        <v>1591</v>
      </c>
      <c r="F116" s="29">
        <v>36620672</v>
      </c>
      <c r="G116" s="31">
        <f>VLOOKUP(A116,[2]Sheet1!$A:$J,10,0)</f>
        <v>1066917854</v>
      </c>
      <c r="H116" s="32">
        <f>VLOOKUP(A116,[2]Sheet1!$A:$K,11,0)</f>
        <v>45777</v>
      </c>
      <c r="I116" s="25" t="str">
        <f>VLOOKUP(A116,[2]Sheet1!$A:$F,6,0)</f>
        <v>Ortho Line</v>
      </c>
      <c r="J116" s="25"/>
      <c r="K116" s="27" t="str">
        <f>VLOOKUP(A116,[2]Sheet1!$A:$N,14,0)</f>
        <v>Embaba</v>
      </c>
    </row>
    <row r="117" spans="1:11">
      <c r="A117" s="28">
        <v>1209</v>
      </c>
      <c r="B117" s="34" t="s">
        <v>133</v>
      </c>
      <c r="C117" s="30" t="str">
        <f>VLOOKUP(B117,[2]Sheet1!$B:$C,2,0)</f>
        <v>Mahmoud Mohsen Mahmoud</v>
      </c>
      <c r="D117" s="25" t="str">
        <f>VLOOKUP(B117,[2]Sheet1!$B:$H,7,0)</f>
        <v>MR</v>
      </c>
      <c r="E117" s="25">
        <f>VLOOKUP(C117,[2]Sheet1!$B:$M,12,0)</f>
        <v>1591</v>
      </c>
      <c r="F117" s="29">
        <v>36620673</v>
      </c>
      <c r="G117" s="31">
        <f>VLOOKUP(A117,[2]Sheet1!$A:$J,10,0)</f>
        <v>1019670169</v>
      </c>
      <c r="H117" s="32">
        <f>VLOOKUP(A117,[2]Sheet1!$A:$K,11,0)</f>
        <v>44998</v>
      </c>
      <c r="I117" s="25" t="str">
        <f>VLOOKUP(A117,[2]Sheet1!$A:$F,6,0)</f>
        <v>Ortho Line</v>
      </c>
      <c r="J117" s="25"/>
      <c r="K117" s="27" t="str">
        <f>VLOOKUP(A117,[2]Sheet1!$A:$N,14,0)</f>
        <v>Fayoum City</v>
      </c>
    </row>
    <row r="118" spans="1:11">
      <c r="A118" s="28">
        <v>1501</v>
      </c>
      <c r="B118" s="34" t="s">
        <v>134</v>
      </c>
      <c r="C118" s="30" t="str">
        <f>VLOOKUP(B118,[2]Sheet1!$B:$C,2,0)</f>
        <v>Mahmoud Mohsen Mahmoud</v>
      </c>
      <c r="D118" s="25" t="str">
        <f>VLOOKUP(B118,[2]Sheet1!$B:$H,7,0)</f>
        <v>MR</v>
      </c>
      <c r="E118" s="25">
        <f>VLOOKUP(C118,[2]Sheet1!$B:$M,12,0)</f>
        <v>1591</v>
      </c>
      <c r="F118" s="29">
        <v>36620674</v>
      </c>
      <c r="G118" s="31">
        <f>VLOOKUP(A118,[2]Sheet1!$A:$J,10,0)</f>
        <v>1272921499</v>
      </c>
      <c r="H118" s="32">
        <f>VLOOKUP(A118,[2]Sheet1!$A:$K,11,0)</f>
        <v>45675</v>
      </c>
      <c r="I118" s="25" t="str">
        <f>VLOOKUP(A118,[2]Sheet1!$A:$F,6,0)</f>
        <v>Ortho Line</v>
      </c>
      <c r="J118" s="25"/>
      <c r="K118" s="27" t="str">
        <f>VLOOKUP(A118,[2]Sheet1!$A:$N,14,0)</f>
        <v>El Talbia (Haram)</v>
      </c>
    </row>
    <row r="119" spans="1:11">
      <c r="A119" s="28">
        <v>1836</v>
      </c>
      <c r="B119" s="34" t="s">
        <v>135</v>
      </c>
      <c r="C119" s="30" t="str">
        <f>VLOOKUP(B119,[2]Sheet1!$B:$C,2,0)</f>
        <v>Mahmoud Mohsen Mahmoud</v>
      </c>
      <c r="D119" s="25" t="str">
        <f>VLOOKUP(B119,[2]Sheet1!$B:$H,7,0)</f>
        <v>MR</v>
      </c>
      <c r="E119" s="25">
        <f>VLOOKUP(C119,[2]Sheet1!$B:$M,12,0)</f>
        <v>1591</v>
      </c>
      <c r="F119" s="29">
        <v>36620675</v>
      </c>
      <c r="G119" s="31">
        <f>VLOOKUP(A119,[2]Sheet1!$A:$J,10,0)</f>
        <v>1271459622</v>
      </c>
      <c r="H119" s="32">
        <f>VLOOKUP(A119,[2]Sheet1!$A:$K,11,0)</f>
        <v>46025</v>
      </c>
      <c r="I119" s="25" t="str">
        <f>VLOOKUP(A119,[2]Sheet1!$A:$F,6,0)</f>
        <v>Ortho Line</v>
      </c>
      <c r="J119" s="25"/>
      <c r="K119" s="27" t="str">
        <f>VLOOKUP(A119,[2]Sheet1!$A:$N,14,0)</f>
        <v>El Omrania</v>
      </c>
    </row>
    <row r="120" spans="1:11">
      <c r="A120" s="35">
        <v>412</v>
      </c>
      <c r="B120" s="34" t="s">
        <v>136</v>
      </c>
      <c r="C120" s="30" t="str">
        <f>VLOOKUP(B120,[2]Sheet1!$B:$D,3,0)</f>
        <v>Mohamed Nagar Abdelrhim</v>
      </c>
      <c r="D120" s="25" t="str">
        <f>VLOOKUP(B120,[2]Sheet1!$B:$H,7,0)</f>
        <v>DM</v>
      </c>
      <c r="E120" s="25">
        <f>VLOOKUP(C120,[2]Sheet1!$B:$M,12,0)</f>
        <v>959</v>
      </c>
      <c r="F120" s="29">
        <v>36620676</v>
      </c>
      <c r="G120" s="31">
        <f>VLOOKUP(A120,[2]Sheet1!$A:$J,10,0)</f>
        <v>1111329335</v>
      </c>
      <c r="H120" s="32">
        <f>VLOOKUP(A120,[2]Sheet1!$A:$K,11,0)</f>
        <v>43497</v>
      </c>
      <c r="I120" s="25" t="str">
        <f>VLOOKUP(A120,[2]Sheet1!$A:$F,6,0)</f>
        <v>Ortho Line</v>
      </c>
      <c r="J120" s="25" t="str">
        <f>VLOOKUP(A120,[2]Sheet1!$A:$L,12,0)</f>
        <v>mohamed.nassar@averroes-eg.com</v>
      </c>
      <c r="K120" s="27" t="str">
        <f>VLOOKUP(A120,[2]Sheet1!$A:$N,14,0)</f>
        <v>ELMATARIA - CAIRO</v>
      </c>
    </row>
    <row r="121" spans="1:11">
      <c r="A121" s="28">
        <v>1823</v>
      </c>
      <c r="B121" s="34" t="s">
        <v>137</v>
      </c>
      <c r="C121" s="30" t="str">
        <f>VLOOKUP(B121,[2]Sheet1!$B:$C,2,0)</f>
        <v>Mohamed Mostafa Nassar</v>
      </c>
      <c r="D121" s="25" t="str">
        <f>VLOOKUP(B121,[2]Sheet1!$B:$H,7,0)</f>
        <v>MR</v>
      </c>
      <c r="E121" s="25">
        <f>VLOOKUP(C121,[2]Sheet1!$B:$M,12,0)</f>
        <v>412</v>
      </c>
      <c r="F121" s="29">
        <v>36620677</v>
      </c>
      <c r="G121" s="31">
        <f>VLOOKUP(A121,[2]Sheet1!$A:$J,10,0)</f>
        <v>1122010177</v>
      </c>
      <c r="H121" s="32">
        <f>VLOOKUP(A121,[2]Sheet1!$A:$K,11,0)</f>
        <v>46022</v>
      </c>
      <c r="I121" s="25" t="str">
        <f>VLOOKUP(A121,[2]Sheet1!$A:$F,6,0)</f>
        <v>Ortho Line</v>
      </c>
      <c r="J121" s="25"/>
      <c r="K121" s="27" t="str">
        <f>VLOOKUP(A121,[2]Sheet1!$A:$N,14,0)</f>
        <v>Ain Shams El Sharqeya</v>
      </c>
    </row>
    <row r="122" spans="1:11">
      <c r="A122" s="28">
        <v>713</v>
      </c>
      <c r="B122" s="34" t="s">
        <v>138</v>
      </c>
      <c r="C122" s="30" t="str">
        <f>VLOOKUP(B122,[2]Sheet1!$B:$C,2,0)</f>
        <v>Mohamed Mostafa Nassar</v>
      </c>
      <c r="D122" s="25" t="str">
        <f>VLOOKUP(B122,[2]Sheet1!$B:$H,7,0)</f>
        <v>MR</v>
      </c>
      <c r="E122" s="25">
        <f>VLOOKUP(C122,[2]Sheet1!$B:$M,12,0)</f>
        <v>412</v>
      </c>
      <c r="F122" s="29">
        <v>36620678</v>
      </c>
      <c r="G122" s="31"/>
      <c r="H122" s="32">
        <f>VLOOKUP(A122,[2]Sheet1!$A:$K,11,0)</f>
        <v>44222</v>
      </c>
      <c r="I122" s="25" t="str">
        <f>VLOOKUP(A122,[2]Sheet1!$A:$F,6,0)</f>
        <v>Ortho Line</v>
      </c>
      <c r="J122" s="25"/>
      <c r="K122" s="27" t="str">
        <f>VLOOKUP(A122,[2]Sheet1!$A:$N,14,0)</f>
        <v>El Marg</v>
      </c>
    </row>
    <row r="123" spans="1:11">
      <c r="A123" s="28">
        <v>1842</v>
      </c>
      <c r="B123" s="34" t="s">
        <v>139</v>
      </c>
      <c r="C123" s="30" t="str">
        <f>VLOOKUP(B123,[2]Sheet1!$B:$C,2,0)</f>
        <v>Mohamed Mostafa Nassar</v>
      </c>
      <c r="D123" s="25" t="str">
        <f>VLOOKUP(B123,[2]Sheet1!$B:$H,7,0)</f>
        <v>MR</v>
      </c>
      <c r="E123" s="25">
        <f>VLOOKUP(C123,[2]Sheet1!$B:$M,12,0)</f>
        <v>412</v>
      </c>
      <c r="F123" s="29">
        <v>36620680</v>
      </c>
      <c r="G123" s="31">
        <f>VLOOKUP(A123,[2]Sheet1!$A:$J,10,0)</f>
        <v>1006626097</v>
      </c>
      <c r="H123" s="32">
        <f>VLOOKUP(A123,[2]Sheet1!$A:$K,11,0)</f>
        <v>46049</v>
      </c>
      <c r="I123" s="25" t="str">
        <f>VLOOKUP(A123,[2]Sheet1!$A:$F,6,0)</f>
        <v>Ortho Line</v>
      </c>
      <c r="J123" s="25"/>
      <c r="K123" s="27" t="str">
        <f>VLOOKUP(A123,[2]Sheet1!$A:$N,14,0)</f>
        <v>Bahteem</v>
      </c>
    </row>
    <row r="124" spans="1:11">
      <c r="A124" s="28">
        <v>395</v>
      </c>
      <c r="B124" s="34" t="s">
        <v>140</v>
      </c>
      <c r="C124" s="30" t="str">
        <f>VLOOKUP(B124,[2]Sheet1!$B:$C,2,0)</f>
        <v>Mohamed Mostafa Nassar</v>
      </c>
      <c r="D124" s="25" t="str">
        <f>VLOOKUP(B124,[2]Sheet1!$B:$H,7,0)</f>
        <v>MR</v>
      </c>
      <c r="E124" s="25">
        <f>VLOOKUP(C124,[2]Sheet1!$B:$M,12,0)</f>
        <v>412</v>
      </c>
      <c r="F124" s="29">
        <v>36620682</v>
      </c>
      <c r="G124" s="31">
        <f>VLOOKUP(A124,[2]Sheet1!$A:$J,10,0)</f>
        <v>1060137342</v>
      </c>
      <c r="H124" s="32">
        <f>VLOOKUP(A124,[2]Sheet1!$A:$K,11,0)</f>
        <v>43132</v>
      </c>
      <c r="I124" s="25" t="str">
        <f>VLOOKUP(A124,[2]Sheet1!$A:$F,6,0)</f>
        <v>Ortho Line</v>
      </c>
      <c r="J124" s="25"/>
      <c r="K124" s="27" t="str">
        <f>VLOOKUP(A124,[2]Sheet1!$A:$N,14,0)</f>
        <v>Ismaelia City</v>
      </c>
    </row>
    <row r="125" spans="1:11">
      <c r="A125" s="28">
        <v>1572</v>
      </c>
      <c r="B125" s="34" t="s">
        <v>141</v>
      </c>
      <c r="C125" s="30" t="str">
        <f>VLOOKUP(B125,[2]Sheet1!$B:$C,2,0)</f>
        <v>Mohamed Mostafa Nassar</v>
      </c>
      <c r="D125" s="25" t="str">
        <f>VLOOKUP(B125,[2]Sheet1!$B:$H,7,0)</f>
        <v>MR</v>
      </c>
      <c r="E125" s="25">
        <f>VLOOKUP(C125,[2]Sheet1!$B:$M,12,0)</f>
        <v>412</v>
      </c>
      <c r="F125" s="29">
        <v>36620683</v>
      </c>
      <c r="G125" s="31">
        <f>VLOOKUP(A125,[2]Sheet1!$A:$J,10,0)</f>
        <v>1142614491</v>
      </c>
      <c r="H125" s="32">
        <f>VLOOKUP(A125,[2]Sheet1!$A:$K,11,0)</f>
        <v>45718</v>
      </c>
      <c r="I125" s="25" t="str">
        <f>VLOOKUP(A125,[2]Sheet1!$A:$F,6,0)</f>
        <v>Ortho Line</v>
      </c>
      <c r="J125" s="25"/>
      <c r="K125" s="27" t="str">
        <f>VLOOKUP(A125,[2]Sheet1!$A:$N,14,0)</f>
        <v>Ain shams</v>
      </c>
    </row>
    <row r="126" spans="1:11">
      <c r="A126" s="28">
        <v>149</v>
      </c>
      <c r="B126" s="34" t="s">
        <v>142</v>
      </c>
      <c r="C126" s="30" t="str">
        <f>VLOOKUP(B126,[2]Sheet1!$B:$E,4,0)</f>
        <v>Abd Elhameed Elshiekh</v>
      </c>
      <c r="D126" s="25" t="str">
        <f>VLOOKUP(B126,[2]Sheet1!$B:$H,7,0)</f>
        <v>AM</v>
      </c>
      <c r="E126" s="25">
        <f>VLOOKUP(C126,[2]Sheet1!$B:$M,12,0)</f>
        <v>59</v>
      </c>
      <c r="F126" s="29">
        <v>36620684</v>
      </c>
      <c r="G126" s="31">
        <f>VLOOKUP(A126,[2]Sheet1!$A:$J,10,0)</f>
        <v>1022228972</v>
      </c>
      <c r="H126" s="32">
        <f>VLOOKUP(A126,[2]Sheet1!$A:$K,11,0)</f>
        <v>41091</v>
      </c>
      <c r="I126" s="25" t="str">
        <f>VLOOKUP(A126,[2]Sheet1!$A:$F,6,0)</f>
        <v>Ortho Line</v>
      </c>
      <c r="J126" s="25" t="str">
        <f>VLOOKUP(A126,[2]Sheet1!$A:$L,12,0)</f>
        <v>Mohamed.farag@averroes-eg.com</v>
      </c>
      <c r="K126" s="27" t="str">
        <f>VLOOKUP(A126,[2]Sheet1!$A:$N,14,0)</f>
        <v>Menyet Elkamh</v>
      </c>
    </row>
    <row r="127" spans="1:11">
      <c r="A127" s="28">
        <v>1338</v>
      </c>
      <c r="B127" s="34" t="s">
        <v>143</v>
      </c>
      <c r="C127" s="30" t="str">
        <f>VLOOKUP(B127,[2]Sheet1!$B:$D,3,0)</f>
        <v>Mohamed Taha Mohamed</v>
      </c>
      <c r="D127" s="25" t="str">
        <f>VLOOKUP(B127,[2]Sheet1!$B:$H,7,0)</f>
        <v>DM</v>
      </c>
      <c r="E127" s="25">
        <f>VLOOKUP(C127,[2]Sheet1!$B:$M,12,0)</f>
        <v>149</v>
      </c>
      <c r="F127" s="29">
        <v>36620685</v>
      </c>
      <c r="G127" s="31">
        <f>VLOOKUP(A127,[2]Sheet1!$A:$J,10,0)</f>
        <v>1145736809</v>
      </c>
      <c r="H127" s="32">
        <f>VLOOKUP(A127,[2]Sheet1!$A:$K,11,0)</f>
        <v>45383</v>
      </c>
      <c r="I127" s="25" t="str">
        <f>VLOOKUP(A127,[2]Sheet1!$A:$F,6,0)</f>
        <v>Ortho Line</v>
      </c>
      <c r="J127" s="25" t="str">
        <f>VLOOKUP(A127,[2]Sheet1!$A:$L,12,0)</f>
        <v>Ali.Salem@averroes-eg.com</v>
      </c>
      <c r="K127" s="27" t="str">
        <f>VLOOKUP(A127,[2]Sheet1!$A:$N,14,0)</f>
        <v>diest</v>
      </c>
    </row>
    <row r="128" spans="1:11">
      <c r="A128" s="28">
        <v>1470</v>
      </c>
      <c r="B128" s="34" t="s">
        <v>144</v>
      </c>
      <c r="C128" s="30" t="str">
        <f>VLOOKUP(B128,[2]Sheet1!$B:$C,2,0)</f>
        <v>Ali Salem Ali</v>
      </c>
      <c r="D128" s="25" t="str">
        <f>VLOOKUP(B128,[2]Sheet1!$B:$H,7,0)</f>
        <v>MR</v>
      </c>
      <c r="E128" s="25">
        <f>VLOOKUP(C128,[2]Sheet1!$B:$M,12,0)</f>
        <v>1338</v>
      </c>
      <c r="F128" s="29">
        <v>36620686</v>
      </c>
      <c r="G128" s="31">
        <f>VLOOKUP(A128,[2]Sheet1!$A:$J,10,0)</f>
        <v>1025345205</v>
      </c>
      <c r="H128" s="32">
        <f>VLOOKUP(A128,[2]Sheet1!$A:$K,11,0)</f>
        <v>45634</v>
      </c>
      <c r="I128" s="25" t="str">
        <f>VLOOKUP(A128,[2]Sheet1!$A:$F,6,0)</f>
        <v>Ortho Line</v>
      </c>
      <c r="J128" s="25"/>
      <c r="K128" s="27" t="str">
        <f>VLOOKUP(A128,[2]Sheet1!$A:$N,14,0)</f>
        <v>Aga</v>
      </c>
    </row>
    <row r="129" spans="1:11">
      <c r="A129" s="28">
        <v>725</v>
      </c>
      <c r="B129" s="34" t="s">
        <v>145</v>
      </c>
      <c r="C129" s="30" t="str">
        <f>VLOOKUP(B129,[2]Sheet1!$B:$C,2,0)</f>
        <v>Ali Salem Ali</v>
      </c>
      <c r="D129" s="25" t="str">
        <f>VLOOKUP(B129,[2]Sheet1!$B:$H,7,0)</f>
        <v>MR</v>
      </c>
      <c r="E129" s="25">
        <f>VLOOKUP(C129,[2]Sheet1!$B:$M,12,0)</f>
        <v>1338</v>
      </c>
      <c r="F129" s="29">
        <v>36620687</v>
      </c>
      <c r="G129" s="31"/>
      <c r="H129" s="32">
        <f>VLOOKUP(A129,[2]Sheet1!$A:$K,11,0)</f>
        <v>44227</v>
      </c>
      <c r="I129" s="25" t="str">
        <f>VLOOKUP(A129,[2]Sheet1!$A:$F,6,0)</f>
        <v>Ortho Line</v>
      </c>
      <c r="J129" s="25"/>
      <c r="K129" s="27" t="str">
        <f>VLOOKUP(A129,[2]Sheet1!$A:$N,14,0)</f>
        <v>Dekernes</v>
      </c>
    </row>
    <row r="130" spans="1:11">
      <c r="A130" s="28">
        <v>1805</v>
      </c>
      <c r="B130" s="34" t="s">
        <v>146</v>
      </c>
      <c r="C130" s="30" t="str">
        <f>VLOOKUP(B130,[2]Sheet1!$B:$C,2,0)</f>
        <v>Ali Salem Ali</v>
      </c>
      <c r="D130" s="25" t="str">
        <f>VLOOKUP(B130,[2]Sheet1!$B:$H,7,0)</f>
        <v>MR</v>
      </c>
      <c r="E130" s="25">
        <f>VLOOKUP(C130,[2]Sheet1!$B:$M,12,0)</f>
        <v>1338</v>
      </c>
      <c r="F130" s="29">
        <v>36620688</v>
      </c>
      <c r="G130" s="31">
        <f>VLOOKUP(A130,[2]Sheet1!$A:$J,10,0)</f>
        <v>1025739069</v>
      </c>
      <c r="H130" s="32">
        <f>VLOOKUP(A130,[2]Sheet1!$A:$K,11,0)</f>
        <v>45992</v>
      </c>
      <c r="I130" s="25" t="str">
        <f>VLOOKUP(A130,[2]Sheet1!$A:$F,6,0)</f>
        <v>Ortho Line</v>
      </c>
      <c r="J130" s="25"/>
      <c r="K130" s="27" t="str">
        <f>VLOOKUP(A130,[2]Sheet1!$A:$N,14,0)</f>
        <v>Domiat New</v>
      </c>
    </row>
    <row r="131" spans="1:11">
      <c r="A131" s="28">
        <v>1824</v>
      </c>
      <c r="B131" s="34" t="s">
        <v>147</v>
      </c>
      <c r="C131" s="30" t="str">
        <f>VLOOKUP(B131,[2]Sheet1!$B:$C,2,0)</f>
        <v>Ali Salem Ali</v>
      </c>
      <c r="D131" s="25" t="str">
        <f>VLOOKUP(B131,[2]Sheet1!$B:$H,7,0)</f>
        <v>MR</v>
      </c>
      <c r="E131" s="25">
        <f>VLOOKUP(C131,[2]Sheet1!$B:$M,12,0)</f>
        <v>1338</v>
      </c>
      <c r="F131" s="29">
        <v>36620689</v>
      </c>
      <c r="G131" s="31">
        <f>VLOOKUP(A131,[2]Sheet1!$A:$J,10,0)</f>
        <v>1223148304</v>
      </c>
      <c r="H131" s="32">
        <f>VLOOKUP(A131,[2]Sheet1!$A:$K,11,0)</f>
        <v>46023</v>
      </c>
      <c r="I131" s="25" t="str">
        <f>VLOOKUP(A131,[2]Sheet1!$A:$F,6,0)</f>
        <v>Ortho Line</v>
      </c>
      <c r="J131" s="25"/>
      <c r="K131" s="27" t="str">
        <f>VLOOKUP(A131,[2]Sheet1!$A:$N,14,0)</f>
        <v>Port Saed</v>
      </c>
    </row>
    <row r="132" spans="1:11">
      <c r="A132" s="28">
        <v>1806</v>
      </c>
      <c r="B132" s="34" t="s">
        <v>148</v>
      </c>
      <c r="C132" s="30" t="str">
        <f>VLOOKUP(B132,[2]Sheet1!$B:$C,2,0)</f>
        <v>Ali Salem Ali</v>
      </c>
      <c r="D132" s="25" t="str">
        <f>VLOOKUP(B132,[2]Sheet1!$B:$H,7,0)</f>
        <v>MR</v>
      </c>
      <c r="E132" s="25">
        <f>VLOOKUP(C132,[2]Sheet1!$B:$M,12,0)</f>
        <v>1338</v>
      </c>
      <c r="F132" s="29">
        <v>36620690</v>
      </c>
      <c r="G132" s="31">
        <f>VLOOKUP(A132,[2]Sheet1!$A:$J,10,0)</f>
        <v>1050977899</v>
      </c>
      <c r="H132" s="32">
        <f>VLOOKUP(A132,[2]Sheet1!$A:$K,11,0)</f>
        <v>45992</v>
      </c>
      <c r="I132" s="25" t="str">
        <f>VLOOKUP(A132,[2]Sheet1!$A:$F,6,0)</f>
        <v>Ortho Line</v>
      </c>
      <c r="J132" s="25"/>
      <c r="K132" s="27" t="str">
        <f>VLOOKUP(A132,[2]Sheet1!$A:$N,14,0)</f>
        <v>El Mansoura</v>
      </c>
    </row>
    <row r="133" spans="1:11">
      <c r="A133" s="28">
        <v>1356</v>
      </c>
      <c r="B133" s="34" t="s">
        <v>149</v>
      </c>
      <c r="C133" s="30" t="str">
        <f>VLOOKUP(B133,[2]Sheet1!$B:$C,2,0)</f>
        <v>Ali Salem Ali</v>
      </c>
      <c r="D133" s="25" t="str">
        <f>VLOOKUP(B133,[2]Sheet1!$B:$H,7,0)</f>
        <v>MR</v>
      </c>
      <c r="E133" s="25">
        <f>VLOOKUP(C133,[2]Sheet1!$B:$M,12,0)</f>
        <v>1338</v>
      </c>
      <c r="F133" s="29">
        <v>36620691</v>
      </c>
      <c r="G133" s="31">
        <f>VLOOKUP(A133,[2]Sheet1!$A:$J,10,0)</f>
        <v>1021798296</v>
      </c>
      <c r="H133" s="32">
        <f>VLOOKUP(A133,[2]Sheet1!$A:$K,11,0)</f>
        <v>45419</v>
      </c>
      <c r="I133" s="25" t="str">
        <f>VLOOKUP(A133,[2]Sheet1!$A:$F,6,0)</f>
        <v>Ortho Line</v>
      </c>
      <c r="J133" s="25"/>
      <c r="K133" s="27" t="str">
        <f>VLOOKUP(A133,[2]Sheet1!$A:$N,14,0)</f>
        <v>El Mansoura</v>
      </c>
    </row>
    <row r="134" spans="1:11">
      <c r="A134" s="28">
        <v>1373</v>
      </c>
      <c r="B134" s="34" t="s">
        <v>150</v>
      </c>
      <c r="C134" s="30" t="str">
        <f>VLOOKUP(B134,[2]Sheet1!$B:$C,2,0)</f>
        <v>Mohamed Abdallah Ibrahim ElSharawy</v>
      </c>
      <c r="D134" s="25" t="str">
        <f>VLOOKUP(B134,[2]Sheet1!$B:$H,7,0)</f>
        <v>MR</v>
      </c>
      <c r="E134" s="25">
        <f>VLOOKUP(C134,[2]Sheet1!$B:$M,12,0)</f>
        <v>1339</v>
      </c>
      <c r="F134" s="29">
        <v>36620693</v>
      </c>
      <c r="G134" s="31">
        <f>VLOOKUP(A134,[2]Sheet1!$A:$J,10,0)</f>
        <v>1010647325</v>
      </c>
      <c r="H134" s="32">
        <f>VLOOKUP(A134,[2]Sheet1!$A:$K,11,0)</f>
        <v>45444</v>
      </c>
      <c r="I134" s="25" t="str">
        <f>VLOOKUP(A134,[2]Sheet1!$A:$F,6,0)</f>
        <v>Ortho Line</v>
      </c>
      <c r="J134" s="25"/>
      <c r="K134" s="27" t="str">
        <f>VLOOKUP(A134,[2]Sheet1!$A:$N,14,0)</f>
        <v>El Mahala El Kobra</v>
      </c>
    </row>
    <row r="135" spans="1:11">
      <c r="A135" s="28">
        <v>1537</v>
      </c>
      <c r="B135" s="34" t="s">
        <v>151</v>
      </c>
      <c r="C135" s="30" t="str">
        <f>VLOOKUP(B135,[2]Sheet1!$B:$C,2,0)</f>
        <v>Mohamed Abdallah Ibrahim ElSharawy</v>
      </c>
      <c r="D135" s="25" t="str">
        <f>VLOOKUP(B135,[2]Sheet1!$B:$H,7,0)</f>
        <v>MR</v>
      </c>
      <c r="E135" s="25">
        <f>VLOOKUP(C135,[2]Sheet1!$B:$M,12,0)</f>
        <v>1339</v>
      </c>
      <c r="F135" s="29">
        <v>36620694</v>
      </c>
      <c r="G135" s="31">
        <f>VLOOKUP(A135,[2]Sheet1!$A:$J,10,0)</f>
        <v>1008728749</v>
      </c>
      <c r="H135" s="32">
        <f>VLOOKUP(A135,[2]Sheet1!$A:$K,11,0)</f>
        <v>45698</v>
      </c>
      <c r="I135" s="25" t="str">
        <f>VLOOKUP(A135,[2]Sheet1!$A:$F,6,0)</f>
        <v>Ortho Line</v>
      </c>
      <c r="J135" s="25"/>
      <c r="K135" s="27" t="str">
        <f>VLOOKUP(A135,[2]Sheet1!$A:$N,14,0)</f>
        <v>Shebien El Kom</v>
      </c>
    </row>
    <row r="136" spans="1:11">
      <c r="A136" s="28">
        <v>1073</v>
      </c>
      <c r="B136" s="34" t="s">
        <v>152</v>
      </c>
      <c r="C136" s="30" t="str">
        <f>VLOOKUP(B136,[2]Sheet1!$B:$C,2,0)</f>
        <v>Mohamed Abdallah Ibrahim ElSharawy</v>
      </c>
      <c r="D136" s="25" t="str">
        <f>VLOOKUP(B136,[2]Sheet1!$B:$H,7,0)</f>
        <v>MR</v>
      </c>
      <c r="E136" s="25">
        <f>VLOOKUP(C136,[2]Sheet1!$B:$M,12,0)</f>
        <v>1339</v>
      </c>
      <c r="F136" s="29">
        <v>36620695</v>
      </c>
      <c r="G136" s="31" t="str">
        <f>VLOOKUP(A136,[2]Sheet1!$A:$J,10,0)</f>
        <v> 01158438120</v>
      </c>
      <c r="H136" s="32">
        <f>VLOOKUP(A136,[2]Sheet1!$A:$K,11,0)</f>
        <v>44927</v>
      </c>
      <c r="I136" s="25" t="str">
        <f>VLOOKUP(A136,[2]Sheet1!$A:$F,6,0)</f>
        <v>Ortho Line</v>
      </c>
      <c r="J136" s="25"/>
      <c r="K136" s="27" t="str">
        <f>VLOOKUP(A136,[2]Sheet1!$A:$N,14,0)</f>
        <v>Kafr El zayat</v>
      </c>
    </row>
    <row r="137" spans="1:11">
      <c r="A137" s="35">
        <v>1460</v>
      </c>
      <c r="B137" s="34" t="s">
        <v>153</v>
      </c>
      <c r="C137" s="30" t="str">
        <f>VLOOKUP(B137,[2]Sheet1!$B:$C,2,0)</f>
        <v>Mohamed Abdallah Ibrahim ElSharawy</v>
      </c>
      <c r="D137" s="25" t="str">
        <f>VLOOKUP(B137,[2]Sheet1!$B:$H,7,0)</f>
        <v>MR</v>
      </c>
      <c r="E137" s="25">
        <f>VLOOKUP(C137,[2]Sheet1!$B:$M,12,0)</f>
        <v>1339</v>
      </c>
      <c r="F137" s="29">
        <v>36620696</v>
      </c>
      <c r="G137" s="31">
        <f>VLOOKUP(A137,[2]Sheet1!$A:$J,10,0)</f>
        <v>1206231103</v>
      </c>
      <c r="H137" s="32">
        <f>VLOOKUP(A137,[2]Sheet1!$A:$K,11,0)</f>
        <v>45601</v>
      </c>
      <c r="I137" s="25" t="str">
        <f>VLOOKUP(A137,[2]Sheet1!$A:$F,6,0)</f>
        <v>Ortho Line</v>
      </c>
      <c r="J137" s="25"/>
      <c r="K137" s="27" t="str">
        <f>VLOOKUP(A137,[2]Sheet1!$A:$N,14,0)</f>
        <v>Tanta City</v>
      </c>
    </row>
    <row r="138" spans="1:11">
      <c r="A138" s="28">
        <v>1281</v>
      </c>
      <c r="B138" s="34" t="s">
        <v>154</v>
      </c>
      <c r="C138" s="30" t="str">
        <f>VLOOKUP(B138,[2]Sheet1!$B:$C,2,0)</f>
        <v>Mohamed Abdallah Ibrahim ElSharawy</v>
      </c>
      <c r="D138" s="25" t="str">
        <f>VLOOKUP(B138,[2]Sheet1!$B:$H,7,0)</f>
        <v>MR</v>
      </c>
      <c r="E138" s="25">
        <f>VLOOKUP(C138,[2]Sheet1!$B:$M,12,0)</f>
        <v>1339</v>
      </c>
      <c r="F138" s="29">
        <v>36620697</v>
      </c>
      <c r="G138" s="31">
        <f>VLOOKUP(A138,[2]Sheet1!$A:$J,10,0)</f>
        <v>1100609661</v>
      </c>
      <c r="H138" s="32">
        <f>VLOOKUP(A138,[2]Sheet1!$A:$K,11,0)</f>
        <v>45206</v>
      </c>
      <c r="I138" s="25" t="str">
        <f>VLOOKUP(A138,[2]Sheet1!$A:$F,6,0)</f>
        <v>Ortho Line</v>
      </c>
      <c r="J138" s="25"/>
      <c r="K138" s="27" t="str">
        <f>VLOOKUP(A138,[2]Sheet1!$A:$N,14,0)</f>
        <v>Tanta City</v>
      </c>
    </row>
    <row r="139" spans="1:11">
      <c r="A139" s="28">
        <v>1122</v>
      </c>
      <c r="B139" s="34" t="s">
        <v>155</v>
      </c>
      <c r="C139" s="30" t="str">
        <f>VLOOKUP(B139,[2]Sheet1!$B:$C,2,0)</f>
        <v>Mohamed Abdallah Ibrahim ElSharawy</v>
      </c>
      <c r="D139" s="25" t="str">
        <f>VLOOKUP(B139,[2]Sheet1!$B:$H,7,0)</f>
        <v>MR</v>
      </c>
      <c r="E139" s="25">
        <f>VLOOKUP(C139,[2]Sheet1!$B:$M,12,0)</f>
        <v>1339</v>
      </c>
      <c r="F139" s="29">
        <v>36620699</v>
      </c>
      <c r="G139" s="31">
        <f>VLOOKUP(A139,[2]Sheet1!$A:$J,10,0)</f>
        <v>1062167578</v>
      </c>
      <c r="H139" s="32">
        <f>VLOOKUP(A139,[2]Sheet1!$A:$K,11,0)</f>
        <v>44962</v>
      </c>
      <c r="I139" s="25" t="str">
        <f>VLOOKUP(A139,[2]Sheet1!$A:$F,6,0)</f>
        <v>Ortho Line</v>
      </c>
      <c r="J139" s="25"/>
      <c r="K139" s="27" t="str">
        <f>VLOOKUP(A139,[2]Sheet1!$A:$N,14,0)</f>
        <v>Meleeg</v>
      </c>
    </row>
    <row r="140" spans="1:11">
      <c r="A140" s="28">
        <v>1317</v>
      </c>
      <c r="B140" s="34" t="s">
        <v>156</v>
      </c>
      <c r="C140" s="30" t="str">
        <f>VLOOKUP(B140,[2]Sheet1!$B:$C,2,0)</f>
        <v>Mohamed Abdallah Ibrahim ElSharawy</v>
      </c>
      <c r="D140" s="25" t="str">
        <f>VLOOKUP(B140,[2]Sheet1!$B:$H,7,0)</f>
        <v>MR</v>
      </c>
      <c r="E140" s="25">
        <f>VLOOKUP(C140,[2]Sheet1!$B:$M,12,0)</f>
        <v>1339</v>
      </c>
      <c r="F140" s="29">
        <v>36620700</v>
      </c>
      <c r="G140" s="31">
        <f>VLOOKUP(A140,[2]Sheet1!$A:$J,10,0)</f>
        <v>1206828331</v>
      </c>
      <c r="H140" s="32">
        <f>VLOOKUP(A140,[2]Sheet1!$A:$K,11,0)</f>
        <v>45279</v>
      </c>
      <c r="I140" s="25" t="str">
        <f>VLOOKUP(A140,[2]Sheet1!$A:$F,6,0)</f>
        <v>Ortho Line</v>
      </c>
      <c r="J140" s="25"/>
      <c r="K140" s="27" t="str">
        <f>VLOOKUP(A140,[2]Sheet1!$A:$N,14,0)</f>
        <v>El Bagour</v>
      </c>
    </row>
    <row r="141" spans="1:11">
      <c r="A141" s="28">
        <v>773</v>
      </c>
      <c r="B141" s="34" t="s">
        <v>157</v>
      </c>
      <c r="C141" s="30" t="str">
        <f>VLOOKUP(B141,[2]Sheet1!$B:$D,3,0)</f>
        <v>Mohamed Taha Mohamed</v>
      </c>
      <c r="D141" s="25" t="str">
        <f>VLOOKUP(B141,[2]Sheet1!$B:$H,7,0)</f>
        <v>DM</v>
      </c>
      <c r="E141" s="25">
        <f>VLOOKUP(C141,[2]Sheet1!$B:$M,12,0)</f>
        <v>149</v>
      </c>
      <c r="F141" s="29">
        <v>36620701</v>
      </c>
      <c r="G141" s="31">
        <f>VLOOKUP(A141,[2]Sheet1!$A:$J,10,0)</f>
        <v>1033823538</v>
      </c>
      <c r="H141" s="32">
        <f>VLOOKUP(A141,[2]Sheet1!$A:$K,11,0)</f>
        <v>44310</v>
      </c>
      <c r="I141" s="25" t="str">
        <f>VLOOKUP(A141,[2]Sheet1!$A:$F,6,0)</f>
        <v>Ortho Line</v>
      </c>
      <c r="J141" s="25" t="str">
        <f>VLOOKUP(A141,[2]Sheet1!$A:$L,12,0)</f>
        <v>Salma.Magdy.Shaaban@averroes-eg.com</v>
      </c>
      <c r="K141" s="27" t="str">
        <f>VLOOKUP(A141,[2]Sheet1!$A:$N,14,0)</f>
        <v>El Zakazik City</v>
      </c>
    </row>
    <row r="142" spans="1:11">
      <c r="A142" s="28">
        <v>1599</v>
      </c>
      <c r="B142" s="34" t="s">
        <v>158</v>
      </c>
      <c r="C142" s="30" t="str">
        <f>VLOOKUP(B142,[2]Sheet1!$B:$C,2,0)</f>
        <v>Salma Magdy Shaaban</v>
      </c>
      <c r="D142" s="25" t="str">
        <f>VLOOKUP(B142,[2]Sheet1!$B:$H,7,0)</f>
        <v>MR</v>
      </c>
      <c r="E142" s="25">
        <f>VLOOKUP(C142,[2]Sheet1!$B:$M,12,0)</f>
        <v>773</v>
      </c>
      <c r="F142" s="29">
        <v>36620702</v>
      </c>
      <c r="G142" s="31">
        <f>VLOOKUP(A142,[2]Sheet1!$A:$J,10,0)</f>
        <v>1068347745</v>
      </c>
      <c r="H142" s="32">
        <f>VLOOKUP(A142,[2]Sheet1!$A:$K,11,0)</f>
        <v>45752</v>
      </c>
      <c r="I142" s="25" t="str">
        <f>VLOOKUP(A142,[2]Sheet1!$A:$F,6,0)</f>
        <v>Ortho Line</v>
      </c>
      <c r="J142" s="25"/>
      <c r="K142" s="27" t="str">
        <f>VLOOKUP(A142,[2]Sheet1!$A:$N,14,0)</f>
        <v>Shebin elqanater</v>
      </c>
    </row>
    <row r="143" spans="1:11">
      <c r="A143" s="28">
        <v>1346</v>
      </c>
      <c r="B143" s="34" t="s">
        <v>159</v>
      </c>
      <c r="C143" s="30" t="str">
        <f>VLOOKUP(B143,[2]Sheet1!$B:$C,2,0)</f>
        <v>Salma Magdy Shaaban</v>
      </c>
      <c r="D143" s="25" t="str">
        <f>VLOOKUP(B143,[2]Sheet1!$B:$H,7,0)</f>
        <v>MR</v>
      </c>
      <c r="E143" s="25">
        <f>VLOOKUP(C143,[2]Sheet1!$B:$M,12,0)</f>
        <v>773</v>
      </c>
      <c r="F143" s="29">
        <v>36620703</v>
      </c>
      <c r="G143" s="31">
        <f>VLOOKUP(A143,[2]Sheet1!$A:$J,10,0)</f>
        <v>1102869140</v>
      </c>
      <c r="H143" s="32">
        <f>VLOOKUP(A143,[2]Sheet1!$A:$K,11,0)</f>
        <v>45413</v>
      </c>
      <c r="I143" s="25" t="str">
        <f>VLOOKUP(A143,[2]Sheet1!$A:$F,6,0)</f>
        <v>Ortho Line</v>
      </c>
      <c r="J143" s="25"/>
      <c r="K143" s="27" t="str">
        <f>VLOOKUP(A143,[2]Sheet1!$A:$N,14,0)</f>
        <v>El Zakazik City</v>
      </c>
    </row>
    <row r="144" spans="1:11">
      <c r="A144" s="28">
        <v>1078</v>
      </c>
      <c r="B144" s="34" t="s">
        <v>160</v>
      </c>
      <c r="C144" s="30" t="str">
        <f>VLOOKUP(B144,[2]Sheet1!$B:$C,2,0)</f>
        <v>Salma Magdy Shaaban</v>
      </c>
      <c r="D144" s="25" t="str">
        <f>VLOOKUP(B144,[2]Sheet1!$B:$H,7,0)</f>
        <v>MR</v>
      </c>
      <c r="E144" s="25">
        <f>VLOOKUP(C144,[2]Sheet1!$B:$M,12,0)</f>
        <v>773</v>
      </c>
      <c r="F144" s="29">
        <v>36620704</v>
      </c>
      <c r="G144" s="31" t="str">
        <f>VLOOKUP(A144,[2]Sheet1!$A:$J,10,0)</f>
        <v> 01032498890</v>
      </c>
      <c r="H144" s="32">
        <f>VLOOKUP(A144,[2]Sheet1!$A:$K,11,0)</f>
        <v>44927</v>
      </c>
      <c r="I144" s="25" t="str">
        <f>VLOOKUP(A144,[2]Sheet1!$A:$F,6,0)</f>
        <v>Ortho Line</v>
      </c>
      <c r="J144" s="25"/>
      <c r="K144" s="27" t="str">
        <f>VLOOKUP(A144,[2]Sheet1!$A:$N,14,0)</f>
        <v>Belbais</v>
      </c>
    </row>
    <row r="145" spans="1:11">
      <c r="A145" s="28">
        <v>1083</v>
      </c>
      <c r="B145" s="34" t="s">
        <v>161</v>
      </c>
      <c r="C145" s="30" t="str">
        <f>VLOOKUP(B145,[2]Sheet1!$B:$C,2,0)</f>
        <v>Salma Magdy Shaaban</v>
      </c>
      <c r="D145" s="25" t="str">
        <f>VLOOKUP(B145,[2]Sheet1!$B:$H,7,0)</f>
        <v>MR</v>
      </c>
      <c r="E145" s="25">
        <f>VLOOKUP(C145,[2]Sheet1!$B:$M,12,0)</f>
        <v>773</v>
      </c>
      <c r="F145" s="29">
        <v>36620705</v>
      </c>
      <c r="G145" s="31" t="str">
        <f>VLOOKUP(A145,[2]Sheet1!$A:$J,10,0)</f>
        <v> 01019935605</v>
      </c>
      <c r="H145" s="32">
        <f>VLOOKUP(A145,[2]Sheet1!$A:$K,11,0)</f>
        <v>44927</v>
      </c>
      <c r="I145" s="25" t="str">
        <f>VLOOKUP(A145,[2]Sheet1!$A:$F,6,0)</f>
        <v>Ortho Line</v>
      </c>
      <c r="J145" s="25"/>
      <c r="K145" s="27" t="str">
        <f>VLOOKUP(A145,[2]Sheet1!$A:$N,14,0)</f>
        <v>El Ebrahemia</v>
      </c>
    </row>
    <row r="146" spans="1:11">
      <c r="A146" s="28">
        <v>1759</v>
      </c>
      <c r="B146" s="34" t="s">
        <v>162</v>
      </c>
      <c r="C146" s="30" t="str">
        <f>VLOOKUP(B146,[2]Sheet1!$B:$C,2,0)</f>
        <v>Salma Magdy Shaaban</v>
      </c>
      <c r="D146" s="25" t="str">
        <f>VLOOKUP(B146,[2]Sheet1!$B:$H,7,0)</f>
        <v>MR</v>
      </c>
      <c r="E146" s="25">
        <f>VLOOKUP(C146,[2]Sheet1!$B:$M,12,0)</f>
        <v>773</v>
      </c>
      <c r="F146" s="29">
        <v>36620706</v>
      </c>
      <c r="G146" s="31">
        <f>VLOOKUP(A146,[2]Sheet1!$A:$J,10,0)</f>
        <v>1559985777</v>
      </c>
      <c r="H146" s="32">
        <f>VLOOKUP(A146,[2]Sheet1!$A:$K,11,0)</f>
        <v>45931</v>
      </c>
      <c r="I146" s="25" t="str">
        <f>VLOOKUP(A146,[2]Sheet1!$A:$F,6,0)</f>
        <v>Ortho Line</v>
      </c>
      <c r="J146" s="25"/>
      <c r="K146" s="27" t="str">
        <f>VLOOKUP(A146,[2]Sheet1!$A:$N,14,0)</f>
        <v>Dyarb Negm</v>
      </c>
    </row>
    <row r="147" spans="1:11">
      <c r="A147" s="28">
        <v>229</v>
      </c>
      <c r="B147" s="34" t="s">
        <v>163</v>
      </c>
      <c r="C147" s="30" t="str">
        <f>VLOOKUP(B147,[2]Sheet1!$B:$C,2,0)</f>
        <v>Salma Magdy Shaaban</v>
      </c>
      <c r="D147" s="25" t="str">
        <f>VLOOKUP(B147,[2]Sheet1!$B:$H,7,0)</f>
        <v>MR</v>
      </c>
      <c r="E147" s="25">
        <f>VLOOKUP(C147,[2]Sheet1!$B:$M,12,0)</f>
        <v>773</v>
      </c>
      <c r="F147" s="29">
        <v>36620707</v>
      </c>
      <c r="G147" s="31" t="str">
        <f>VLOOKUP(A147,[2]Sheet1!$A:$J,10,0)</f>
        <v> 1014444130</v>
      </c>
      <c r="H147" s="32">
        <f>VLOOKUP(A147,[2]Sheet1!$A:$K,11,0)</f>
        <v>43171</v>
      </c>
      <c r="I147" s="25" t="str">
        <f>VLOOKUP(A147,[2]Sheet1!$A:$F,6,0)</f>
        <v>Ortho Line</v>
      </c>
      <c r="J147" s="25"/>
      <c r="K147" s="27" t="str">
        <f>VLOOKUP(A147,[2]Sheet1!$A:$N,14,0)</f>
        <v>Banha - Atreeb</v>
      </c>
    </row>
    <row r="148" spans="1:11">
      <c r="A148" s="28">
        <v>223</v>
      </c>
      <c r="B148" s="34" t="s">
        <v>164</v>
      </c>
      <c r="C148" s="30" t="str">
        <f>VLOOKUP(B148,[2]Sheet1!$B:$E,4,0)</f>
        <v>Abd Elhameed Elshiekh</v>
      </c>
      <c r="D148" s="25" t="str">
        <f>VLOOKUP(B148,[2]Sheet1!$B:$H,7,0)</f>
        <v>AM</v>
      </c>
      <c r="E148" s="25">
        <f>VLOOKUP(C148,[2]Sheet1!$B:$M,12,0)</f>
        <v>59</v>
      </c>
      <c r="F148" s="29">
        <v>36620708</v>
      </c>
      <c r="G148" s="31" t="str">
        <f>VLOOKUP(A148,[2]Sheet1!$A:$J,10,0)</f>
        <v> 01092376231</v>
      </c>
      <c r="H148" s="32">
        <f>VLOOKUP(A148,[2]Sheet1!$A:$K,11,0)</f>
        <v>43170</v>
      </c>
      <c r="I148" s="25" t="str">
        <f>VLOOKUP(A148,[2]Sheet1!$A:$F,6,0)</f>
        <v>Ortho Line</v>
      </c>
      <c r="J148" s="25" t="str">
        <f>VLOOKUP(A148,[2]Sheet1!$A:$L,12,0)</f>
        <v>osama.abdelhamed@averroes-eg.com</v>
      </c>
      <c r="K148" s="27" t="str">
        <f>VLOOKUP(A148,[2]Sheet1!$A:$N,14,0)</f>
        <v>Sohag city</v>
      </c>
    </row>
    <row r="149" spans="1:11">
      <c r="A149" s="28">
        <v>1690</v>
      </c>
      <c r="B149" s="34" t="s">
        <v>165</v>
      </c>
      <c r="C149" s="30" t="str">
        <f>VLOOKUP(B149,[2]Sheet1!$B:$D,3,0)</f>
        <v>Osama AbdelHamid Hassan</v>
      </c>
      <c r="D149" s="25" t="str">
        <f>VLOOKUP(B149,[2]Sheet1!$B:$H,7,0)</f>
        <v>DM</v>
      </c>
      <c r="E149" s="25">
        <f>VLOOKUP(C149,[2]Sheet1!$B:$M,12,0)</f>
        <v>223</v>
      </c>
      <c r="F149" s="29">
        <v>36620709</v>
      </c>
      <c r="G149" s="31">
        <f>VLOOKUP(A149,[2]Sheet1!$A:$J,10,0)</f>
        <v>1067675293</v>
      </c>
      <c r="H149" s="32">
        <f>VLOOKUP(A149,[2]Sheet1!$A:$K,11,0)</f>
        <v>45820</v>
      </c>
      <c r="I149" s="25" t="str">
        <f>VLOOKUP(A149,[2]Sheet1!$A:$F,6,0)</f>
        <v>Ortho Line</v>
      </c>
      <c r="J149" s="25" t="str">
        <f>VLOOKUP(A149,[2]Sheet1!$A:$L,12,0)</f>
        <v>Amr.Hafez@averroes-eg.com</v>
      </c>
      <c r="K149" s="27" t="str">
        <f>VLOOKUP(A149,[2]Sheet1!$A:$N,14,0)</f>
        <v>Malawy</v>
      </c>
    </row>
    <row r="150" spans="1:11">
      <c r="A150" s="28">
        <v>1837</v>
      </c>
      <c r="B150" s="34" t="s">
        <v>166</v>
      </c>
      <c r="C150" s="30" t="str">
        <f>VLOOKUP(B150,[2]Sheet1!$B:$C,2,0)</f>
        <v>Amr Ahmed Hafez Ahmed</v>
      </c>
      <c r="D150" s="25" t="str">
        <f>VLOOKUP(B150,[2]Sheet1!$B:$H,7,0)</f>
        <v>MR</v>
      </c>
      <c r="E150" s="25">
        <f>VLOOKUP(C150,[2]Sheet1!$B:$M,12,0)</f>
        <v>1690</v>
      </c>
      <c r="F150" s="29">
        <v>36620712</v>
      </c>
      <c r="G150" s="31">
        <f>VLOOKUP(A150,[2]Sheet1!$A:$J,10,0)</f>
        <v>1221680259</v>
      </c>
      <c r="H150" s="32">
        <f>VLOOKUP(A150,[2]Sheet1!$A:$K,11,0)</f>
        <v>46021</v>
      </c>
      <c r="I150" s="25" t="str">
        <f>VLOOKUP(A150,[2]Sheet1!$A:$F,6,0)</f>
        <v>Ortho Line</v>
      </c>
      <c r="J150" s="25"/>
      <c r="K150" s="27" t="str">
        <f>VLOOKUP(A150,[2]Sheet1!$A:$N,14,0)</f>
        <v>Assuit City</v>
      </c>
    </row>
    <row r="151" spans="1:11">
      <c r="A151" s="28">
        <v>1587</v>
      </c>
      <c r="B151" s="34" t="s">
        <v>167</v>
      </c>
      <c r="C151" s="30" t="str">
        <f>VLOOKUP(B151,[2]Sheet1!$B:$C,2,0)</f>
        <v>Amr Ahmed Hafez Ahmed</v>
      </c>
      <c r="D151" s="25" t="str">
        <f>VLOOKUP(B151,[2]Sheet1!$B:$H,7,0)</f>
        <v>MR</v>
      </c>
      <c r="E151" s="25">
        <f>VLOOKUP(C151,[2]Sheet1!$B:$M,12,0)</f>
        <v>1690</v>
      </c>
      <c r="F151" s="29">
        <v>36620713</v>
      </c>
      <c r="G151" s="31">
        <f>VLOOKUP(A151,[2]Sheet1!$A:$J,10,0)</f>
        <v>1204846722</v>
      </c>
      <c r="H151" s="32">
        <f>VLOOKUP(A151,[2]Sheet1!$A:$K,11,0)</f>
        <v>45717</v>
      </c>
      <c r="I151" s="25" t="str">
        <f>VLOOKUP(A151,[2]Sheet1!$A:$F,6,0)</f>
        <v>Ortho Line</v>
      </c>
      <c r="J151" s="25"/>
      <c r="K151" s="27" t="str">
        <f>VLOOKUP(A151,[2]Sheet1!$A:$N,14,0)</f>
        <v>Abou Korkas</v>
      </c>
    </row>
    <row r="152" spans="1:11">
      <c r="A152" s="28">
        <v>1366</v>
      </c>
      <c r="B152" s="34" t="s">
        <v>168</v>
      </c>
      <c r="C152" s="30" t="str">
        <f>VLOOKUP(B152,[2]Sheet1!$B:$C,2,0)</f>
        <v>Amr Ahmed Hafez Ahmed</v>
      </c>
      <c r="D152" s="25" t="str">
        <f>VLOOKUP(B152,[2]Sheet1!$B:$H,7,0)</f>
        <v>MR</v>
      </c>
      <c r="E152" s="25">
        <f>VLOOKUP(C152,[2]Sheet1!$B:$M,12,0)</f>
        <v>1690</v>
      </c>
      <c r="F152" s="29">
        <v>36620714</v>
      </c>
      <c r="G152" s="31">
        <f>VLOOKUP(A152,[2]Sheet1!$A:$J,10,0)</f>
        <v>1280552892</v>
      </c>
      <c r="H152" s="32">
        <f>VLOOKUP(A152,[2]Sheet1!$A:$K,11,0)</f>
        <v>45431</v>
      </c>
      <c r="I152" s="25" t="str">
        <f>VLOOKUP(A152,[2]Sheet1!$A:$F,6,0)</f>
        <v>Ortho Line</v>
      </c>
      <c r="J152" s="25"/>
      <c r="K152" s="27" t="str">
        <f>VLOOKUP(A152,[2]Sheet1!$A:$N,14,0)</f>
        <v>Manfalout</v>
      </c>
    </row>
    <row r="153" spans="1:11">
      <c r="A153" s="28">
        <v>1691</v>
      </c>
      <c r="B153" s="34" t="s">
        <v>169</v>
      </c>
      <c r="C153" s="30" t="str">
        <f>VLOOKUP(B153,[2]Sheet1!$B:$C,2,0)</f>
        <v>Amr Ahmed Hafez Ahmed</v>
      </c>
      <c r="D153" s="25" t="str">
        <f>VLOOKUP(B153,[2]Sheet1!$B:$H,7,0)</f>
        <v>MR</v>
      </c>
      <c r="E153" s="25">
        <f>VLOOKUP(C153,[2]Sheet1!$B:$M,12,0)</f>
        <v>1690</v>
      </c>
      <c r="F153" s="29">
        <v>36620716</v>
      </c>
      <c r="G153" s="31">
        <f>VLOOKUP(A153,[2]Sheet1!$A:$J,10,0)</f>
        <v>1203043035</v>
      </c>
      <c r="H153" s="32">
        <f>VLOOKUP(A153,[2]Sheet1!$A:$K,11,0)</f>
        <v>45820</v>
      </c>
      <c r="I153" s="25" t="str">
        <f>VLOOKUP(A153,[2]Sheet1!$A:$F,6,0)</f>
        <v>Ortho Line</v>
      </c>
      <c r="J153" s="25"/>
      <c r="K153" s="27" t="str">
        <f>VLOOKUP(A153,[2]Sheet1!$A:$N,14,0)</f>
        <v>Sedfa</v>
      </c>
    </row>
    <row r="154" spans="1:11">
      <c r="A154" s="28">
        <v>1098</v>
      </c>
      <c r="B154" s="34" t="s">
        <v>170</v>
      </c>
      <c r="C154" s="30" t="str">
        <f>VLOOKUP(B154,[2]Sheet1!$B:$C,2,0)</f>
        <v>L9_Vacant DM Upper 2</v>
      </c>
      <c r="D154" s="25" t="str">
        <f>VLOOKUP(B154,[2]Sheet1!$B:$H,7,0)</f>
        <v>MR</v>
      </c>
      <c r="E154" s="25"/>
      <c r="F154" s="29">
        <v>36620717</v>
      </c>
      <c r="G154" s="31" t="str">
        <f>VLOOKUP(A154,[2]Sheet1!$A:$J,10,0)</f>
        <v> 01015052727</v>
      </c>
      <c r="H154" s="32">
        <f>VLOOKUP(A154,[2]Sheet1!$A:$K,11,0)</f>
        <v>44927</v>
      </c>
      <c r="I154" s="25" t="str">
        <f>VLOOKUP(A154,[2]Sheet1!$A:$F,6,0)</f>
        <v>Ortho Line</v>
      </c>
      <c r="J154" s="25"/>
      <c r="K154" s="27" t="str">
        <f>VLOOKUP(A154,[2]Sheet1!$A:$N,14,0)</f>
        <v>Gerga</v>
      </c>
    </row>
    <row r="155" spans="1:11">
      <c r="A155" s="28">
        <v>1340</v>
      </c>
      <c r="B155" s="34" t="s">
        <v>171</v>
      </c>
      <c r="C155" s="30" t="str">
        <f>VLOOKUP(B155,[2]Sheet1!$B:$C,2,0)</f>
        <v>L9_Vacant DM Upper 2</v>
      </c>
      <c r="D155" s="25" t="str">
        <f>VLOOKUP(B155,[2]Sheet1!$B:$H,7,0)</f>
        <v>MR</v>
      </c>
      <c r="E155" s="25"/>
      <c r="F155" s="29">
        <v>36620718</v>
      </c>
      <c r="G155" s="31">
        <f>VLOOKUP(A155,[2]Sheet1!$A:$J,10,0)</f>
        <v>1229718344</v>
      </c>
      <c r="H155" s="32">
        <f>VLOOKUP(A155,[2]Sheet1!$A:$K,11,0)</f>
        <v>45403</v>
      </c>
      <c r="I155" s="25" t="str">
        <f>VLOOKUP(A155,[2]Sheet1!$A:$F,6,0)</f>
        <v>Ortho Line</v>
      </c>
      <c r="J155" s="25"/>
      <c r="K155" s="27" t="str">
        <f>VLOOKUP(A155,[2]Sheet1!$A:$N,14,0)</f>
        <v>Sohag City</v>
      </c>
    </row>
    <row r="156" spans="1:11">
      <c r="A156" s="28">
        <v>1325</v>
      </c>
      <c r="B156" s="34" t="s">
        <v>172</v>
      </c>
      <c r="C156" s="30" t="str">
        <f>VLOOKUP(B156,[2]Sheet1!$B:$C,2,0)</f>
        <v>L9_Vacant DM Upper 2</v>
      </c>
      <c r="D156" s="25" t="str">
        <f>VLOOKUP(B156,[2]Sheet1!$B:$H,7,0)</f>
        <v>MR</v>
      </c>
      <c r="E156" s="25"/>
      <c r="F156" s="29">
        <v>36620719</v>
      </c>
      <c r="G156" s="31">
        <f>VLOOKUP(A156,[2]Sheet1!$A:$J,10,0)</f>
        <v>1000583597</v>
      </c>
      <c r="H156" s="32">
        <f>VLOOKUP(A156,[2]Sheet1!$A:$K,11,0)</f>
        <v>45304</v>
      </c>
      <c r="I156" s="25" t="str">
        <f>VLOOKUP(A156,[2]Sheet1!$A:$F,6,0)</f>
        <v>Ortho Line</v>
      </c>
      <c r="J156" s="25"/>
      <c r="K156" s="27" t="str">
        <f>VLOOKUP(A156,[2]Sheet1!$A:$N,14,0)</f>
        <v>Nagaa Hamady</v>
      </c>
    </row>
    <row r="157" spans="1:11">
      <c r="A157" s="28">
        <v>1548</v>
      </c>
      <c r="B157" s="34" t="s">
        <v>173</v>
      </c>
      <c r="C157" s="30" t="str">
        <f>VLOOKUP(B157,[2]Sheet1!$B:$C,2,0)</f>
        <v>L9_Vacant DM Upper 2</v>
      </c>
      <c r="D157" s="25" t="str">
        <f>VLOOKUP(B157,[2]Sheet1!$B:$H,7,0)</f>
        <v>MR</v>
      </c>
      <c r="E157" s="25"/>
      <c r="F157" s="29">
        <v>36620720</v>
      </c>
      <c r="G157" s="31">
        <f>VLOOKUP(A157,[2]Sheet1!$A:$J,10,0)</f>
        <v>1096655515</v>
      </c>
      <c r="H157" s="32">
        <f>VLOOKUP(A157,[2]Sheet1!$A:$K,11,0)</f>
        <v>45703</v>
      </c>
      <c r="I157" s="25" t="str">
        <f>VLOOKUP(A157,[2]Sheet1!$A:$F,6,0)</f>
        <v>Ortho Line</v>
      </c>
      <c r="J157" s="25"/>
      <c r="K157" s="27" t="str">
        <f>VLOOKUP(A157,[2]Sheet1!$A:$N,14,0)</f>
        <v>Hurgada</v>
      </c>
    </row>
    <row r="158" spans="1:11">
      <c r="A158" s="28">
        <v>1100</v>
      </c>
      <c r="B158" s="34" t="s">
        <v>174</v>
      </c>
      <c r="C158" s="30" t="str">
        <f>VLOOKUP(B158,[2]Sheet1!$B:$C,2,0)</f>
        <v>L9_Vacant DM Upper 2</v>
      </c>
      <c r="D158" s="25" t="str">
        <f>VLOOKUP(B158,[2]Sheet1!$B:$H,7,0)</f>
        <v>MR</v>
      </c>
      <c r="E158" s="25"/>
      <c r="F158" s="29">
        <v>36620721</v>
      </c>
      <c r="G158" s="31" t="str">
        <f>VLOOKUP(A158,[2]Sheet1!$A:$J,10,0)</f>
        <v> 01288819031</v>
      </c>
      <c r="H158" s="32">
        <f>VLOOKUP(A158,[2]Sheet1!$A:$K,11,0)</f>
        <v>44927</v>
      </c>
      <c r="I158" s="25" t="str">
        <f>VLOOKUP(A158,[2]Sheet1!$A:$F,6,0)</f>
        <v>Ortho Line</v>
      </c>
      <c r="J158" s="25"/>
      <c r="K158" s="27" t="str">
        <f>VLOOKUP(A158,[2]Sheet1!$A:$N,14,0)</f>
        <v>Aswan City</v>
      </c>
    </row>
    <row r="159" spans="1:11">
      <c r="A159" s="28">
        <v>1106</v>
      </c>
      <c r="B159" s="34" t="s">
        <v>175</v>
      </c>
      <c r="C159" s="30" t="str">
        <f>VLOOKUP(B159,[2]Sheet1!$B:$C,2,0)</f>
        <v>L9_Vacant DM Upper 2</v>
      </c>
      <c r="D159" s="25" t="str">
        <f>VLOOKUP(B159,[2]Sheet1!$B:$H,7,0)</f>
        <v>MR</v>
      </c>
      <c r="E159" s="25"/>
      <c r="F159" s="29">
        <v>36620722</v>
      </c>
      <c r="G159" s="31" t="str">
        <f>VLOOKUP(A159,[2]Sheet1!$A:$J,10,0)</f>
        <v> 01287794953</v>
      </c>
      <c r="H159" s="32">
        <f>VLOOKUP(A159,[2]Sheet1!$A:$K,11,0)</f>
        <v>44935</v>
      </c>
      <c r="I159" s="25" t="str">
        <f>VLOOKUP(A159,[2]Sheet1!$A:$F,6,0)</f>
        <v>Ortho Line</v>
      </c>
      <c r="J159" s="25"/>
      <c r="K159" s="27" t="str">
        <f>VLOOKUP(A159,[2]Sheet1!$A:$N,14,0)</f>
        <v>Armant</v>
      </c>
    </row>
    <row r="160" spans="1:11">
      <c r="A160" s="28">
        <v>598</v>
      </c>
      <c r="B160" s="34" t="s">
        <v>176</v>
      </c>
      <c r="C160" s="30" t="str">
        <f>VLOOKUP(B160,[2]Sheet1!$B:$E,4,0)</f>
        <v>Ibrahim Ammar</v>
      </c>
      <c r="D160" s="25" t="str">
        <f>VLOOKUP(B160,[2]Sheet1!$B:$H,7,0)</f>
        <v>AM</v>
      </c>
      <c r="E160" s="25">
        <f>VLOOKUP(C160,[2]Sheet1!$B:$M,12,0)</f>
        <v>60</v>
      </c>
      <c r="F160" s="29">
        <v>36620723</v>
      </c>
      <c r="G160" s="31">
        <f>VLOOKUP(A160,[2]Sheet1!$A:$J,10,0)</f>
        <v>1064782445</v>
      </c>
      <c r="H160" s="32">
        <f>VLOOKUP(A160,[2]Sheet1!$A:$K,11,0)</f>
        <v>43864</v>
      </c>
      <c r="I160" s="25" t="str">
        <f>VLOOKUP(A160,[2]Sheet1!$A:$F,6,0)</f>
        <v>General Line</v>
      </c>
      <c r="J160" s="25" t="str">
        <f>VLOOKUP(A160,[2]Sheet1!$A:$L,12,0)</f>
        <v>saleh.ahmed@averroes-eg.com</v>
      </c>
      <c r="K160" s="27" t="str">
        <f>VLOOKUP(A160,[2]Sheet1!$A:$N,14,0)</f>
        <v>EL KHANKA</v>
      </c>
    </row>
    <row r="161" spans="1:11">
      <c r="A161" s="28">
        <v>1727</v>
      </c>
      <c r="B161" s="34" t="s">
        <v>177</v>
      </c>
      <c r="C161" s="30" t="str">
        <f>VLOOKUP(B161,[2]Sheet1!$B:$C,2,0)</f>
        <v>L2_Vacant_Cairo B</v>
      </c>
      <c r="D161" s="25" t="str">
        <f>VLOOKUP(B161,[2]Sheet1!$B:$H,7,0)</f>
        <v>MR</v>
      </c>
      <c r="E161" s="25"/>
      <c r="F161" s="29">
        <v>36620725</v>
      </c>
      <c r="G161" s="31">
        <f>VLOOKUP(A161,[2]Sheet1!$A:$J,10,0)</f>
        <v>1146343694</v>
      </c>
      <c r="H161" s="32">
        <f>VLOOKUP(A161,[2]Sheet1!$A:$K,11,0)</f>
        <v>45866</v>
      </c>
      <c r="I161" s="25" t="str">
        <f>VLOOKUP(A161,[2]Sheet1!$A:$F,6,0)</f>
        <v>General Line</v>
      </c>
      <c r="J161" s="25"/>
      <c r="K161" s="27" t="str">
        <f>VLOOKUP(A161,[2]Sheet1!$A:$N,14,0)</f>
        <v>Helwan</v>
      </c>
    </row>
    <row r="162" spans="1:11">
      <c r="A162" s="28">
        <v>1357</v>
      </c>
      <c r="B162" s="34" t="s">
        <v>178</v>
      </c>
      <c r="C162" s="30" t="str">
        <f>VLOOKUP(B162,[2]Sheet1!$B:$C,2,0)</f>
        <v>L2_Vacant_Cairo B</v>
      </c>
      <c r="D162" s="25" t="str">
        <f>VLOOKUP(B162,[2]Sheet1!$B:$H,7,0)</f>
        <v>MR</v>
      </c>
      <c r="E162" s="25"/>
      <c r="F162" s="29">
        <v>36620726</v>
      </c>
      <c r="G162" s="31">
        <f>VLOOKUP(A162,[2]Sheet1!$A:$J,10,0)</f>
        <v>1156326788</v>
      </c>
      <c r="H162" s="32">
        <f>VLOOKUP(A162,[2]Sheet1!$A:$K,11,0)</f>
        <v>45423</v>
      </c>
      <c r="I162" s="25" t="str">
        <f>VLOOKUP(A162,[2]Sheet1!$A:$F,6,0)</f>
        <v>General Line</v>
      </c>
      <c r="J162" s="25"/>
      <c r="K162" s="27" t="str">
        <f>VLOOKUP(A162,[2]Sheet1!$A:$N,14,0)</f>
        <v>Shobra El Khiema</v>
      </c>
    </row>
    <row r="163" spans="1:11">
      <c r="A163" s="28">
        <v>1516</v>
      </c>
      <c r="B163" s="34" t="s">
        <v>179</v>
      </c>
      <c r="C163" s="30" t="str">
        <f>VLOOKUP(B163,[2]Sheet1!$B:$C,2,0)</f>
        <v>L2_Vacant_Cairo B</v>
      </c>
      <c r="D163" s="25" t="str">
        <f>VLOOKUP(B163,[2]Sheet1!$B:$H,7,0)</f>
        <v>MR</v>
      </c>
      <c r="E163" s="25"/>
      <c r="F163" s="29">
        <v>36620728</v>
      </c>
      <c r="G163" s="31">
        <f>VLOOKUP(A163,[2]Sheet1!$A:$J,10,0)</f>
        <v>1278728885</v>
      </c>
      <c r="H163" s="32">
        <f>VLOOKUP(A163,[2]Sheet1!$A:$K,11,0)</f>
        <v>45689</v>
      </c>
      <c r="I163" s="25" t="str">
        <f>VLOOKUP(A163,[2]Sheet1!$A:$F,6,0)</f>
        <v>General Line</v>
      </c>
      <c r="J163" s="25"/>
      <c r="K163" s="27" t="str">
        <f>VLOOKUP(A163,[2]Sheet1!$A:$N,14,0)</f>
        <v>Suez</v>
      </c>
    </row>
    <row r="164" spans="1:11">
      <c r="A164" s="28">
        <v>1752</v>
      </c>
      <c r="B164" s="34" t="s">
        <v>180</v>
      </c>
      <c r="C164" s="30" t="str">
        <f>VLOOKUP(B164,[2]Sheet1!$B:$C,2,0)</f>
        <v>L2_Vacant_Cairo B</v>
      </c>
      <c r="D164" s="25" t="str">
        <f>VLOOKUP(B164,[2]Sheet1!$B:$H,7,0)</f>
        <v>MR</v>
      </c>
      <c r="E164" s="25"/>
      <c r="F164" s="29">
        <v>36620729</v>
      </c>
      <c r="G164" s="31">
        <f>VLOOKUP(A164,[2]Sheet1!$A:$J,10,0)</f>
        <v>1140083383</v>
      </c>
      <c r="H164" s="32">
        <f>VLOOKUP(A164,[2]Sheet1!$A:$K,11,0)</f>
        <v>45920</v>
      </c>
      <c r="I164" s="25" t="str">
        <f>VLOOKUP(A164,[2]Sheet1!$A:$F,6,0)</f>
        <v>General Line</v>
      </c>
      <c r="J164" s="25"/>
      <c r="K164" s="27" t="str">
        <f>VLOOKUP(A164,[2]Sheet1!$A:$N,14,0)</f>
        <v>Rod Elfarag</v>
      </c>
    </row>
    <row r="165" spans="1:11">
      <c r="A165" s="28">
        <v>1843</v>
      </c>
      <c r="B165" s="34" t="s">
        <v>181</v>
      </c>
      <c r="C165" s="30" t="str">
        <f>VLOOKUP(B165,[2]Sheet1!$B:$C,2,0)</f>
        <v>L2_Vacant_Cairo B</v>
      </c>
      <c r="D165" s="25" t="str">
        <f>VLOOKUP(B165,[2]Sheet1!$B:$H,7,0)</f>
        <v>MR</v>
      </c>
      <c r="E165" s="25"/>
      <c r="F165" s="29">
        <v>36620730</v>
      </c>
      <c r="G165" s="31">
        <f>VLOOKUP(A165,[2]Sheet1!$A:$J,10,0)</f>
        <v>1222642062</v>
      </c>
      <c r="H165" s="32">
        <f>VLOOKUP(A165,[2]Sheet1!$A:$K,11,0)</f>
        <v>46046</v>
      </c>
      <c r="I165" s="25" t="str">
        <f>VLOOKUP(A165,[2]Sheet1!$A:$F,6,0)</f>
        <v>General Line</v>
      </c>
      <c r="J165" s="25"/>
      <c r="K165" s="27" t="str">
        <f>VLOOKUP(A165,[2]Sheet1!$A:$N,14,0)</f>
        <v>Masr ElQadiama</v>
      </c>
    </row>
    <row r="166" spans="1:11">
      <c r="A166" s="28">
        <v>1616</v>
      </c>
      <c r="B166" s="34" t="s">
        <v>182</v>
      </c>
      <c r="C166" s="30" t="str">
        <f>VLOOKUP(B166,[2]Sheet1!$B:$C,2,0)</f>
        <v>L2_Vacant_Cairo B</v>
      </c>
      <c r="D166" s="25" t="str">
        <f>VLOOKUP(B166,[2]Sheet1!$B:$H,7,0)</f>
        <v>MR</v>
      </c>
      <c r="E166" s="25"/>
      <c r="F166" s="29">
        <v>36620731</v>
      </c>
      <c r="G166" s="31">
        <f>VLOOKUP(A166,[2]Sheet1!$A:$J,10,0)</f>
        <v>1204293521</v>
      </c>
      <c r="H166" s="32">
        <f>VLOOKUP(A166,[2]Sheet1!$A:$K,11,0)</f>
        <v>45769</v>
      </c>
      <c r="I166" s="25" t="str">
        <f>VLOOKUP(A166,[2]Sheet1!$A:$F,6,0)</f>
        <v>General Line</v>
      </c>
      <c r="J166" s="25"/>
      <c r="K166" s="27" t="str">
        <f>VLOOKUP(A166,[2]Sheet1!$A:$N,14,0)</f>
        <v>El Maadi El Gedeeda</v>
      </c>
    </row>
    <row r="167" spans="1:11">
      <c r="A167" s="28">
        <v>1018</v>
      </c>
      <c r="B167" s="34" t="s">
        <v>183</v>
      </c>
      <c r="C167" s="30" t="str">
        <f>VLOOKUP(B167,[2]Sheet1!$B:$D,3,0)</f>
        <v>Saleh Ahmed Saleh</v>
      </c>
      <c r="D167" s="25" t="str">
        <f>VLOOKUP(B167,[2]Sheet1!$B:$H,7,0)</f>
        <v>DM</v>
      </c>
      <c r="E167" s="25">
        <f>VLOOKUP(C167,[2]Sheet1!$B:$M,12,0)</f>
        <v>598</v>
      </c>
      <c r="F167" s="29">
        <v>36620732</v>
      </c>
      <c r="G167" s="31">
        <f>VLOOKUP(A167,[2]Sheet1!$A:$J,10,0)</f>
        <v>1202232402</v>
      </c>
      <c r="H167" s="32">
        <f>VLOOKUP(A167,[2]Sheet1!$A:$K,11,0)</f>
        <v>44870</v>
      </c>
      <c r="I167" s="25" t="str">
        <f>VLOOKUP(A167,[2]Sheet1!$A:$F,6,0)</f>
        <v>General Line</v>
      </c>
      <c r="J167" s="25" t="str">
        <f>VLOOKUP(A167,[2]Sheet1!$A:$L,12,0)</f>
        <v>Marina.Mourad.Roshdy@averroes-eg.com</v>
      </c>
      <c r="K167" s="27" t="str">
        <f>VLOOKUP(A167,[2]Sheet1!$A:$N,14,0)</f>
        <v>El Marg</v>
      </c>
    </row>
    <row r="168" spans="1:11">
      <c r="A168" s="28">
        <v>1794</v>
      </c>
      <c r="B168" s="34" t="s">
        <v>184</v>
      </c>
      <c r="C168" s="30" t="str">
        <f>VLOOKUP(B168,[2]Sheet1!$B:$C,2,0)</f>
        <v>Marina Mourad Roshdy</v>
      </c>
      <c r="D168" s="25" t="str">
        <f>VLOOKUP(B168,[2]Sheet1!$B:$H,7,0)</f>
        <v>MR</v>
      </c>
      <c r="E168" s="25">
        <f>VLOOKUP(C168,[2]Sheet1!$B:$M,12,0)</f>
        <v>1018</v>
      </c>
      <c r="F168" s="29">
        <v>36620735</v>
      </c>
      <c r="G168" s="31">
        <f>VLOOKUP(A168,[2]Sheet1!$A:$J,10,0)</f>
        <v>1140938457</v>
      </c>
      <c r="H168" s="32">
        <f>VLOOKUP(A168,[2]Sheet1!$A:$K,11,0)</f>
        <v>45962</v>
      </c>
      <c r="I168" s="25" t="str">
        <f>VLOOKUP(A168,[2]Sheet1!$A:$F,6,0)</f>
        <v>General Line</v>
      </c>
      <c r="J168" s="25"/>
      <c r="K168" s="27" t="str">
        <f>VLOOKUP(A168,[2]Sheet1!$A:$N,14,0)</f>
        <v>EL KHANKA</v>
      </c>
    </row>
    <row r="169" spans="1:11">
      <c r="A169" s="28">
        <v>1732</v>
      </c>
      <c r="B169" s="34" t="s">
        <v>185</v>
      </c>
      <c r="C169" s="30" t="str">
        <f>VLOOKUP(B169,[2]Sheet1!$B:$C,2,0)</f>
        <v>Marina Mourad Roshdy</v>
      </c>
      <c r="D169" s="25" t="str">
        <f>VLOOKUP(B169,[2]Sheet1!$B:$H,7,0)</f>
        <v>MR</v>
      </c>
      <c r="E169" s="25">
        <f>VLOOKUP(C169,[2]Sheet1!$B:$M,12,0)</f>
        <v>1018</v>
      </c>
      <c r="F169" s="29">
        <v>36620736</v>
      </c>
      <c r="G169" s="31">
        <f>VLOOKUP(A169,[2]Sheet1!$A:$J,10,0)</f>
        <v>1559462246</v>
      </c>
      <c r="H169" s="32">
        <f>VLOOKUP(A169,[2]Sheet1!$A:$K,11,0)</f>
        <v>45885</v>
      </c>
      <c r="I169" s="25" t="str">
        <f>VLOOKUP(A169,[2]Sheet1!$A:$F,6,0)</f>
        <v>General Line</v>
      </c>
      <c r="J169" s="25"/>
      <c r="K169" s="27" t="str">
        <f>VLOOKUP(A169,[2]Sheet1!$A:$N,14,0)</f>
        <v>El Sharabeya</v>
      </c>
    </row>
    <row r="170" spans="1:11">
      <c r="A170" s="28">
        <v>1466</v>
      </c>
      <c r="B170" s="34" t="s">
        <v>186</v>
      </c>
      <c r="C170" s="30" t="str">
        <f>VLOOKUP(B170,[2]Sheet1!$B:$C,2,0)</f>
        <v>Marina Mourad Roshdy</v>
      </c>
      <c r="D170" s="25" t="str">
        <f>VLOOKUP(B170,[2]Sheet1!$B:$H,7,0)</f>
        <v>MR</v>
      </c>
      <c r="E170" s="25">
        <f>VLOOKUP(C170,[2]Sheet1!$B:$M,12,0)</f>
        <v>1018</v>
      </c>
      <c r="F170" s="29">
        <v>36620737</v>
      </c>
      <c r="G170" s="31">
        <f>VLOOKUP(A170,[2]Sheet1!$A:$J,10,0)</f>
        <v>1205748726</v>
      </c>
      <c r="H170" s="32">
        <f>VLOOKUP(A170,[2]Sheet1!$A:$K,11,0)</f>
        <v>45627</v>
      </c>
      <c r="I170" s="25" t="str">
        <f>VLOOKUP(A170,[2]Sheet1!$A:$F,6,0)</f>
        <v>General Line</v>
      </c>
      <c r="J170" s="25"/>
      <c r="K170" s="27" t="str">
        <f>VLOOKUP(A170,[2]Sheet1!$A:$N,14,0)</f>
        <v>Ismaelia City</v>
      </c>
    </row>
    <row r="171" spans="1:11">
      <c r="A171" s="28">
        <v>1246</v>
      </c>
      <c r="B171" s="34" t="s">
        <v>187</v>
      </c>
      <c r="C171" s="30" t="str">
        <f>VLOOKUP(B171,[2]Sheet1!$B:$D,3,0)</f>
        <v>Saleh Ahmed Saleh</v>
      </c>
      <c r="D171" s="25" t="str">
        <f>VLOOKUP(B171,[2]Sheet1!$B:$H,7,0)</f>
        <v>DM</v>
      </c>
      <c r="E171" s="25">
        <f>VLOOKUP(C171,[2]Sheet1!$B:$M,12,0)</f>
        <v>598</v>
      </c>
      <c r="F171" s="29">
        <v>36620738</v>
      </c>
      <c r="G171" s="31">
        <f>VLOOKUP(A171,[2]Sheet1!$A:$J,10,0)</f>
        <v>1154772559</v>
      </c>
      <c r="H171" s="32">
        <f>VLOOKUP(A171,[2]Sheet1!$A:$K,11,0)</f>
        <v>45143</v>
      </c>
      <c r="I171" s="25" t="str">
        <f>VLOOKUP(A171,[2]Sheet1!$A:$F,6,0)</f>
        <v>General Line</v>
      </c>
      <c r="J171" s="25"/>
      <c r="K171" s="27" t="str">
        <f>VLOOKUP(A171,[2]Sheet1!$A:$N,14,0)</f>
        <v>Faisal</v>
      </c>
    </row>
    <row r="172" spans="1:11">
      <c r="A172" s="28">
        <v>1767</v>
      </c>
      <c r="B172" s="34" t="s">
        <v>188</v>
      </c>
      <c r="C172" s="30" t="str">
        <f>VLOOKUP(B172,[2]Sheet1!$B:$C,2,0)</f>
        <v>Walaa Samy Mohamed</v>
      </c>
      <c r="D172" s="25" t="str">
        <f>VLOOKUP(B172,[2]Sheet1!$B:$H,7,0)</f>
        <v>MR</v>
      </c>
      <c r="E172" s="25">
        <f>VLOOKUP(C172,[2]Sheet1!$B:$M,12,0)</f>
        <v>1246</v>
      </c>
      <c r="F172" s="29">
        <v>36620739</v>
      </c>
      <c r="G172" s="31">
        <f>VLOOKUP(A172,[2]Sheet1!$A:$J,10,0)</f>
        <v>1126216801</v>
      </c>
      <c r="H172" s="32">
        <f>VLOOKUP(A172,[2]Sheet1!$A:$K,11,0)</f>
        <v>45934</v>
      </c>
      <c r="I172" s="25" t="str">
        <f>VLOOKUP(A172,[2]Sheet1!$A:$F,6,0)</f>
        <v>General Line</v>
      </c>
      <c r="J172" s="25"/>
      <c r="K172" s="27" t="str">
        <f>VLOOKUP(A172,[2]Sheet1!$A:$N,14,0)</f>
        <v>Haram</v>
      </c>
    </row>
    <row r="173" spans="1:11">
      <c r="A173" s="28">
        <v>1766</v>
      </c>
      <c r="B173" s="34" t="s">
        <v>189</v>
      </c>
      <c r="C173" s="30" t="str">
        <f>VLOOKUP(B173,[2]Sheet1!$B:$C,2,0)</f>
        <v>Walaa Samy Mohamed</v>
      </c>
      <c r="D173" s="25" t="str">
        <f>VLOOKUP(B173,[2]Sheet1!$B:$H,7,0)</f>
        <v>MR</v>
      </c>
      <c r="E173" s="25">
        <f>VLOOKUP(C173,[2]Sheet1!$B:$M,12,0)</f>
        <v>1246</v>
      </c>
      <c r="F173" s="29">
        <v>36620740</v>
      </c>
      <c r="G173" s="31">
        <f>VLOOKUP(A173,[2]Sheet1!$A:$J,10,0)</f>
        <v>1095596027</v>
      </c>
      <c r="H173" s="32">
        <f>VLOOKUP(A173,[2]Sheet1!$A:$K,11,0)</f>
        <v>45934</v>
      </c>
      <c r="I173" s="25" t="str">
        <f>VLOOKUP(A173,[2]Sheet1!$A:$F,6,0)</f>
        <v>General Line</v>
      </c>
      <c r="J173" s="25"/>
      <c r="K173" s="27" t="str">
        <f>VLOOKUP(A173,[2]Sheet1!$A:$N,14,0)</f>
        <v>el mohandesein</v>
      </c>
    </row>
    <row r="174" spans="1:11">
      <c r="A174" s="28">
        <v>1704</v>
      </c>
      <c r="B174" s="34" t="s">
        <v>190</v>
      </c>
      <c r="C174" s="30" t="str">
        <f>VLOOKUP(B174,[2]Sheet1!$B:$C,2,0)</f>
        <v>Walaa Samy Mohamed</v>
      </c>
      <c r="D174" s="25" t="str">
        <f>VLOOKUP(B174,[2]Sheet1!$B:$H,7,0)</f>
        <v>MR</v>
      </c>
      <c r="E174" s="25">
        <f>VLOOKUP(C174,[2]Sheet1!$B:$M,12,0)</f>
        <v>1246</v>
      </c>
      <c r="F174" s="29">
        <v>36620741</v>
      </c>
      <c r="G174" s="31">
        <f>VLOOKUP(A174,[2]Sheet1!$A:$J,10,0)</f>
        <v>1143176042</v>
      </c>
      <c r="H174" s="32">
        <f>VLOOKUP(A174,[2]Sheet1!$A:$K,11,0)</f>
        <v>45843</v>
      </c>
      <c r="I174" s="25" t="str">
        <f>VLOOKUP(A174,[2]Sheet1!$A:$F,6,0)</f>
        <v>General Line</v>
      </c>
      <c r="J174" s="25"/>
      <c r="K174" s="27" t="str">
        <f>VLOOKUP(A174,[2]Sheet1!$A:$N,14,0)</f>
        <v>El Badrashien</v>
      </c>
    </row>
    <row r="175" spans="1:11">
      <c r="A175" s="28">
        <v>318</v>
      </c>
      <c r="B175" s="34" t="s">
        <v>191</v>
      </c>
      <c r="C175" s="30" t="str">
        <f>VLOOKUP(B175,[2]Sheet1!$B:$E,4,0)</f>
        <v>Ibrahim Ammar</v>
      </c>
      <c r="D175" s="25" t="str">
        <f>VLOOKUP(B175,[2]Sheet1!$B:$H,7,0)</f>
        <v>AM</v>
      </c>
      <c r="E175" s="25">
        <f>VLOOKUP(C175,[2]Sheet1!$B:$M,12,0)</f>
        <v>60</v>
      </c>
      <c r="F175" s="29">
        <v>36620742</v>
      </c>
      <c r="G175" s="31" t="str">
        <f>VLOOKUP(A175,[2]Sheet1!$A:$J,10,0)</f>
        <v> 01151376379</v>
      </c>
      <c r="H175" s="32">
        <f>VLOOKUP(A175,[2]Sheet1!$A:$K,11,0)</f>
        <v>43288</v>
      </c>
      <c r="I175" s="25" t="str">
        <f>VLOOKUP(A175,[2]Sheet1!$A:$F,6,0)</f>
        <v>GI Line</v>
      </c>
      <c r="J175" s="25" t="str">
        <f>VLOOKUP(A175,[2]Sheet1!$A:$L,12,0)</f>
        <v>mosaab.mahmoud@averroes-eg.com</v>
      </c>
      <c r="K175" s="27" t="str">
        <f>VLOOKUP(A175,[2]Sheet1!$A:$N,14,0)</f>
        <v>Hadayek El Maadi</v>
      </c>
    </row>
    <row r="176" spans="1:11">
      <c r="A176" s="28">
        <v>1009</v>
      </c>
      <c r="B176" s="34" t="s">
        <v>192</v>
      </c>
      <c r="C176" s="30" t="str">
        <f>VLOOKUP(B176,[2]Sheet1!$B:$D,3,0)</f>
        <v>Mousab Mahmoud Abdelkhalek</v>
      </c>
      <c r="D176" s="25" t="str">
        <f>VLOOKUP(B176,[2]Sheet1!$B:$H,7,0)</f>
        <v>DM</v>
      </c>
      <c r="E176" s="25">
        <f>VLOOKUP(C176,[2]Sheet1!$B:$M,12,0)</f>
        <v>318</v>
      </c>
      <c r="F176" s="29">
        <v>36620743</v>
      </c>
      <c r="G176" s="31">
        <f>VLOOKUP(A176,[2]Sheet1!$A:$J,10,0)</f>
        <v>1141868792</v>
      </c>
      <c r="H176" s="32">
        <f>VLOOKUP(A176,[2]Sheet1!$A:$K,11,0)</f>
        <v>44835</v>
      </c>
      <c r="I176" s="25" t="str">
        <f>VLOOKUP(A176,[2]Sheet1!$A:$F,6,0)</f>
        <v>GI Line</v>
      </c>
      <c r="J176" s="25" t="str">
        <f>VLOOKUP(A176,[2]Sheet1!$A:$L,12,0)</f>
        <v>Eman.Samir.Mohamed@averroes-eg.com</v>
      </c>
      <c r="K176" s="27" t="str">
        <f>VLOOKUP(A176,[2]Sheet1!$A:$N,14,0)</f>
        <v>Helwan</v>
      </c>
    </row>
    <row r="177" spans="1:11">
      <c r="A177" s="28">
        <v>1784</v>
      </c>
      <c r="B177" s="34" t="s">
        <v>193</v>
      </c>
      <c r="C177" s="30" t="str">
        <f>VLOOKUP(B177,[2]Sheet1!$B:$C,2,0)</f>
        <v>Eman Samir Mohamed</v>
      </c>
      <c r="D177" s="25" t="str">
        <f>VLOOKUP(B177,[2]Sheet1!$B:$H,7,0)</f>
        <v>MR</v>
      </c>
      <c r="E177" s="25">
        <f>VLOOKUP(C177,[2]Sheet1!$B:$M,12,0)</f>
        <v>1009</v>
      </c>
      <c r="F177" s="29">
        <v>36620744</v>
      </c>
      <c r="G177" s="31">
        <f>VLOOKUP(A177,[2]Sheet1!$A:$J,10,0)</f>
        <v>1227605698</v>
      </c>
      <c r="H177" s="32">
        <f>VLOOKUP(A177,[2]Sheet1!$A:$K,11,0)</f>
        <v>45964</v>
      </c>
      <c r="I177" s="25" t="str">
        <f>VLOOKUP(A177,[2]Sheet1!$A:$F,6,0)</f>
        <v>GI Line</v>
      </c>
      <c r="J177" s="25"/>
      <c r="K177" s="27" t="str">
        <f>VLOOKUP(A177,[2]Sheet1!$A:$N,14,0)</f>
        <v>Masr El Qadima</v>
      </c>
    </row>
    <row r="178" spans="1:11">
      <c r="A178" s="28">
        <v>1497</v>
      </c>
      <c r="B178" s="34" t="s">
        <v>194</v>
      </c>
      <c r="C178" s="30" t="str">
        <f>VLOOKUP(B178,[2]Sheet1!$B:$C,2,0)</f>
        <v>Eman Samir Mohamed</v>
      </c>
      <c r="D178" s="25" t="str">
        <f>VLOOKUP(B178,[2]Sheet1!$B:$H,7,0)</f>
        <v>MR</v>
      </c>
      <c r="E178" s="25">
        <f>VLOOKUP(C178,[2]Sheet1!$B:$M,12,0)</f>
        <v>1009</v>
      </c>
      <c r="F178" s="29">
        <v>36620746</v>
      </c>
      <c r="G178" s="31">
        <f>VLOOKUP(A178,[2]Sheet1!$A:$J,10,0)</f>
        <v>1009121775</v>
      </c>
      <c r="H178" s="32">
        <f>VLOOKUP(A178,[2]Sheet1!$A:$K,11,0)</f>
        <v>45675</v>
      </c>
      <c r="I178" s="25" t="str">
        <f>VLOOKUP(A178,[2]Sheet1!$A:$F,6,0)</f>
        <v>GI Line</v>
      </c>
      <c r="J178" s="25"/>
      <c r="K178" s="27" t="str">
        <f>VLOOKUP(A178,[2]Sheet1!$A:$N,14,0)</f>
        <v>El Badrashien</v>
      </c>
    </row>
    <row r="179" spans="1:11">
      <c r="A179" s="28">
        <v>1415</v>
      </c>
      <c r="B179" s="34" t="s">
        <v>195</v>
      </c>
      <c r="C179" s="30" t="str">
        <f>VLOOKUP(B179,[2]Sheet1!$B:$C,2,0)</f>
        <v>Eman Samir Mohamed</v>
      </c>
      <c r="D179" s="25" t="str">
        <f>VLOOKUP(B179,[2]Sheet1!$B:$H,7,0)</f>
        <v>MR</v>
      </c>
      <c r="E179" s="25">
        <f>VLOOKUP(C179,[2]Sheet1!$B:$M,12,0)</f>
        <v>1009</v>
      </c>
      <c r="F179" s="29">
        <v>36620747</v>
      </c>
      <c r="G179" s="31">
        <f>VLOOKUP(A179,[2]Sheet1!$A:$J,10,0)</f>
        <v>1122435600</v>
      </c>
      <c r="H179" s="32">
        <f>VLOOKUP(A179,[2]Sheet1!$A:$K,11,0)</f>
        <v>45505</v>
      </c>
      <c r="I179" s="25" t="str">
        <f>VLOOKUP(A179,[2]Sheet1!$A:$F,6,0)</f>
        <v>GI Line</v>
      </c>
      <c r="J179" s="25"/>
      <c r="K179" s="27" t="str">
        <f>VLOOKUP(A179,[2]Sheet1!$A:$N,14,0)</f>
        <v>El Sahel</v>
      </c>
    </row>
    <row r="180" spans="1:11">
      <c r="A180" s="28">
        <v>1578</v>
      </c>
      <c r="B180" s="34" t="s">
        <v>196</v>
      </c>
      <c r="C180" s="30" t="str">
        <f>VLOOKUP(B180,[2]Sheet1!$B:$C,2,0)</f>
        <v>Eman Samir Mohamed</v>
      </c>
      <c r="D180" s="25" t="str">
        <f>VLOOKUP(B180,[2]Sheet1!$B:$H,7,0)</f>
        <v>MR</v>
      </c>
      <c r="E180" s="25">
        <f>VLOOKUP(C180,[2]Sheet1!$B:$M,12,0)</f>
        <v>1009</v>
      </c>
      <c r="F180" s="29">
        <v>36620748</v>
      </c>
      <c r="G180" s="31">
        <f>VLOOKUP(A180,[2]Sheet1!$A:$J,10,0)</f>
        <v>1148712223</v>
      </c>
      <c r="H180" s="32">
        <f>VLOOKUP(A180,[2]Sheet1!$A:$K,11,0)</f>
        <v>45724</v>
      </c>
      <c r="I180" s="25" t="str">
        <f>VLOOKUP(A180,[2]Sheet1!$A:$F,6,0)</f>
        <v>GI Line</v>
      </c>
      <c r="J180" s="25"/>
      <c r="K180" s="27" t="str">
        <f>VLOOKUP(A180,[2]Sheet1!$A:$N,14,0)</f>
        <v>El Tebeen + El Marazeek (El Tebeen)</v>
      </c>
    </row>
    <row r="181" spans="1:11">
      <c r="A181" s="28">
        <v>1564</v>
      </c>
      <c r="B181" s="34" t="s">
        <v>197</v>
      </c>
      <c r="C181" s="30" t="str">
        <f>VLOOKUP(B181,[2]Sheet1!$B:$C,2,0)</f>
        <v>Eman Samir Mohamed</v>
      </c>
      <c r="D181" s="25" t="str">
        <f>VLOOKUP(B181,[2]Sheet1!$B:$H,7,0)</f>
        <v>MR</v>
      </c>
      <c r="E181" s="25">
        <f>VLOOKUP(C181,[2]Sheet1!$B:$M,12,0)</f>
        <v>1009</v>
      </c>
      <c r="F181" s="29">
        <v>36620749</v>
      </c>
      <c r="G181" s="31">
        <f>VLOOKUP(A181,[2]Sheet1!$A:$J,10,0)</f>
        <v>1067611287</v>
      </c>
      <c r="H181" s="32">
        <f>VLOOKUP(A181,[2]Sheet1!$A:$K,11,0)</f>
        <v>45717</v>
      </c>
      <c r="I181" s="25" t="str">
        <f>VLOOKUP(A181,[2]Sheet1!$A:$F,6,0)</f>
        <v>GI Line</v>
      </c>
      <c r="J181" s="25"/>
      <c r="K181" s="27" t="str">
        <f>VLOOKUP(A181,[2]Sheet1!$A:$N,14,0)</f>
        <v>NASR CITY I</v>
      </c>
    </row>
    <row r="182" spans="1:11">
      <c r="A182" s="28">
        <v>1726</v>
      </c>
      <c r="B182" s="34" t="s">
        <v>198</v>
      </c>
      <c r="C182" s="30" t="str">
        <f>VLOOKUP(B182,[2]Sheet1!$B:$C,2,0)</f>
        <v>Eman Samir Mohamed</v>
      </c>
      <c r="D182" s="25" t="str">
        <f>VLOOKUP(B182,[2]Sheet1!$B:$H,7,0)</f>
        <v>MR</v>
      </c>
      <c r="E182" s="25">
        <f>VLOOKUP(C182,[2]Sheet1!$B:$M,12,0)</f>
        <v>1009</v>
      </c>
      <c r="F182" s="29">
        <v>36620750</v>
      </c>
      <c r="G182" s="31">
        <f>VLOOKUP(A182,[2]Sheet1!$A:$J,10,0)</f>
        <v>1155036529</v>
      </c>
      <c r="H182" s="32">
        <f>VLOOKUP(A182,[2]Sheet1!$A:$K,11,0)</f>
        <v>45871</v>
      </c>
      <c r="I182" s="25" t="str">
        <f>VLOOKUP(A182,[2]Sheet1!$A:$F,6,0)</f>
        <v>GI Line</v>
      </c>
      <c r="J182" s="25"/>
      <c r="K182" s="27" t="str">
        <f>VLOOKUP(A182,[2]Sheet1!$A:$N,14,0)</f>
        <v>Hadayek Elmaadi</v>
      </c>
    </row>
    <row r="183" spans="1:11">
      <c r="A183" s="28">
        <v>1775</v>
      </c>
      <c r="B183" s="34" t="s">
        <v>199</v>
      </c>
      <c r="C183" s="30" t="str">
        <f>VLOOKUP(B183,[2]Sheet1!$B:$C,2,0)</f>
        <v>L3_Vacant - Cairo A</v>
      </c>
      <c r="D183" s="25" t="str">
        <f>VLOOKUP(B183,[2]Sheet1!$B:$H,7,0)</f>
        <v>MR</v>
      </c>
      <c r="E183" s="25"/>
      <c r="F183" s="29">
        <v>36620751</v>
      </c>
      <c r="G183" s="31">
        <f>VLOOKUP(A183,[2]Sheet1!$A:$J,10,0)</f>
        <v>1127066648</v>
      </c>
      <c r="H183" s="32">
        <f>VLOOKUP(A183,[2]Sheet1!$A:$K,11,0)</f>
        <v>45962</v>
      </c>
      <c r="I183" s="25" t="str">
        <f>VLOOKUP(A183,[2]Sheet1!$A:$F,6,0)</f>
        <v>GI Line</v>
      </c>
      <c r="J183" s="25"/>
      <c r="K183" s="27" t="str">
        <f>VLOOKUP(A183,[2]Sheet1!$A:$N,14,0)</f>
        <v>Madenet El Salam</v>
      </c>
    </row>
    <row r="184" spans="1:11">
      <c r="A184" s="28">
        <v>1596</v>
      </c>
      <c r="B184" s="34" t="s">
        <v>200</v>
      </c>
      <c r="C184" s="30" t="str">
        <f>VLOOKUP(B184,[2]Sheet1!$B:$C,2,0)</f>
        <v>L3_Vacant - Cairo A</v>
      </c>
      <c r="D184" s="25" t="str">
        <f>VLOOKUP(B184,[2]Sheet1!$B:$H,7,0)</f>
        <v>MR</v>
      </c>
      <c r="E184" s="25"/>
      <c r="F184" s="29">
        <v>36620752</v>
      </c>
      <c r="G184" s="31">
        <f>VLOOKUP(A184,[2]Sheet1!$A:$J,10,0)</f>
        <v>1096975812</v>
      </c>
      <c r="H184" s="32">
        <f>VLOOKUP(A184,[2]Sheet1!$A:$K,11,0)</f>
        <v>45738</v>
      </c>
      <c r="I184" s="25" t="str">
        <f>VLOOKUP(A184,[2]Sheet1!$A:$F,6,0)</f>
        <v>GI Line</v>
      </c>
      <c r="J184" s="25"/>
      <c r="K184" s="27" t="str">
        <f>VLOOKUP(A184,[2]Sheet1!$A:$N,14,0)</f>
        <v>El Marg</v>
      </c>
    </row>
    <row r="185" spans="1:11">
      <c r="A185" s="28">
        <v>675</v>
      </c>
      <c r="B185" s="34" t="s">
        <v>201</v>
      </c>
      <c r="C185" s="30" t="str">
        <f>VLOOKUP(B185,[2]Sheet1!$B:$C,2,0)</f>
        <v>L3_Vacant - Cairo A</v>
      </c>
      <c r="D185" s="25" t="str">
        <f>VLOOKUP(B185,[2]Sheet1!$B:$H,7,0)</f>
        <v>MR</v>
      </c>
      <c r="E185" s="25"/>
      <c r="F185" s="29">
        <v>36620753</v>
      </c>
      <c r="G185" s="31">
        <f>VLOOKUP(A185,[2]Sheet1!$A:$J,10,0)</f>
        <v>1282594714</v>
      </c>
      <c r="H185" s="32">
        <f>VLOOKUP(A185,[2]Sheet1!$A:$K,11,0)</f>
        <v>44013</v>
      </c>
      <c r="I185" s="25" t="str">
        <f>VLOOKUP(A185,[2]Sheet1!$A:$F,6,0)</f>
        <v>GI Line</v>
      </c>
      <c r="J185" s="25"/>
      <c r="K185" s="27" t="str">
        <f>VLOOKUP(A185,[2]Sheet1!$A:$N,14,0)</f>
        <v>Ismaelia City</v>
      </c>
    </row>
    <row r="186" spans="1:11">
      <c r="A186" s="28">
        <v>1714</v>
      </c>
      <c r="B186" s="34" t="s">
        <v>202</v>
      </c>
      <c r="C186" s="30" t="str">
        <f>VLOOKUP(B186,[2]Sheet1!$B:$C,2,0)</f>
        <v>L3_Vacant - Cairo A</v>
      </c>
      <c r="D186" s="25" t="str">
        <f>VLOOKUP(B186,[2]Sheet1!$B:$H,7,0)</f>
        <v>MR</v>
      </c>
      <c r="E186" s="25"/>
      <c r="F186" s="29">
        <v>36620754</v>
      </c>
      <c r="G186" s="31">
        <f>VLOOKUP(A186,[2]Sheet1!$A:$J,10,0)</f>
        <v>1280608490</v>
      </c>
      <c r="H186" s="32">
        <f>VLOOKUP(A186,[2]Sheet1!$A:$K,11,0)</f>
        <v>45857</v>
      </c>
      <c r="I186" s="25" t="str">
        <f>VLOOKUP(A186,[2]Sheet1!$A:$F,6,0)</f>
        <v>GI Line</v>
      </c>
      <c r="J186" s="25"/>
      <c r="K186" s="27" t="str">
        <f>VLOOKUP(A186,[2]Sheet1!$A:$N,14,0)</f>
        <v>Ain Shams</v>
      </c>
    </row>
    <row r="187" spans="1:11">
      <c r="A187" s="28">
        <v>1765</v>
      </c>
      <c r="B187" s="34" t="s">
        <v>203</v>
      </c>
      <c r="C187" s="30" t="str">
        <f>VLOOKUP(B187,[2]Sheet1!$B:$C,2,0)</f>
        <v>L3_Vacant - Cairo A</v>
      </c>
      <c r="D187" s="25" t="str">
        <f>VLOOKUP(B187,[2]Sheet1!$B:$H,7,0)</f>
        <v>MR</v>
      </c>
      <c r="E187" s="25"/>
      <c r="F187" s="29">
        <v>36620755</v>
      </c>
      <c r="G187" s="31">
        <f>VLOOKUP(A187,[2]Sheet1!$A:$J,10,0)</f>
        <v>1123307305</v>
      </c>
      <c r="H187" s="32">
        <f>VLOOKUP(A187,[2]Sheet1!$A:$K,11,0)</f>
        <v>45931</v>
      </c>
      <c r="I187" s="25" t="str">
        <f>VLOOKUP(A187,[2]Sheet1!$A:$F,6,0)</f>
        <v>GI Line</v>
      </c>
      <c r="J187" s="25"/>
      <c r="K187" s="27" t="str">
        <f>VLOOKUP(A187,[2]Sheet1!$A:$N,14,0)</f>
        <v>El Matarya</v>
      </c>
    </row>
    <row r="188" spans="1:11">
      <c r="A188" s="28">
        <v>1576</v>
      </c>
      <c r="B188" s="34" t="s">
        <v>204</v>
      </c>
      <c r="C188" s="30" t="str">
        <f>VLOOKUP(B188,[2]Sheet1!$B:$C,2,0)</f>
        <v>L3_Vacant_Giza</v>
      </c>
      <c r="D188" s="25" t="str">
        <f>VLOOKUP(B188,[2]Sheet1!$B:$H,7,0)</f>
        <v>MR</v>
      </c>
      <c r="E188" s="25"/>
      <c r="F188" s="29">
        <v>36620756</v>
      </c>
      <c r="G188" s="31">
        <f>VLOOKUP(A188,[2]Sheet1!$A:$J,10,0)</f>
        <v>1552021270</v>
      </c>
      <c r="H188" s="32">
        <f>VLOOKUP(A188,[2]Sheet1!$A:$K,11,0)</f>
        <v>45717</v>
      </c>
      <c r="I188" s="25" t="str">
        <f>VLOOKUP(A188,[2]Sheet1!$A:$F,6,0)</f>
        <v>GI Line</v>
      </c>
      <c r="J188" s="25"/>
      <c r="K188" s="27" t="str">
        <f>VLOOKUP(A188,[2]Sheet1!$A:$N,14,0)</f>
        <v>Kerdasa</v>
      </c>
    </row>
    <row r="189" spans="1:11">
      <c r="A189" s="28">
        <v>1749</v>
      </c>
      <c r="B189" s="34" t="s">
        <v>205</v>
      </c>
      <c r="C189" s="30" t="str">
        <f>VLOOKUP(B189,[2]Sheet1!$B:$C,2,0)</f>
        <v>L3_Vacant_Giza</v>
      </c>
      <c r="D189" s="25" t="str">
        <f>VLOOKUP(B189,[2]Sheet1!$B:$H,7,0)</f>
        <v>MR</v>
      </c>
      <c r="E189" s="25"/>
      <c r="F189" s="29">
        <v>36620757</v>
      </c>
      <c r="G189" s="31">
        <f>VLOOKUP(A189,[2]Sheet1!$A:$J,10,0)</f>
        <v>1121141552</v>
      </c>
      <c r="H189" s="32">
        <f>VLOOKUP(A189,[2]Sheet1!$A:$K,11,0)</f>
        <v>45914</v>
      </c>
      <c r="I189" s="25" t="str">
        <f>VLOOKUP(A189,[2]Sheet1!$A:$F,6,0)</f>
        <v>GI Line</v>
      </c>
      <c r="J189" s="25"/>
      <c r="K189" s="27" t="str">
        <f>VLOOKUP(A189,[2]Sheet1!$A:$N,14,0)</f>
        <v>Faisal</v>
      </c>
    </row>
    <row r="190" spans="1:11">
      <c r="A190" s="28">
        <v>1633</v>
      </c>
      <c r="B190" s="34" t="s">
        <v>206</v>
      </c>
      <c r="C190" s="30" t="str">
        <f>VLOOKUP(B190,[2]Sheet1!$B:$C,2,0)</f>
        <v>L3_Vacant_Giza</v>
      </c>
      <c r="D190" s="25" t="str">
        <f>VLOOKUP(B190,[2]Sheet1!$B:$H,7,0)</f>
        <v>MR</v>
      </c>
      <c r="E190" s="25"/>
      <c r="F190" s="29">
        <v>36620758</v>
      </c>
      <c r="G190" s="31">
        <f>VLOOKUP(A190,[2]Sheet1!$A:$J,10,0)</f>
        <v>1061486661</v>
      </c>
      <c r="H190" s="32">
        <f>VLOOKUP(A190,[2]Sheet1!$A:$K,11,0)</f>
        <v>45789</v>
      </c>
      <c r="I190" s="25" t="str">
        <f>VLOOKUP(A190,[2]Sheet1!$A:$F,6,0)</f>
        <v>GI Line</v>
      </c>
      <c r="J190" s="25"/>
      <c r="K190" s="27" t="str">
        <f>VLOOKUP(A190,[2]Sheet1!$A:$N,14,0)</f>
        <v>6th of October City</v>
      </c>
    </row>
    <row r="191" spans="1:11">
      <c r="A191" s="28">
        <v>1416</v>
      </c>
      <c r="B191" s="34" t="s">
        <v>207</v>
      </c>
      <c r="C191" s="30" t="str">
        <f>VLOOKUP(B191,[2]Sheet1!$B:$C,2,0)</f>
        <v>L3_Vacant_Giza</v>
      </c>
      <c r="D191" s="25" t="str">
        <f>VLOOKUP(B191,[2]Sheet1!$B:$H,7,0)</f>
        <v>MR</v>
      </c>
      <c r="E191" s="25"/>
      <c r="F191" s="29">
        <v>36620759</v>
      </c>
      <c r="G191" s="31">
        <f>VLOOKUP(A191,[2]Sheet1!$A:$J,10,0)</f>
        <v>1155286453</v>
      </c>
      <c r="H191" s="32">
        <f>VLOOKUP(A191,[2]Sheet1!$A:$K,11,0)</f>
        <v>45505</v>
      </c>
      <c r="I191" s="25" t="str">
        <f>VLOOKUP(A191,[2]Sheet1!$A:$F,6,0)</f>
        <v>GI Line</v>
      </c>
      <c r="J191" s="25"/>
      <c r="K191" s="27" t="str">
        <f>VLOOKUP(A191,[2]Sheet1!$A:$N,14,0)</f>
        <v>Nahia</v>
      </c>
    </row>
    <row r="192" spans="1:11">
      <c r="A192" s="28">
        <v>1748</v>
      </c>
      <c r="B192" s="34" t="s">
        <v>208</v>
      </c>
      <c r="C192" s="30" t="str">
        <f>VLOOKUP(B192,[2]Sheet1!$B:$C,2,0)</f>
        <v>L3_Vacant_Giza</v>
      </c>
      <c r="D192" s="25" t="str">
        <f>VLOOKUP(B192,[2]Sheet1!$B:$H,7,0)</f>
        <v>MR</v>
      </c>
      <c r="E192" s="25"/>
      <c r="F192" s="29">
        <v>36620760</v>
      </c>
      <c r="G192" s="31">
        <f>VLOOKUP(A192,[2]Sheet1!$A:$J,10,0)</f>
        <v>1096622287</v>
      </c>
      <c r="H192" s="32">
        <f>VLOOKUP(A192,[2]Sheet1!$A:$K,11,0)</f>
        <v>45910</v>
      </c>
      <c r="I192" s="25" t="str">
        <f>VLOOKUP(A192,[2]Sheet1!$A:$F,6,0)</f>
        <v>GI Line</v>
      </c>
      <c r="J192" s="25"/>
      <c r="K192" s="27" t="str">
        <f>VLOOKUP(A192,[2]Sheet1!$A:$N,14,0)</f>
        <v>Fayoum</v>
      </c>
    </row>
    <row r="193" spans="1:11">
      <c r="A193" s="28">
        <v>67</v>
      </c>
      <c r="B193" s="34" t="s">
        <v>209</v>
      </c>
      <c r="C193" s="30" t="str">
        <f>VLOOKUP(B193,[2]Sheet1!$B:$E,4,0)</f>
        <v>Ibrahim Ammar</v>
      </c>
      <c r="D193" s="25" t="str">
        <f>VLOOKUP(B193,[2]Sheet1!$B:$H,7,0)</f>
        <v>AM</v>
      </c>
      <c r="E193" s="25">
        <f>VLOOKUP(C193,[2]Sheet1!$B:$M,12,0)</f>
        <v>60</v>
      </c>
      <c r="F193" s="29">
        <v>36620761</v>
      </c>
      <c r="G193" s="31" t="str">
        <f>VLOOKUP(A193,[2]Sheet1!$A:$J,10,0)</f>
        <v> 01013322100</v>
      </c>
      <c r="H193" s="32">
        <f>VLOOKUP(A193,[2]Sheet1!$A:$K,11,0)</f>
        <v>41064</v>
      </c>
      <c r="I193" s="25" t="str">
        <f>VLOOKUP(A193,[2]Sheet1!$A:$F,6,0)</f>
        <v>General Line &amp; GI Line</v>
      </c>
      <c r="J193" s="25" t="str">
        <f>VLOOKUP(A193,[2]Sheet1!$A:$L,12,0)</f>
        <v>ahmed.samir@averroes-eg.com</v>
      </c>
      <c r="K193" s="27" t="str">
        <f>VLOOKUP(A193,[2]Sheet1!$A:$N,14,0)</f>
        <v>Fesha</v>
      </c>
    </row>
    <row r="194" spans="1:11">
      <c r="A194" s="28">
        <v>1305</v>
      </c>
      <c r="B194" s="34" t="s">
        <v>210</v>
      </c>
      <c r="C194" s="30" t="str">
        <f>VLOOKUP(B194,[2]Sheet1!$B:$D,3,0)</f>
        <v>Ahmed Samir Ibrahim</v>
      </c>
      <c r="D194" s="25" t="str">
        <f>VLOOKUP(B194,[2]Sheet1!$B:$H,7,0)</f>
        <v>DM</v>
      </c>
      <c r="E194" s="25">
        <f>VLOOKUP(C194,[2]Sheet1!$B:$M,12,0)</f>
        <v>67</v>
      </c>
      <c r="F194" s="29">
        <v>36620762</v>
      </c>
      <c r="G194" s="31">
        <f>VLOOKUP(A194,[2]Sheet1!$A:$J,10,0)</f>
        <v>1145031677</v>
      </c>
      <c r="H194" s="32">
        <f>VLOOKUP(A194,[2]Sheet1!$A:$K,11,0)</f>
        <v>45263</v>
      </c>
      <c r="I194" s="25" t="str">
        <f>VLOOKUP(A194,[2]Sheet1!$A:$F,6,0)</f>
        <v>General Line</v>
      </c>
      <c r="J194" s="25" t="str">
        <f>VLOOKUP(A194,[2]Sheet1!$A:$L,12,0)</f>
        <v>Ahmed.Ibrahim.AbdelAziz@averroes-eg.com</v>
      </c>
      <c r="K194" s="27" t="str">
        <f>VLOOKUP(A194,[2]Sheet1!$A:$N,14,0)</f>
        <v>El Ebrahemia</v>
      </c>
    </row>
    <row r="195" spans="1:11">
      <c r="A195" s="28">
        <v>1459</v>
      </c>
      <c r="B195" s="34" t="s">
        <v>211</v>
      </c>
      <c r="C195" s="30" t="str">
        <f>VLOOKUP(B195,[2]Sheet1!$B:$C,2,0)</f>
        <v>Ahmed Ibrahim AbdelAziz</v>
      </c>
      <c r="D195" s="25" t="str">
        <f>VLOOKUP(B195,[2]Sheet1!$B:$H,7,0)</f>
        <v>MR</v>
      </c>
      <c r="E195" s="25">
        <f>VLOOKUP(C195,[2]Sheet1!$B:$M,12,0)</f>
        <v>1305</v>
      </c>
      <c r="F195" s="29">
        <v>36620763</v>
      </c>
      <c r="G195" s="31">
        <f>VLOOKUP(A195,[2]Sheet1!$A:$J,10,0)</f>
        <v>1278316472</v>
      </c>
      <c r="H195" s="32">
        <f>VLOOKUP(A195,[2]Sheet1!$A:$K,11,0)</f>
        <v>45600</v>
      </c>
      <c r="I195" s="25" t="str">
        <f>VLOOKUP(A195,[2]Sheet1!$A:$F,6,0)</f>
        <v>General Line</v>
      </c>
      <c r="J195" s="25"/>
      <c r="K195" s="27" t="str">
        <f>VLOOKUP(A195,[2]Sheet1!$A:$N,14,0)</f>
        <v>El Zakazik City</v>
      </c>
    </row>
    <row r="196" spans="1:11">
      <c r="A196" s="28">
        <v>1393</v>
      </c>
      <c r="B196" s="34" t="s">
        <v>212</v>
      </c>
      <c r="C196" s="30" t="str">
        <f>VLOOKUP(B196,[2]Sheet1!$B:$C,2,0)</f>
        <v>Ahmed Ibrahim AbdelAziz</v>
      </c>
      <c r="D196" s="25" t="str">
        <f>VLOOKUP(B196,[2]Sheet1!$B:$H,7,0)</f>
        <v>MR</v>
      </c>
      <c r="E196" s="25">
        <f>VLOOKUP(C196,[2]Sheet1!$B:$M,12,0)</f>
        <v>1305</v>
      </c>
      <c r="F196" s="29">
        <v>36620764</v>
      </c>
      <c r="G196" s="31">
        <f>VLOOKUP(A196,[2]Sheet1!$A:$J,10,0)</f>
        <v>1024592067</v>
      </c>
      <c r="H196" s="32">
        <f>VLOOKUP(A196,[2]Sheet1!$A:$K,11,0)</f>
        <v>45451</v>
      </c>
      <c r="I196" s="25" t="str">
        <f>VLOOKUP(A196,[2]Sheet1!$A:$F,6,0)</f>
        <v>General Line</v>
      </c>
      <c r="J196" s="25"/>
      <c r="K196" s="27" t="str">
        <f>VLOOKUP(A196,[2]Sheet1!$A:$N,14,0)</f>
        <v>El Qenayat</v>
      </c>
    </row>
    <row r="197" spans="1:11">
      <c r="A197" s="28">
        <v>1844</v>
      </c>
      <c r="B197" s="34" t="s">
        <v>213</v>
      </c>
      <c r="C197" s="30" t="str">
        <f>VLOOKUP(B197,[2]Sheet1!$B:$C,2,0)</f>
        <v>Ahmed Ibrahim AbdelAziz</v>
      </c>
      <c r="D197" s="25" t="str">
        <f>VLOOKUP(B197,[2]Sheet1!$B:$H,7,0)</f>
        <v>MR</v>
      </c>
      <c r="E197" s="25">
        <f>VLOOKUP(C197,[2]Sheet1!$B:$M,12,0)</f>
        <v>1305</v>
      </c>
      <c r="F197" s="29">
        <v>36620765</v>
      </c>
      <c r="G197" s="31">
        <f>VLOOKUP(A197,[2]Sheet1!$A:$J,10,0)</f>
        <v>1061540283</v>
      </c>
      <c r="H197" s="32">
        <f>VLOOKUP(A197,[2]Sheet1!$A:$K,11,0)</f>
        <v>46054</v>
      </c>
      <c r="I197" s="25" t="str">
        <f>VLOOKUP(A197,[2]Sheet1!$A:$F,6,0)</f>
        <v>General Line</v>
      </c>
      <c r="J197" s="25"/>
      <c r="K197" s="27" t="str">
        <f>VLOOKUP(A197,[2]Sheet1!$A:$N,14,0)</f>
        <v>Banha - Atreeb</v>
      </c>
    </row>
    <row r="198" spans="1:11">
      <c r="A198" s="28">
        <v>1129</v>
      </c>
      <c r="B198" s="34" t="s">
        <v>214</v>
      </c>
      <c r="C198" s="30" t="str">
        <f>VLOOKUP(B198,[2]Sheet1!$B:$C,2,0)</f>
        <v>Ahmed Ibrahim AbdelAziz</v>
      </c>
      <c r="D198" s="25" t="str">
        <f>VLOOKUP(B198,[2]Sheet1!$B:$H,7,0)</f>
        <v>MR</v>
      </c>
      <c r="E198" s="25">
        <f>VLOOKUP(C198,[2]Sheet1!$B:$M,12,0)</f>
        <v>1305</v>
      </c>
      <c r="F198" s="29">
        <v>36620766</v>
      </c>
      <c r="G198" s="31">
        <f>VLOOKUP(A198,[2]Sheet1!$A:$J,10,0)</f>
        <v>1006455230</v>
      </c>
      <c r="H198" s="32">
        <f>VLOOKUP(A198,[2]Sheet1!$A:$K,11,0)</f>
        <v>44961</v>
      </c>
      <c r="I198" s="25" t="str">
        <f>VLOOKUP(A198,[2]Sheet1!$A:$F,6,0)</f>
        <v>General Line</v>
      </c>
      <c r="J198" s="25"/>
      <c r="K198" s="27" t="str">
        <f>VLOOKUP(A198,[2]Sheet1!$A:$N,14,0)</f>
        <v>Fakoos</v>
      </c>
    </row>
    <row r="199" spans="1:11">
      <c r="A199" s="28">
        <v>1550</v>
      </c>
      <c r="B199" s="34" t="s">
        <v>215</v>
      </c>
      <c r="C199" s="30" t="str">
        <f>VLOOKUP(B199,[2]Sheet1!$B:$C,2,0)</f>
        <v>Ahmed Ibrahim AbdelAziz</v>
      </c>
      <c r="D199" s="25" t="str">
        <f>VLOOKUP(B199,[2]Sheet1!$B:$H,7,0)</f>
        <v>MR</v>
      </c>
      <c r="E199" s="25">
        <f>VLOOKUP(C199,[2]Sheet1!$B:$M,12,0)</f>
        <v>1305</v>
      </c>
      <c r="F199" s="29">
        <v>36620768</v>
      </c>
      <c r="G199" s="31">
        <f>VLOOKUP(A199,[2]Sheet1!$A:$J,10,0)</f>
        <v>1000548149</v>
      </c>
      <c r="H199" s="32">
        <f>VLOOKUP(A199,[2]Sheet1!$A:$K,11,0)</f>
        <v>45710</v>
      </c>
      <c r="I199" s="25" t="str">
        <f>VLOOKUP(A199,[2]Sheet1!$A:$F,6,0)</f>
        <v>General Line</v>
      </c>
      <c r="J199" s="25"/>
      <c r="K199" s="27" t="str">
        <f>VLOOKUP(A199,[2]Sheet1!$A:$N,14,0)</f>
        <v>Abo Hammad </v>
      </c>
    </row>
    <row r="200" spans="1:11">
      <c r="A200" s="28">
        <v>1630</v>
      </c>
      <c r="B200" s="34" t="s">
        <v>216</v>
      </c>
      <c r="C200" s="30" t="str">
        <f>VLOOKUP(B200,[2]Sheet1!$B:$C,2,0)</f>
        <v>Sara Gamal Askar</v>
      </c>
      <c r="D200" s="25" t="str">
        <f>VLOOKUP(B200,[2]Sheet1!$B:$H,7,0)</f>
        <v>MR</v>
      </c>
      <c r="E200" s="25">
        <f>VLOOKUP(C200,[2]Sheet1!$B:$M,12,0)</f>
        <v>1397</v>
      </c>
      <c r="F200" s="29">
        <v>36620770</v>
      </c>
      <c r="G200" s="31">
        <f>VLOOKUP(A200,[2]Sheet1!$A:$J,10,0)</f>
        <v>1091310427</v>
      </c>
      <c r="H200" s="32">
        <f>VLOOKUP(A200,[2]Sheet1!$A:$K,11,0)</f>
        <v>45787</v>
      </c>
      <c r="I200" s="25" t="str">
        <f>VLOOKUP(A200,[2]Sheet1!$A:$F,6,0)</f>
        <v>General Line</v>
      </c>
      <c r="J200" s="25"/>
      <c r="K200" s="27" t="str">
        <f>VLOOKUP(A200,[2]Sheet1!$A:$N,14,0)</f>
        <v>Talkha</v>
      </c>
    </row>
    <row r="201" spans="1:11">
      <c r="A201" s="28">
        <v>1505</v>
      </c>
      <c r="B201" s="34" t="s">
        <v>217</v>
      </c>
      <c r="C201" s="30" t="str">
        <f>VLOOKUP(B201,[2]Sheet1!$B:$C,2,0)</f>
        <v>Sara Gamal Askar</v>
      </c>
      <c r="D201" s="25" t="str">
        <f>VLOOKUP(B201,[2]Sheet1!$B:$H,7,0)</f>
        <v>MR</v>
      </c>
      <c r="E201" s="25">
        <f>VLOOKUP(C201,[2]Sheet1!$B:$M,12,0)</f>
        <v>1397</v>
      </c>
      <c r="F201" s="29">
        <v>36620771</v>
      </c>
      <c r="G201" s="31">
        <f>VLOOKUP(A201,[2]Sheet1!$A:$J,10,0)</f>
        <v>1094931576</v>
      </c>
      <c r="H201" s="32">
        <f>VLOOKUP(A201,[2]Sheet1!$A:$K,11,0)</f>
        <v>45675</v>
      </c>
      <c r="I201" s="25" t="str">
        <f>VLOOKUP(A201,[2]Sheet1!$A:$F,6,0)</f>
        <v>General Line</v>
      </c>
      <c r="J201" s="25"/>
      <c r="K201" s="27" t="str">
        <f>VLOOKUP(A201,[2]Sheet1!$A:$N,14,0)</f>
        <v>Meet Ghamr</v>
      </c>
    </row>
    <row r="202" spans="1:11">
      <c r="A202" s="28">
        <v>1536</v>
      </c>
      <c r="B202" s="34" t="s">
        <v>218</v>
      </c>
      <c r="C202" s="30" t="str">
        <f>VLOOKUP(B202,[2]Sheet1!$B:$C,2,0)</f>
        <v>Sara Gamal Askar</v>
      </c>
      <c r="D202" s="25" t="str">
        <f>VLOOKUP(B202,[2]Sheet1!$B:$H,7,0)</f>
        <v>MR</v>
      </c>
      <c r="E202" s="25">
        <f>VLOOKUP(C202,[2]Sheet1!$B:$M,12,0)</f>
        <v>1397</v>
      </c>
      <c r="F202" s="29">
        <v>36620772</v>
      </c>
      <c r="G202" s="31">
        <f>VLOOKUP(A202,[2]Sheet1!$A:$J,10,0)</f>
        <v>1153306405</v>
      </c>
      <c r="H202" s="32">
        <f>VLOOKUP(A202,[2]Sheet1!$A:$K,11,0)</f>
        <v>45697</v>
      </c>
      <c r="I202" s="25" t="str">
        <f>VLOOKUP(A202,[2]Sheet1!$A:$F,6,0)</f>
        <v>General Line</v>
      </c>
      <c r="J202" s="25"/>
      <c r="K202" s="27" t="str">
        <f>VLOOKUP(A202,[2]Sheet1!$A:$N,14,0)</f>
        <v> El Manzala</v>
      </c>
    </row>
    <row r="203" spans="1:11">
      <c r="A203" s="28">
        <v>1553</v>
      </c>
      <c r="B203" s="34" t="s">
        <v>219</v>
      </c>
      <c r="C203" s="30" t="str">
        <f>VLOOKUP(B203,[2]Sheet1!$B:$C,2,0)</f>
        <v>Sara Gamal Askar</v>
      </c>
      <c r="D203" s="25" t="str">
        <f>VLOOKUP(B203,[2]Sheet1!$B:$H,7,0)</f>
        <v>MR</v>
      </c>
      <c r="E203" s="25">
        <f>VLOOKUP(C203,[2]Sheet1!$B:$M,12,0)</f>
        <v>1397</v>
      </c>
      <c r="F203" s="29">
        <v>36620773</v>
      </c>
      <c r="G203" s="31">
        <f>VLOOKUP(A203,[2]Sheet1!$A:$J,10,0)</f>
        <v>1024032081</v>
      </c>
      <c r="H203" s="32">
        <f>VLOOKUP(A203,[2]Sheet1!$A:$K,11,0)</f>
        <v>45710</v>
      </c>
      <c r="I203" s="25" t="str">
        <f>VLOOKUP(A203,[2]Sheet1!$A:$F,6,0)</f>
        <v>General Line</v>
      </c>
      <c r="J203" s="25"/>
      <c r="K203" s="27" t="str">
        <f>VLOOKUP(A203,[2]Sheet1!$A:$N,14,0)</f>
        <v>Port Saed</v>
      </c>
    </row>
    <row r="204" spans="1:11">
      <c r="A204" s="28">
        <v>1620</v>
      </c>
      <c r="B204" s="34" t="s">
        <v>220</v>
      </c>
      <c r="C204" s="30" t="str">
        <f>VLOOKUP(B204,[2]Sheet1!$B:$C,2,0)</f>
        <v>L3_Vacant_Dakahlia &amp; Domiat &amp; Port Said</v>
      </c>
      <c r="D204" s="25" t="str">
        <f>VLOOKUP(B204,[2]Sheet1!$B:$H,7,0)</f>
        <v>MR</v>
      </c>
      <c r="E204" s="25"/>
      <c r="F204" s="29">
        <v>36620774</v>
      </c>
      <c r="G204" s="31">
        <f>VLOOKUP(A204,[2]Sheet1!$A:$J,10,0)</f>
        <v>1065477179</v>
      </c>
      <c r="H204" s="32">
        <f>VLOOKUP(A204,[2]Sheet1!$A:$K,11,0)</f>
        <v>45773</v>
      </c>
      <c r="I204" s="25" t="str">
        <f>VLOOKUP(A204,[2]Sheet1!$A:$F,6,0)</f>
        <v>GI Line</v>
      </c>
      <c r="J204" s="25"/>
      <c r="K204" s="27" t="str">
        <f>VLOOKUP(A204,[2]Sheet1!$A:$N,14,0)</f>
        <v>Domiat</v>
      </c>
    </row>
    <row r="205" spans="1:11">
      <c r="A205" s="28">
        <v>1353</v>
      </c>
      <c r="B205" s="34" t="s">
        <v>221</v>
      </c>
      <c r="C205" s="30" t="str">
        <f>VLOOKUP(B205,[2]Sheet1!$B:$C,2,0)</f>
        <v>L3_Vacant_Dakahlia &amp; Domiat &amp; Port Said</v>
      </c>
      <c r="D205" s="25" t="str">
        <f>VLOOKUP(B205,[2]Sheet1!$B:$H,7,0)</f>
        <v>MR</v>
      </c>
      <c r="E205" s="25"/>
      <c r="F205" s="29">
        <v>36620775</v>
      </c>
      <c r="G205" s="31">
        <f>VLOOKUP(A205,[2]Sheet1!$A:$J,10,0)</f>
        <v>1099063152</v>
      </c>
      <c r="H205" s="32">
        <f>VLOOKUP(A205,[2]Sheet1!$A:$K,11,0)</f>
        <v>45419</v>
      </c>
      <c r="I205" s="25" t="str">
        <f>VLOOKUP(A205,[2]Sheet1!$A:$F,6,0)</f>
        <v>GI Line</v>
      </c>
      <c r="J205" s="25"/>
      <c r="K205" s="27" t="str">
        <f>VLOOKUP(A205,[2]Sheet1!$A:$N,14,0)</f>
        <v>El Senbelaween</v>
      </c>
    </row>
    <row r="206" spans="1:11">
      <c r="A206" s="28">
        <v>1833</v>
      </c>
      <c r="B206" s="34" t="s">
        <v>222</v>
      </c>
      <c r="C206" s="30" t="str">
        <f>VLOOKUP(B206,[2]Sheet1!$B:$C,2,0)</f>
        <v>L3_Vacant_Dakahlia &amp; Domiat &amp; Port Said</v>
      </c>
      <c r="D206" s="25" t="str">
        <f>VLOOKUP(B206,[2]Sheet1!$B:$H,7,0)</f>
        <v>MR</v>
      </c>
      <c r="E206" s="25"/>
      <c r="F206" s="29">
        <v>36620776</v>
      </c>
      <c r="G206" s="31">
        <f>VLOOKUP(A206,[2]Sheet1!$A:$J,10,0)</f>
        <v>1553939282</v>
      </c>
      <c r="H206" s="32">
        <f>VLOOKUP(A206,[2]Sheet1!$A:$K,11,0)</f>
        <v>46037</v>
      </c>
      <c r="I206" s="25" t="str">
        <f>VLOOKUP(A206,[2]Sheet1!$A:$F,6,0)</f>
        <v>GI Line</v>
      </c>
      <c r="J206" s="25"/>
      <c r="K206" s="27" t="str">
        <f>VLOOKUP(A206,[2]Sheet1!$A:$N,14,0)</f>
        <v>El Mansoura</v>
      </c>
    </row>
    <row r="207" spans="1:11">
      <c r="A207" s="28">
        <v>1427</v>
      </c>
      <c r="B207" s="34" t="s">
        <v>223</v>
      </c>
      <c r="C207" s="30" t="str">
        <f>VLOOKUP(B207,[2]Sheet1!$B:$C,2,0)</f>
        <v>L3_Vacant_Dakahlia &amp; Domiat &amp; Port Said</v>
      </c>
      <c r="D207" s="25" t="str">
        <f>VLOOKUP(B207,[2]Sheet1!$B:$H,7,0)</f>
        <v>MR</v>
      </c>
      <c r="E207" s="25"/>
      <c r="F207" s="29">
        <v>36620777</v>
      </c>
      <c r="G207" s="31">
        <f>VLOOKUP(A207,[2]Sheet1!$A:$J,10,0)</f>
        <v>1064761490</v>
      </c>
      <c r="H207" s="32">
        <f>VLOOKUP(A207,[2]Sheet1!$A:$K,11,0)</f>
        <v>45508</v>
      </c>
      <c r="I207" s="25" t="str">
        <f>VLOOKUP(A207,[2]Sheet1!$A:$F,6,0)</f>
        <v>GI Line</v>
      </c>
      <c r="J207" s="25"/>
      <c r="K207" s="27" t="str">
        <f>VLOOKUP(A207,[2]Sheet1!$A:$N,14,0)</f>
        <v>Dekernes</v>
      </c>
    </row>
    <row r="208" spans="1:11">
      <c r="A208" s="28">
        <v>1822</v>
      </c>
      <c r="B208" s="34" t="s">
        <v>224</v>
      </c>
      <c r="C208" s="30" t="str">
        <f>VLOOKUP(B208,[2]Sheet1!$B:$C,2,0)</f>
        <v>L3_Vacant_Dakahlia &amp; Domiat &amp; Port Said</v>
      </c>
      <c r="D208" s="25" t="str">
        <f>VLOOKUP(B208,[2]Sheet1!$B:$H,7,0)</f>
        <v>MR</v>
      </c>
      <c r="E208" s="25"/>
      <c r="F208" s="29">
        <v>36620778</v>
      </c>
      <c r="G208" s="31">
        <f>VLOOKUP(A208,[2]Sheet1!$A:$J,10,0)</f>
        <v>1010699146</v>
      </c>
      <c r="H208" s="32">
        <f>VLOOKUP(A208,[2]Sheet1!$A:$K,11,0)</f>
        <v>46023</v>
      </c>
      <c r="I208" s="25" t="str">
        <f>VLOOKUP(A208,[2]Sheet1!$A:$F,6,0)</f>
        <v>GI Line</v>
      </c>
      <c r="J208" s="25"/>
      <c r="K208" s="27" t="str">
        <f>VLOOKUP(A208,[2]Sheet1!$A:$N,14,0)</f>
        <v>Belkas</v>
      </c>
    </row>
    <row r="209" spans="1:11">
      <c r="A209" s="28">
        <v>336</v>
      </c>
      <c r="B209" s="34" t="s">
        <v>225</v>
      </c>
      <c r="C209" s="30" t="str">
        <f>VLOOKUP(B209,[2]Sheet1!$B:$C,2,0)</f>
        <v>L3_Vacant_Sharkia &amp; Qaluibia</v>
      </c>
      <c r="D209" s="25" t="str">
        <f>VLOOKUP(B209,[2]Sheet1!$B:$H,7,0)</f>
        <v>MR</v>
      </c>
      <c r="E209" s="25"/>
      <c r="F209" s="29">
        <v>36620779</v>
      </c>
      <c r="G209" s="31" t="str">
        <f>VLOOKUP(A209,[2]Sheet1!$A:$J,10,0)</f>
        <v> 01092023642</v>
      </c>
      <c r="H209" s="32">
        <f>VLOOKUP(A209,[2]Sheet1!$A:$K,11,0)</f>
        <v>43160</v>
      </c>
      <c r="I209" s="25" t="str">
        <f>VLOOKUP(A209,[2]Sheet1!$A:$F,6,0)</f>
        <v>GI Line</v>
      </c>
      <c r="J209" s="25"/>
      <c r="K209" s="27" t="str">
        <f>VLOOKUP(A209,[2]Sheet1!$A:$N,14,0)</f>
        <v>Fakoos</v>
      </c>
    </row>
    <row r="210" spans="1:11">
      <c r="A210" s="28">
        <v>487</v>
      </c>
      <c r="B210" s="34" t="s">
        <v>226</v>
      </c>
      <c r="C210" s="30" t="str">
        <f>VLOOKUP(B210,[2]Sheet1!$B:$C,2,0)</f>
        <v>L3_Vacant_Sharkia &amp; Qaluibia</v>
      </c>
      <c r="D210" s="25" t="str">
        <f>VLOOKUP(B210,[2]Sheet1!$B:$H,7,0)</f>
        <v>MR</v>
      </c>
      <c r="E210" s="25"/>
      <c r="F210" s="29">
        <v>36620780</v>
      </c>
      <c r="G210" s="31">
        <f>VLOOKUP(A210,[2]Sheet1!$A:$J,10,0)</f>
        <v>1553010651</v>
      </c>
      <c r="H210" s="32">
        <f>VLOOKUP(A210,[2]Sheet1!$A:$K,11,0)</f>
        <v>43770</v>
      </c>
      <c r="I210" s="25" t="str">
        <f>VLOOKUP(A210,[2]Sheet1!$A:$F,6,0)</f>
        <v>GI Line</v>
      </c>
      <c r="J210" s="25"/>
      <c r="K210" s="27" t="str">
        <f>VLOOKUP(A210,[2]Sheet1!$A:$N,14,0)</f>
        <v>El Zakazik City</v>
      </c>
    </row>
    <row r="211" spans="1:11">
      <c r="A211" s="28">
        <v>1845</v>
      </c>
      <c r="B211" s="34" t="s">
        <v>227</v>
      </c>
      <c r="C211" s="30" t="str">
        <f>VLOOKUP(B211,[2]Sheet1!$B:$C,2,0)</f>
        <v>L3_Vacant_Sharkia &amp; Qaluibia</v>
      </c>
      <c r="D211" s="25" t="str">
        <f>VLOOKUP(B211,[2]Sheet1!$B:$H,7,0)</f>
        <v>MR</v>
      </c>
      <c r="E211" s="25"/>
      <c r="F211" s="29">
        <v>36620781</v>
      </c>
      <c r="G211" s="31">
        <f>VLOOKUP(A211,[2]Sheet1!$A:$J,10,0)</f>
        <v>1221382723</v>
      </c>
      <c r="H211" s="32">
        <f>VLOOKUP(A211,[2]Sheet1!$A:$K,11,0)</f>
        <v>46054</v>
      </c>
      <c r="I211" s="25" t="str">
        <f>VLOOKUP(A211,[2]Sheet1!$A:$F,6,0)</f>
        <v>GI Line</v>
      </c>
      <c r="J211" s="25"/>
      <c r="K211" s="27" t="str">
        <f>VLOOKUP(A211,[2]Sheet1!$A:$N,14,0)</f>
        <v>10 th Ramadan</v>
      </c>
    </row>
    <row r="212" spans="1:11">
      <c r="A212" s="28">
        <v>1412</v>
      </c>
      <c r="B212" s="34" t="s">
        <v>228</v>
      </c>
      <c r="C212" s="30" t="str">
        <f>VLOOKUP(B212,[2]Sheet1!$B:$C,2,0)</f>
        <v>L3_Vacant_Sharkia &amp; Qaluibia</v>
      </c>
      <c r="D212" s="25" t="str">
        <f>VLOOKUP(B212,[2]Sheet1!$B:$H,7,0)</f>
        <v>MR</v>
      </c>
      <c r="E212" s="25"/>
      <c r="F212" s="29">
        <v>36620782</v>
      </c>
      <c r="G212" s="31">
        <f>VLOOKUP(A212,[2]Sheet1!$A:$J,10,0)</f>
        <v>1553034097</v>
      </c>
      <c r="H212" s="32">
        <f>VLOOKUP(A212,[2]Sheet1!$A:$K,11,0)</f>
        <v>45505</v>
      </c>
      <c r="I212" s="25" t="str">
        <f>VLOOKUP(A212,[2]Sheet1!$A:$F,6,0)</f>
        <v>GI Line</v>
      </c>
      <c r="J212" s="25"/>
      <c r="K212" s="27" t="str">
        <f>VLOOKUP(A212,[2]Sheet1!$A:$N,14,0)</f>
        <v>Banha - Atreeb</v>
      </c>
    </row>
    <row r="213" spans="1:11">
      <c r="A213" s="28">
        <v>1530</v>
      </c>
      <c r="B213" s="34" t="s">
        <v>229</v>
      </c>
      <c r="C213" s="30" t="str">
        <f>VLOOKUP(B213,[2]Sheet1!$B:$C,2,0)</f>
        <v>L3_Vacant_Sharkia &amp; Qaluibia</v>
      </c>
      <c r="D213" s="25" t="str">
        <f>VLOOKUP(B213,[2]Sheet1!$B:$H,7,0)</f>
        <v>MR</v>
      </c>
      <c r="E213" s="25"/>
      <c r="F213" s="29">
        <v>36620783</v>
      </c>
      <c r="G213" s="31">
        <f>VLOOKUP(A213,[2]Sheet1!$A:$J,10,0)</f>
        <v>1143237560</v>
      </c>
      <c r="H213" s="32">
        <f>VLOOKUP(A213,[2]Sheet1!$A:$K,11,0)</f>
        <v>45696</v>
      </c>
      <c r="I213" s="25" t="str">
        <f>VLOOKUP(A213,[2]Sheet1!$A:$F,6,0)</f>
        <v>GI Line</v>
      </c>
      <c r="J213" s="25"/>
      <c r="K213" s="27" t="str">
        <f>VLOOKUP(A213,[2]Sheet1!$A:$N,14,0)</f>
        <v>El Zakazik City</v>
      </c>
    </row>
    <row r="214" spans="1:11">
      <c r="A214" s="28">
        <v>1782</v>
      </c>
      <c r="B214" s="34" t="s">
        <v>230</v>
      </c>
      <c r="C214" s="30" t="str">
        <f>VLOOKUP(B214,[2]Sheet1!$B:$C,2,0)</f>
        <v>L3_Vacant_Sharkia &amp; Qaluibia</v>
      </c>
      <c r="D214" s="25" t="str">
        <f>VLOOKUP(B214,[2]Sheet1!$B:$H,7,0)</f>
        <v>MR</v>
      </c>
      <c r="E214" s="25"/>
      <c r="F214" s="29">
        <v>36620784</v>
      </c>
      <c r="G214" s="31">
        <f>VLOOKUP(A214,[2]Sheet1!$A:$J,10,0)</f>
        <v>1033834028</v>
      </c>
      <c r="H214" s="32">
        <f>VLOOKUP(A214,[2]Sheet1!$A:$K,11,0)</f>
        <v>45963</v>
      </c>
      <c r="I214" s="25" t="str">
        <f>VLOOKUP(A214,[2]Sheet1!$A:$F,6,0)</f>
        <v>GI Line</v>
      </c>
      <c r="J214" s="25"/>
      <c r="K214" s="27" t="str">
        <f>VLOOKUP(A214,[2]Sheet1!$A:$N,14,0)</f>
        <v>El Zakazik City</v>
      </c>
    </row>
    <row r="215" spans="1:11">
      <c r="A215" s="28">
        <v>1394</v>
      </c>
      <c r="B215" s="34" t="s">
        <v>231</v>
      </c>
      <c r="C215" s="30" t="str">
        <f>VLOOKUP(B215,[2]Sheet1!$B:$C,2,0)</f>
        <v>L3_Vacant_Sharkia &amp; Qaluibia</v>
      </c>
      <c r="D215" s="25" t="str">
        <f>VLOOKUP(B215,[2]Sheet1!$B:$H,7,0)</f>
        <v>MR</v>
      </c>
      <c r="E215" s="25"/>
      <c r="F215" s="29">
        <v>36620785</v>
      </c>
      <c r="G215" s="31">
        <f>VLOOKUP(A215,[2]Sheet1!$A:$J,10,0)</f>
        <v>1015173557</v>
      </c>
      <c r="H215" s="32">
        <f>VLOOKUP(A215,[2]Sheet1!$A:$K,11,0)</f>
        <v>45452</v>
      </c>
      <c r="I215" s="25" t="str">
        <f>VLOOKUP(A215,[2]Sheet1!$A:$F,6,0)</f>
        <v>GI Line</v>
      </c>
      <c r="J215" s="25"/>
      <c r="K215" s="27" t="str">
        <f>VLOOKUP(A215,[2]Sheet1!$A:$N,14,0)</f>
        <v>Shebien El Kanater</v>
      </c>
    </row>
    <row r="216" spans="1:11">
      <c r="A216" s="28">
        <v>66</v>
      </c>
      <c r="B216" s="34" t="s">
        <v>232</v>
      </c>
      <c r="C216" s="30" t="str">
        <f>VLOOKUP(B216,[2]Sheet1!$B:$E,4,0)</f>
        <v>Ibrahim Ammar</v>
      </c>
      <c r="D216" s="25" t="str">
        <f>VLOOKUP(B216,[2]Sheet1!$B:$H,7,0)</f>
        <v>AM</v>
      </c>
      <c r="E216" s="25">
        <f>VLOOKUP(C216,[2]Sheet1!$B:$M,12,0)</f>
        <v>60</v>
      </c>
      <c r="F216" s="29">
        <v>36620786</v>
      </c>
      <c r="G216" s="31" t="str">
        <f>VLOOKUP(A216,[2]Sheet1!$A:$J,10,0)</f>
        <v> 01013322499</v>
      </c>
      <c r="H216" s="32">
        <f>VLOOKUP(A216,[2]Sheet1!$A:$K,11,0)</f>
        <v>41177</v>
      </c>
      <c r="I216" s="25" t="str">
        <f>VLOOKUP(A216,[2]Sheet1!$A:$F,6,0)</f>
        <v>General Line &amp; GI Line</v>
      </c>
      <c r="J216" s="25" t="str">
        <f>VLOOKUP(A216,[2]Sheet1!$A:$L,12,0)</f>
        <v>ibrahim.elashwah@averroes-eg.com</v>
      </c>
      <c r="K216" s="27" t="str">
        <f>VLOOKUP(A216,[2]Sheet1!$A:$N,14,0)</f>
        <v>Kotour</v>
      </c>
    </row>
    <row r="217" spans="1:11">
      <c r="A217" s="28">
        <v>1603</v>
      </c>
      <c r="B217" s="34" t="s">
        <v>233</v>
      </c>
      <c r="C217" s="30" t="str">
        <f>VLOOKUP(B217,[2]Sheet1!$B:$D,3,0)</f>
        <v>Ibrahim Ali ElAshwah</v>
      </c>
      <c r="D217" s="25" t="str">
        <f>VLOOKUP(B217,[2]Sheet1!$B:$H,7,0)</f>
        <v>DM</v>
      </c>
      <c r="E217" s="25">
        <f>VLOOKUP(C217,[2]Sheet1!$B:$M,12,0)</f>
        <v>66</v>
      </c>
      <c r="F217" s="29">
        <v>36620787</v>
      </c>
      <c r="G217" s="31">
        <f>VLOOKUP(A217,[2]Sheet1!$A:$J,10,0)</f>
        <v>1069120162</v>
      </c>
      <c r="H217" s="32">
        <f>VLOOKUP(A217,[2]Sheet1!$A:$K,11,0)</f>
        <v>45752</v>
      </c>
      <c r="I217" s="25" t="str">
        <f>VLOOKUP(A217,[2]Sheet1!$A:$F,6,0)</f>
        <v>General Line</v>
      </c>
      <c r="J217" s="25" t="str">
        <f>VLOOKUP(A217,[2]Sheet1!$A:$L,12,0)</f>
        <v>Mohamed.Yousef.Mohamed@averroes-eg.com</v>
      </c>
      <c r="K217" s="27" t="str">
        <f>VLOOKUP(A217,[2]Sheet1!$A:$I,9,0)</f>
        <v>Delta</v>
      </c>
    </row>
    <row r="218" spans="1:11">
      <c r="A218" s="28">
        <v>1708</v>
      </c>
      <c r="B218" s="34" t="s">
        <v>234</v>
      </c>
      <c r="C218" s="30" t="str">
        <f>VLOOKUP(B218,[2]Sheet1!$B:$C,2,0)</f>
        <v>Mohamed Yousef Mohamed Elbadawy</v>
      </c>
      <c r="D218" s="25" t="str">
        <f>VLOOKUP(B218,[2]Sheet1!$B:$H,7,0)</f>
        <v>MR</v>
      </c>
      <c r="E218" s="25">
        <f>VLOOKUP(C218,[2]Sheet1!$B:$M,12,0)</f>
        <v>1603</v>
      </c>
      <c r="F218" s="29">
        <v>36620788</v>
      </c>
      <c r="G218" s="31">
        <f>VLOOKUP(A218,[2]Sheet1!$A:$J,10,0)</f>
        <v>1010340921</v>
      </c>
      <c r="H218" s="32">
        <f>VLOOKUP(A218,[2]Sheet1!$A:$K,11,0)</f>
        <v>45845</v>
      </c>
      <c r="I218" s="25" t="str">
        <f>VLOOKUP(A218,[2]Sheet1!$A:$F,6,0)</f>
        <v>General Line</v>
      </c>
      <c r="J218" s="25"/>
      <c r="K218" s="27" t="str">
        <f>VLOOKUP(A218,[2]Sheet1!$A:$N,14,0)</f>
        <v>Basioun</v>
      </c>
    </row>
    <row r="219" spans="1:11">
      <c r="A219" s="28">
        <v>1602</v>
      </c>
      <c r="B219" s="34" t="s">
        <v>235</v>
      </c>
      <c r="C219" s="30" t="str">
        <f>VLOOKUP(B219,[2]Sheet1!$B:$C,2,0)</f>
        <v>Mohamed Yousef Mohamed Elbadawy</v>
      </c>
      <c r="D219" s="25" t="str">
        <f>VLOOKUP(B219,[2]Sheet1!$B:$H,7,0)</f>
        <v>MR</v>
      </c>
      <c r="E219" s="25">
        <f>VLOOKUP(C219,[2]Sheet1!$B:$M,12,0)</f>
        <v>1603</v>
      </c>
      <c r="F219" s="29">
        <v>36620789</v>
      </c>
      <c r="G219" s="31">
        <f>VLOOKUP(A219,[2]Sheet1!$A:$J,10,0)</f>
        <v>1090247333</v>
      </c>
      <c r="H219" s="32">
        <f>VLOOKUP(A219,[2]Sheet1!$A:$K,11,0)</f>
        <v>45752</v>
      </c>
      <c r="I219" s="25" t="str">
        <f>VLOOKUP(A219,[2]Sheet1!$A:$F,6,0)</f>
        <v>General Line</v>
      </c>
      <c r="J219" s="25"/>
      <c r="K219" s="27" t="str">
        <f>VLOOKUP(A219,[2]Sheet1!$A:$N,14,0)</f>
        <v>Shebien El Kom</v>
      </c>
    </row>
    <row r="220" spans="1:11">
      <c r="A220" s="28">
        <v>1868</v>
      </c>
      <c r="B220" s="34" t="s">
        <v>236</v>
      </c>
      <c r="C220" s="30" t="str">
        <f>VLOOKUP(B220,[2]Sheet1!$B:$C,2,0)</f>
        <v>Mohamed Yousef Mohamed Elbadawy</v>
      </c>
      <c r="D220" s="25" t="str">
        <f>VLOOKUP(B220,[2]Sheet1!$B:$H,7,0)</f>
        <v>MR</v>
      </c>
      <c r="E220" s="25">
        <f>VLOOKUP(C220,[2]Sheet1!$B:$M,12,0)</f>
        <v>1603</v>
      </c>
      <c r="F220" s="29">
        <v>36620790</v>
      </c>
      <c r="G220" s="31">
        <f>VLOOKUP(A220,[2]Sheet1!$A:$J,10,0)</f>
        <v>1063435710</v>
      </c>
      <c r="H220" s="32">
        <f>VLOOKUP(A220,[2]Sheet1!$A:$K,11,0)</f>
        <v>46063</v>
      </c>
      <c r="I220" s="25" t="str">
        <f>VLOOKUP(A220,[2]Sheet1!$A:$F,6,0)</f>
        <v>General Line</v>
      </c>
      <c r="J220" s="25"/>
      <c r="K220" s="27" t="str">
        <f>VLOOKUP(A220,[2]Sheet1!$A:$N,14,0)</f>
        <v>El Mahala El Kobra</v>
      </c>
    </row>
    <row r="221" spans="1:11">
      <c r="A221" s="28">
        <v>1859</v>
      </c>
      <c r="B221" s="34" t="s">
        <v>237</v>
      </c>
      <c r="C221" s="30" t="str">
        <f>VLOOKUP(B221,[2]Sheet1!$B:$C,2,0)</f>
        <v>Mohamed Yousef Mohamed Elbadawy</v>
      </c>
      <c r="D221" s="25" t="str">
        <f>VLOOKUP(B221,[2]Sheet1!$B:$H,7,0)</f>
        <v>MR</v>
      </c>
      <c r="E221" s="25">
        <f>VLOOKUP(C221,[2]Sheet1!$B:$M,12,0)</f>
        <v>1603</v>
      </c>
      <c r="F221" s="29">
        <v>36620791</v>
      </c>
      <c r="G221" s="31">
        <f>VLOOKUP(A221,[2]Sheet1!$A:$J,10,0)</f>
        <v>1096567648</v>
      </c>
      <c r="H221" s="32">
        <f>VLOOKUP(A221,[2]Sheet1!$A:$K,11,0)</f>
        <v>46060</v>
      </c>
      <c r="I221" s="25" t="str">
        <f>VLOOKUP(A221,[2]Sheet1!$A:$F,6,0)</f>
        <v>General Line</v>
      </c>
      <c r="J221" s="25"/>
      <c r="K221" s="27" t="str">
        <f>VLOOKUP(A221,[2]Sheet1!$A:$N,14,0)</f>
        <v>Menof</v>
      </c>
    </row>
    <row r="222" spans="1:11">
      <c r="A222" s="28">
        <v>1304</v>
      </c>
      <c r="B222" s="34" t="s">
        <v>238</v>
      </c>
      <c r="C222" s="30" t="str">
        <f>VLOOKUP(B222,[2]Sheet1!$B:$C,2,0)</f>
        <v>Mohamed Yousef Mohamed Elbadawy</v>
      </c>
      <c r="D222" s="25" t="str">
        <f>VLOOKUP(B222,[2]Sheet1!$B:$H,7,0)</f>
        <v>MR</v>
      </c>
      <c r="E222" s="25">
        <f>VLOOKUP(C222,[2]Sheet1!$B:$M,12,0)</f>
        <v>1603</v>
      </c>
      <c r="F222" s="29">
        <v>36620792</v>
      </c>
      <c r="G222" s="31">
        <f>VLOOKUP(A222,[2]Sheet1!$A:$J,10,0)</f>
        <v>1204850554</v>
      </c>
      <c r="H222" s="32">
        <f>VLOOKUP(A222,[2]Sheet1!$A:$K,11,0)</f>
        <v>45262</v>
      </c>
      <c r="I222" s="25" t="str">
        <f>VLOOKUP(A222,[2]Sheet1!$A:$F,6,0)</f>
        <v>General Line</v>
      </c>
      <c r="J222" s="25"/>
      <c r="K222" s="27" t="str">
        <f>VLOOKUP(A222,[2]Sheet1!$A:$N,14,0)</f>
        <v>Kafr El zayat</v>
      </c>
    </row>
    <row r="223" spans="1:11">
      <c r="A223" s="28">
        <v>550</v>
      </c>
      <c r="B223" s="34" t="s">
        <v>239</v>
      </c>
      <c r="C223" s="30" t="str">
        <f>VLOOKUP(B223,[2]Sheet1!$B:$C,2,0)</f>
        <v>Mohamed Yousef Mohamed Elbadawy</v>
      </c>
      <c r="D223" s="25" t="str">
        <f>VLOOKUP(B223,[2]Sheet1!$B:$H,7,0)</f>
        <v>MR</v>
      </c>
      <c r="E223" s="25">
        <f>VLOOKUP(C223,[2]Sheet1!$B:$M,12,0)</f>
        <v>1603</v>
      </c>
      <c r="F223" s="29">
        <v>36620794</v>
      </c>
      <c r="G223" s="31">
        <f>VLOOKUP(A223,[2]Sheet1!$A:$J,10,0)</f>
        <v>1002868312</v>
      </c>
      <c r="H223" s="32">
        <f>VLOOKUP(A223,[2]Sheet1!$A:$K,11,0)</f>
        <v>43851</v>
      </c>
      <c r="I223" s="25" t="str">
        <f>VLOOKUP(A223,[2]Sheet1!$A:$F,6,0)</f>
        <v>General Line</v>
      </c>
      <c r="J223" s="25"/>
      <c r="K223" s="27" t="str">
        <f>VLOOKUP(A223,[2]Sheet1!$A:$N,14,0)</f>
        <v>Shebien El Kom</v>
      </c>
    </row>
    <row r="224" spans="1:11">
      <c r="A224" s="28">
        <v>969</v>
      </c>
      <c r="B224" s="34" t="s">
        <v>240</v>
      </c>
      <c r="C224" s="30" t="str">
        <f>VLOOKUP(B224,[2]Sheet1!$B:$C,2,0)</f>
        <v>Mohamed Yousef Mohamed Elbadawy</v>
      </c>
      <c r="D224" s="25" t="str">
        <f>VLOOKUP(B224,[2]Sheet1!$B:$H,7,0)</f>
        <v>MR</v>
      </c>
      <c r="E224" s="25">
        <f>VLOOKUP(C224,[2]Sheet1!$B:$M,12,0)</f>
        <v>1603</v>
      </c>
      <c r="F224" s="29">
        <v>36620795</v>
      </c>
      <c r="G224" s="31">
        <f>VLOOKUP(A224,[2]Sheet1!$A:$J,10,0)</f>
        <v>1066420067</v>
      </c>
      <c r="H224" s="32">
        <f>VLOOKUP(A224,[2]Sheet1!$A:$K,11,0)</f>
        <v>44710</v>
      </c>
      <c r="I224" s="25" t="str">
        <f>VLOOKUP(A224,[2]Sheet1!$A:$F,6,0)</f>
        <v>General Line</v>
      </c>
      <c r="J224" s="25"/>
      <c r="K224" s="27" t="str">
        <f>VLOOKUP(A224,[2]Sheet1!$A:$N,14,0)</f>
        <v>El Sanata</v>
      </c>
    </row>
    <row r="225" spans="1:11">
      <c r="A225" s="28">
        <v>1041</v>
      </c>
      <c r="B225" s="34" t="s">
        <v>241</v>
      </c>
      <c r="C225" s="30" t="str">
        <f>VLOOKUP(B225,[2]Sheet1!$B:$D,3,0)</f>
        <v>Ibrahim Ali ElAshwah</v>
      </c>
      <c r="D225" s="25" t="str">
        <f>VLOOKUP(B225,[2]Sheet1!$B:$H,7,0)</f>
        <v>DM</v>
      </c>
      <c r="E225" s="25">
        <f>VLOOKUP(C225,[2]Sheet1!$B:$M,12,0)</f>
        <v>66</v>
      </c>
      <c r="F225" s="29">
        <v>36620796</v>
      </c>
      <c r="G225" s="31">
        <f>VLOOKUP(A225,[2]Sheet1!$A:$J,10,0)</f>
        <v>1016324647</v>
      </c>
      <c r="H225" s="32">
        <f>VLOOKUP(A225,[2]Sheet1!$A:$K,11,0)</f>
        <v>44928</v>
      </c>
      <c r="I225" s="25" t="str">
        <f>VLOOKUP(A225,[2]Sheet1!$A:$F,6,0)</f>
        <v>General Line</v>
      </c>
      <c r="J225" s="25" t="str">
        <f>VLOOKUP(A225,[2]Sheet1!$A:$L,12,0)</f>
        <v>Nader.Elsayed.Mahmoud@averroes-eg.com</v>
      </c>
      <c r="K225" s="27" t="str">
        <f>VLOOKUP(A225,[2]Sheet1!$A:$N,14,0)</f>
        <v>Kafr El Shiekh</v>
      </c>
    </row>
    <row r="226" spans="1:11">
      <c r="A226" s="28">
        <v>1828</v>
      </c>
      <c r="B226" s="34" t="s">
        <v>242</v>
      </c>
      <c r="C226" s="30" t="str">
        <f>VLOOKUP(B226,[2]Sheet1!$B:$C,2,0)</f>
        <v>Nader Elsayed Mahmoud</v>
      </c>
      <c r="D226" s="25" t="str">
        <f>VLOOKUP(B226,[2]Sheet1!$B:$H,7,0)</f>
        <v>MR</v>
      </c>
      <c r="E226" s="25">
        <f>VLOOKUP(C226,[2]Sheet1!$B:$M,12,0)</f>
        <v>1041</v>
      </c>
      <c r="F226" s="29">
        <v>36620797</v>
      </c>
      <c r="G226" s="31">
        <f>VLOOKUP(A226,[2]Sheet1!$A:$J,10,0)</f>
        <v>1021209573</v>
      </c>
      <c r="H226" s="32">
        <f>VLOOKUP(A226,[2]Sheet1!$A:$K,11,0)</f>
        <v>46023</v>
      </c>
      <c r="I226" s="25" t="str">
        <f>VLOOKUP(A226,[2]Sheet1!$A:$F,6,0)</f>
        <v>General Line</v>
      </c>
      <c r="J226" s="25"/>
      <c r="K226" s="27" t="str">
        <f>VLOOKUP(A226,[2]Sheet1!$A:$N,14,0)</f>
        <v>Desouk</v>
      </c>
    </row>
    <row r="227" spans="1:11">
      <c r="A227" s="28">
        <v>1522</v>
      </c>
      <c r="B227" s="34" t="s">
        <v>243</v>
      </c>
      <c r="C227" s="30" t="str">
        <f>VLOOKUP(B227,[2]Sheet1!$B:$C,2,0)</f>
        <v>Nader Elsayed Mahmoud</v>
      </c>
      <c r="D227" s="25" t="str">
        <f>VLOOKUP(B227,[2]Sheet1!$B:$H,7,0)</f>
        <v>MR</v>
      </c>
      <c r="E227" s="25">
        <f>VLOOKUP(C227,[2]Sheet1!$B:$M,12,0)</f>
        <v>1041</v>
      </c>
      <c r="F227" s="29">
        <v>36620798</v>
      </c>
      <c r="G227" s="31">
        <f>VLOOKUP(A227,[2]Sheet1!$A:$J,10,0)</f>
        <v>1023216007</v>
      </c>
      <c r="H227" s="32">
        <f>VLOOKUP(A227,[2]Sheet1!$A:$K,11,0)</f>
        <v>45689</v>
      </c>
      <c r="I227" s="25" t="str">
        <f>VLOOKUP(A227,[2]Sheet1!$A:$F,6,0)</f>
        <v>General Line</v>
      </c>
      <c r="J227" s="25"/>
      <c r="K227" s="27" t="str">
        <f>VLOOKUP(A227,[2]Sheet1!$A:$N,14,0)</f>
        <v>Kafr El Shiekh</v>
      </c>
    </row>
    <row r="228" spans="1:11">
      <c r="A228" s="28">
        <v>1552</v>
      </c>
      <c r="B228" s="34" t="s">
        <v>244</v>
      </c>
      <c r="C228" s="30" t="str">
        <f>VLOOKUP(B228,[2]Sheet1!$B:$C,2,0)</f>
        <v>Nader Elsayed Mahmoud</v>
      </c>
      <c r="D228" s="25" t="str">
        <f>VLOOKUP(B228,[2]Sheet1!$B:$H,7,0)</f>
        <v>MR</v>
      </c>
      <c r="E228" s="25">
        <f>VLOOKUP(C228,[2]Sheet1!$B:$M,12,0)</f>
        <v>1041</v>
      </c>
      <c r="F228" s="29">
        <v>36620799</v>
      </c>
      <c r="G228" s="31">
        <f>VLOOKUP(A228,[2]Sheet1!$A:$J,10,0)</f>
        <v>1069136230</v>
      </c>
      <c r="H228" s="32">
        <f>VLOOKUP(A228,[2]Sheet1!$A:$K,11,0)</f>
        <v>45710</v>
      </c>
      <c r="I228" s="25" t="str">
        <f>VLOOKUP(A228,[2]Sheet1!$A:$F,6,0)</f>
        <v>General Line</v>
      </c>
      <c r="J228" s="25"/>
      <c r="K228" s="27" t="str">
        <f>VLOOKUP(A228,[2]Sheet1!$A:$N,14,0)</f>
        <v>Kafr El Shiekh</v>
      </c>
    </row>
    <row r="229" spans="1:11">
      <c r="A229" s="28">
        <v>1762</v>
      </c>
      <c r="B229" s="34" t="s">
        <v>245</v>
      </c>
      <c r="C229" s="30" t="str">
        <f>VLOOKUP(B229,[2]Sheet1!$B:$C,2,0)</f>
        <v>Nader Elsayed Mahmoud</v>
      </c>
      <c r="D229" s="25" t="str">
        <f>VLOOKUP(B229,[2]Sheet1!$B:$H,7,0)</f>
        <v>MR</v>
      </c>
      <c r="E229" s="25">
        <f>VLOOKUP(C229,[2]Sheet1!$B:$M,12,0)</f>
        <v>1041</v>
      </c>
      <c r="F229" s="29">
        <v>36620800</v>
      </c>
      <c r="G229" s="31">
        <f>VLOOKUP(A229,[2]Sheet1!$A:$J,10,0)</f>
        <v>1014947200</v>
      </c>
      <c r="H229" s="32">
        <f>VLOOKUP(A229,[2]Sheet1!$A:$K,11,0)</f>
        <v>45934</v>
      </c>
      <c r="I229" s="25" t="str">
        <f>VLOOKUP(A229,[2]Sheet1!$A:$F,6,0)</f>
        <v>General Line</v>
      </c>
      <c r="J229" s="25"/>
      <c r="K229" s="27" t="str">
        <f>VLOOKUP(A229,[2]Sheet1!$A:$N,14,0)</f>
        <v>Etay El Baroud</v>
      </c>
    </row>
    <row r="230" spans="1:11">
      <c r="A230" s="28">
        <v>1854</v>
      </c>
      <c r="B230" s="34" t="s">
        <v>246</v>
      </c>
      <c r="C230" s="30" t="str">
        <f>VLOOKUP(B230,[2]Sheet1!$B:$C,2,0)</f>
        <v>Nader Elsayed Mahmoud</v>
      </c>
      <c r="D230" s="25" t="str">
        <f>VLOOKUP(B230,[2]Sheet1!$B:$H,7,0)</f>
        <v>MR</v>
      </c>
      <c r="E230" s="25">
        <f>VLOOKUP(C230,[2]Sheet1!$B:$M,12,0)</f>
        <v>1041</v>
      </c>
      <c r="F230" s="29">
        <v>36620801</v>
      </c>
      <c r="G230" s="31">
        <f>VLOOKUP(A230,[2]Sheet1!$A:$J,10,0)</f>
        <v>1090632837</v>
      </c>
      <c r="H230" s="32">
        <f>VLOOKUP(A230,[2]Sheet1!$A:$K,11,0)</f>
        <v>46055</v>
      </c>
      <c r="I230" s="25" t="str">
        <f>VLOOKUP(A230,[2]Sheet1!$A:$F,6,0)</f>
        <v>General Line</v>
      </c>
      <c r="J230" s="25"/>
      <c r="K230" s="27" t="str">
        <f>VLOOKUP(A230,[2]Sheet1!$A:$N,14,0)</f>
        <v>Housh Easa</v>
      </c>
    </row>
    <row r="231" spans="1:11">
      <c r="A231" s="35">
        <v>1829</v>
      </c>
      <c r="B231" s="34" t="s">
        <v>247</v>
      </c>
      <c r="C231" s="30" t="str">
        <f>VLOOKUP(B231,[2]Sheet1!$B:$C,2,0)</f>
        <v>Nader Elsayed Mahmoud</v>
      </c>
      <c r="D231" s="25" t="str">
        <f>VLOOKUP(B231,[2]Sheet1!$B:$H,7,0)</f>
        <v>MR</v>
      </c>
      <c r="E231" s="25">
        <f>VLOOKUP(C231,[2]Sheet1!$B:$M,12,0)</f>
        <v>1041</v>
      </c>
      <c r="F231" s="29">
        <v>36620802</v>
      </c>
      <c r="G231" s="31">
        <f>VLOOKUP(A231,[2]Sheet1!$A:$J,10,0)</f>
        <v>1063231677</v>
      </c>
      <c r="H231" s="32">
        <f>VLOOKUP(A231,[2]Sheet1!$A:$K,11,0)</f>
        <v>46025</v>
      </c>
      <c r="I231" s="25" t="str">
        <f>VLOOKUP(A231,[2]Sheet1!$A:$F,6,0)</f>
        <v>General Line</v>
      </c>
      <c r="J231" s="25"/>
      <c r="K231" s="27" t="str">
        <f>VLOOKUP(A231,[2]Sheet1!$A:$N,14,0)</f>
        <v>Damanhour</v>
      </c>
    </row>
    <row r="232" spans="1:11">
      <c r="A232" s="28">
        <v>1703</v>
      </c>
      <c r="B232" s="34" t="s">
        <v>248</v>
      </c>
      <c r="C232" s="30" t="str">
        <f>VLOOKUP(B232,[2]Sheet1!$B:$C,2,0)</f>
        <v>Nader Elsayed Mahmoud</v>
      </c>
      <c r="D232" s="25" t="str">
        <f>VLOOKUP(B232,[2]Sheet1!$B:$H,7,0)</f>
        <v>MR</v>
      </c>
      <c r="E232" s="25">
        <f>VLOOKUP(C232,[2]Sheet1!$B:$M,12,0)</f>
        <v>1041</v>
      </c>
      <c r="F232" s="29">
        <v>36620803</v>
      </c>
      <c r="G232" s="31">
        <f>VLOOKUP(A232,[2]Sheet1!$A:$J,10,0)</f>
        <v>1018162025</v>
      </c>
      <c r="H232" s="32">
        <f>VLOOKUP(A232,[2]Sheet1!$A:$K,11,0)</f>
        <v>45844</v>
      </c>
      <c r="I232" s="25" t="str">
        <f>VLOOKUP(A232,[2]Sheet1!$A:$F,6,0)</f>
        <v>General Line</v>
      </c>
      <c r="J232" s="25"/>
      <c r="K232" s="27" t="str">
        <f>VLOOKUP(A232,[2]Sheet1!$A:$N,14,0)</f>
        <v>Damanhour</v>
      </c>
    </row>
    <row r="233" spans="1:11">
      <c r="A233" s="28">
        <v>1532</v>
      </c>
      <c r="B233" s="34" t="s">
        <v>249</v>
      </c>
      <c r="C233" s="30" t="str">
        <f>VLOOKUP(B233,[2]Sheet1!$B:$C,2,0)</f>
        <v>Nader Elsayed Mahmoud</v>
      </c>
      <c r="D233" s="25" t="str">
        <f>VLOOKUP(B233,[2]Sheet1!$B:$H,7,0)</f>
        <v>MR</v>
      </c>
      <c r="E233" s="25">
        <f>VLOOKUP(C233,[2]Sheet1!$B:$M,12,0)</f>
        <v>1041</v>
      </c>
      <c r="F233" s="29">
        <v>36620804</v>
      </c>
      <c r="G233" s="31">
        <f>VLOOKUP(A233,[2]Sheet1!$A:$J,10,0)</f>
        <v>1207226923</v>
      </c>
      <c r="H233" s="32">
        <f>VLOOKUP(A233,[2]Sheet1!$A:$K,11,0)</f>
        <v>45696</v>
      </c>
      <c r="I233" s="25" t="str">
        <f>VLOOKUP(A233,[2]Sheet1!$A:$F,6,0)</f>
        <v>General Line</v>
      </c>
      <c r="J233" s="25"/>
      <c r="K233" s="27" t="str">
        <f>VLOOKUP(A233,[2]Sheet1!$A:$N,14,0)</f>
        <v>Kafr El Dawar</v>
      </c>
    </row>
    <row r="234" spans="1:11">
      <c r="A234" s="28">
        <v>784</v>
      </c>
      <c r="B234" s="34" t="s">
        <v>250</v>
      </c>
      <c r="C234" s="30" t="str">
        <f>VLOOKUP(B234,[2]Sheet1!$B:$D,3,0)</f>
        <v>Ibrahim Ali ElAshwah</v>
      </c>
      <c r="D234" s="25" t="str">
        <f>VLOOKUP(B234,[2]Sheet1!$B:$H,7,0)</f>
        <v>DM</v>
      </c>
      <c r="E234" s="25">
        <f>VLOOKUP(C234,[2]Sheet1!$B:$M,12,0)</f>
        <v>66</v>
      </c>
      <c r="F234" s="29">
        <v>36620805</v>
      </c>
      <c r="G234" s="31">
        <f>VLOOKUP(A234,[2]Sheet1!$A:$J,10,0)</f>
        <v>1022162779</v>
      </c>
      <c r="H234" s="32">
        <f>VLOOKUP(A234,[2]Sheet1!$A:$K,11,0)</f>
        <v>44348</v>
      </c>
      <c r="I234" s="25" t="str">
        <f>VLOOKUP(A234,[2]Sheet1!$A:$F,6,0)</f>
        <v>General Line</v>
      </c>
      <c r="J234" s="25" t="str">
        <f>VLOOKUP(A234,[2]Sheet1!$A:$L,12,0)</f>
        <v>Rahma.Mohamed.Shehata@averroes-eg.com</v>
      </c>
      <c r="K234" s="27" t="str">
        <f>VLOOKUP(A234,[2]Sheet1!$A:$N,14,0)</f>
        <v>Moharam Bek</v>
      </c>
    </row>
    <row r="235" spans="1:11">
      <c r="A235" s="28">
        <v>1388</v>
      </c>
      <c r="B235" s="34" t="s">
        <v>251</v>
      </c>
      <c r="C235" s="30" t="str">
        <f>VLOOKUP(B235,[2]Sheet1!$B:$C,2,0)</f>
        <v>Rahma Mohamed Shehata</v>
      </c>
      <c r="D235" s="25" t="str">
        <f>VLOOKUP(B235,[2]Sheet1!$B:$H,7,0)</f>
        <v>MR</v>
      </c>
      <c r="E235" s="25">
        <f>VLOOKUP(C235,[2]Sheet1!$B:$M,12,0)</f>
        <v>784</v>
      </c>
      <c r="F235" s="29">
        <v>36620806</v>
      </c>
      <c r="G235" s="31">
        <f>VLOOKUP(A235,[2]Sheet1!$A:$J,10,0)</f>
        <v>1222357698</v>
      </c>
      <c r="H235" s="32">
        <f>VLOOKUP(A235,[2]Sheet1!$A:$K,11,0)</f>
        <v>45449</v>
      </c>
      <c r="I235" s="25" t="str">
        <f>VLOOKUP(A235,[2]Sheet1!$A:$F,6,0)</f>
        <v>General Line</v>
      </c>
      <c r="J235" s="25"/>
      <c r="K235" s="27" t="str">
        <f>VLOOKUP(A235,[2]Sheet1!$A:$N,14,0)</f>
        <v>Sidi Beshr Kebly</v>
      </c>
    </row>
    <row r="236" spans="1:11">
      <c r="A236" s="28">
        <v>1542</v>
      </c>
      <c r="B236" s="34" t="s">
        <v>252</v>
      </c>
      <c r="C236" s="30" t="str">
        <f>VLOOKUP(B236,[2]Sheet1!$B:$C,2,0)</f>
        <v>Rahma Mohamed Shehata</v>
      </c>
      <c r="D236" s="25" t="str">
        <f>VLOOKUP(B236,[2]Sheet1!$B:$H,7,0)</f>
        <v>MR</v>
      </c>
      <c r="E236" s="25">
        <f>VLOOKUP(C236,[2]Sheet1!$B:$M,12,0)</f>
        <v>784</v>
      </c>
      <c r="F236" s="29">
        <v>36620807</v>
      </c>
      <c r="G236" s="31">
        <f>VLOOKUP(A236,[2]Sheet1!$A:$J,10,0)</f>
        <v>1278461301</v>
      </c>
      <c r="H236" s="32">
        <f>VLOOKUP(A236,[2]Sheet1!$A:$K,11,0)</f>
        <v>45703</v>
      </c>
      <c r="I236" s="25" t="str">
        <f>VLOOKUP(A236,[2]Sheet1!$A:$F,6,0)</f>
        <v>General Line</v>
      </c>
      <c r="J236" s="25"/>
      <c r="K236" s="27" t="str">
        <f>VLOOKUP(A236,[2]Sheet1!$A:$N,14,0)</f>
        <v> Abo Talaat</v>
      </c>
    </row>
    <row r="237" spans="1:11">
      <c r="A237" s="28">
        <v>1840</v>
      </c>
      <c r="B237" s="34" t="s">
        <v>253</v>
      </c>
      <c r="C237" s="30" t="str">
        <f>VLOOKUP(B237,[2]Sheet1!$B:$C,2,0)</f>
        <v>Rahma Mohamed Shehata</v>
      </c>
      <c r="D237" s="25" t="str">
        <f>VLOOKUP(B237,[2]Sheet1!$B:$H,7,0)</f>
        <v>MR</v>
      </c>
      <c r="E237" s="25">
        <f>VLOOKUP(C237,[2]Sheet1!$B:$M,12,0)</f>
        <v>784</v>
      </c>
      <c r="F237" s="29">
        <v>36620808</v>
      </c>
      <c r="G237" s="31">
        <f>VLOOKUP(A237,[2]Sheet1!$A:$J,10,0)</f>
        <v>1063409352</v>
      </c>
      <c r="H237" s="32">
        <f>VLOOKUP(A237,[2]Sheet1!$A:$K,11,0)</f>
        <v>46042</v>
      </c>
      <c r="I237" s="25" t="str">
        <f>VLOOKUP(A237,[2]Sheet1!$A:$F,6,0)</f>
        <v>General Line</v>
      </c>
      <c r="J237" s="25"/>
      <c r="K237" s="27" t="str">
        <f>VLOOKUP(A237,[2]Sheet1!$A:$N,14,0)</f>
        <v>Sidi Beshr Kebly</v>
      </c>
    </row>
    <row r="238" spans="1:11">
      <c r="A238" s="28">
        <v>1832</v>
      </c>
      <c r="B238" s="34" t="s">
        <v>254</v>
      </c>
      <c r="C238" s="30" t="str">
        <f>VLOOKUP(B238,[2]Sheet1!$B:$C,2,0)</f>
        <v>Rahma Mohamed Shehata</v>
      </c>
      <c r="D238" s="25" t="str">
        <f>VLOOKUP(B238,[2]Sheet1!$B:$H,7,0)</f>
        <v>MR</v>
      </c>
      <c r="E238" s="25">
        <f>VLOOKUP(C238,[2]Sheet1!$B:$M,12,0)</f>
        <v>784</v>
      </c>
      <c r="F238" s="29">
        <v>36620809</v>
      </c>
      <c r="G238" s="31">
        <f>VLOOKUP(A238,[2]Sheet1!$A:$J,10,0)</f>
        <v>1205032441</v>
      </c>
      <c r="H238" s="32">
        <f>VLOOKUP(A238,[2]Sheet1!$A:$K,11,0)</f>
        <v>46025</v>
      </c>
      <c r="I238" s="25" t="str">
        <f>VLOOKUP(A238,[2]Sheet1!$A:$F,6,0)</f>
        <v>General Line</v>
      </c>
      <c r="J238" s="25"/>
      <c r="K238" s="27" t="str">
        <f>VLOOKUP(A238,[2]Sheet1!$A:$N,14,0)</f>
        <v>El Hadra El Gededa</v>
      </c>
    </row>
    <row r="239" spans="1:11">
      <c r="A239" s="28">
        <v>1038</v>
      </c>
      <c r="B239" s="34" t="s">
        <v>255</v>
      </c>
      <c r="C239" s="30" t="str">
        <f>VLOOKUP(B239,[2]Sheet1!$B:$D,3,0)</f>
        <v>Ibrahim Ali ElAshwah</v>
      </c>
      <c r="D239" s="25" t="str">
        <f>VLOOKUP(B239,[2]Sheet1!$B:$H,7,0)</f>
        <v>DM</v>
      </c>
      <c r="E239" s="25">
        <f>VLOOKUP(C239,[2]Sheet1!$B:$M,12,0)</f>
        <v>66</v>
      </c>
      <c r="F239" s="29">
        <v>36620810</v>
      </c>
      <c r="G239" s="31" t="str">
        <f>VLOOKUP(A239,[2]Sheet1!$A:$J,10,0)</f>
        <v> 01001255198</v>
      </c>
      <c r="H239" s="32">
        <f>VLOOKUP(A239,[2]Sheet1!$A:$K,11,0)</f>
        <v>44927</v>
      </c>
      <c r="I239" s="25" t="str">
        <f>VLOOKUP(A239,[2]Sheet1!$A:$F,6,0)</f>
        <v>GI Line</v>
      </c>
      <c r="J239" s="25"/>
      <c r="K239" s="27" t="str">
        <f>VLOOKUP(A239,[2]Sheet1!$A:$N,14,0)</f>
        <v>El Mahala El Kobra</v>
      </c>
    </row>
    <row r="240" spans="1:11">
      <c r="A240" s="28">
        <v>1533</v>
      </c>
      <c r="B240" s="34" t="s">
        <v>256</v>
      </c>
      <c r="C240" s="30" t="str">
        <f>VLOOKUP(B240,[2]Sheet1!$B:$C,2,0)</f>
        <v>Esraa Hassan Ibrahim</v>
      </c>
      <c r="D240" s="25" t="str">
        <f>VLOOKUP(B240,[2]Sheet1!$B:$H,7,0)</f>
        <v>MR</v>
      </c>
      <c r="E240" s="25">
        <f>VLOOKUP(C240,[2]Sheet1!$B:$M,12,0)</f>
        <v>1038</v>
      </c>
      <c r="F240" s="29">
        <v>36620811</v>
      </c>
      <c r="G240" s="31">
        <f>VLOOKUP(A240,[2]Sheet1!$A:$J,10,0)</f>
        <v>1276158599</v>
      </c>
      <c r="H240" s="32">
        <f>VLOOKUP(A240,[2]Sheet1!$A:$K,11,0)</f>
        <v>45696</v>
      </c>
      <c r="I240" s="25" t="str">
        <f>VLOOKUP(A240,[2]Sheet1!$A:$F,6,0)</f>
        <v>GI Line</v>
      </c>
      <c r="J240" s="25"/>
      <c r="K240" s="27" t="str">
        <f>VLOOKUP(A240,[2]Sheet1!$A:$N,14,0)</f>
        <v>Shebien El Kom</v>
      </c>
    </row>
    <row r="241" spans="1:11">
      <c r="A241" s="28">
        <v>956</v>
      </c>
      <c r="B241" s="34" t="s">
        <v>257</v>
      </c>
      <c r="C241" s="30" t="str">
        <f>VLOOKUP(B241,[2]Sheet1!$B:$C,2,0)</f>
        <v>Esraa Hassan Ibrahim</v>
      </c>
      <c r="D241" s="25" t="str">
        <f>VLOOKUP(B241,[2]Sheet1!$B:$H,7,0)</f>
        <v>MR</v>
      </c>
      <c r="E241" s="25">
        <f>VLOOKUP(C241,[2]Sheet1!$B:$M,12,0)</f>
        <v>1038</v>
      </c>
      <c r="F241" s="29">
        <v>36620812</v>
      </c>
      <c r="G241" s="31">
        <f>VLOOKUP(A241,[2]Sheet1!$A:$J,10,0)</f>
        <v>1096781188</v>
      </c>
      <c r="H241" s="32">
        <f>VLOOKUP(A241,[2]Sheet1!$A:$K,11,0)</f>
        <v>44625</v>
      </c>
      <c r="I241" s="25" t="str">
        <f>VLOOKUP(A241,[2]Sheet1!$A:$F,6,0)</f>
        <v>GI Line</v>
      </c>
      <c r="J241" s="25"/>
      <c r="K241" s="27" t="str">
        <f>VLOOKUP(A241,[2]Sheet1!$A:$N,14,0)</f>
        <v>El Sanata</v>
      </c>
    </row>
    <row r="242" spans="1:11">
      <c r="A242" s="28">
        <v>1485</v>
      </c>
      <c r="B242" s="34" t="s">
        <v>258</v>
      </c>
      <c r="C242" s="30" t="str">
        <f>VLOOKUP(B242,[2]Sheet1!$B:$C,2,0)</f>
        <v>Esraa Hassan Ibrahim</v>
      </c>
      <c r="D242" s="25" t="str">
        <f>VLOOKUP(B242,[2]Sheet1!$B:$H,7,0)</f>
        <v>MR</v>
      </c>
      <c r="E242" s="25">
        <f>VLOOKUP(C242,[2]Sheet1!$B:$M,12,0)</f>
        <v>1038</v>
      </c>
      <c r="F242" s="29">
        <v>36620813</v>
      </c>
      <c r="G242" s="31">
        <f>VLOOKUP(A242,[2]Sheet1!$A:$J,10,0)</f>
        <v>1552197356</v>
      </c>
      <c r="H242" s="32">
        <f>VLOOKUP(A242,[2]Sheet1!$A:$K,11,0)</f>
        <v>45658</v>
      </c>
      <c r="I242" s="25" t="str">
        <f>VLOOKUP(A242,[2]Sheet1!$A:$F,6,0)</f>
        <v>GI Line</v>
      </c>
      <c r="J242" s="25"/>
      <c r="K242" s="27" t="str">
        <f>VLOOKUP(A242,[2]Sheet1!$A:$I,9,0)</f>
        <v>Delta</v>
      </c>
    </row>
    <row r="243" spans="1:11">
      <c r="A243" s="28">
        <v>1866</v>
      </c>
      <c r="B243" s="34" t="s">
        <v>259</v>
      </c>
      <c r="C243" s="30" t="str">
        <f>VLOOKUP(B243,[2]Sheet1!$B:$C,2,0)</f>
        <v>Esraa Hassan Ibrahim</v>
      </c>
      <c r="D243" s="25" t="str">
        <f>VLOOKUP(B243,[2]Sheet1!$B:$H,7,0)</f>
        <v>MR</v>
      </c>
      <c r="E243" s="25">
        <f>VLOOKUP(C243,[2]Sheet1!$B:$M,12,0)</f>
        <v>1038</v>
      </c>
      <c r="F243" s="29">
        <v>36620814</v>
      </c>
      <c r="G243" s="31">
        <f>VLOOKUP(A243,[2]Sheet1!$A:$J,10,0)</f>
        <v>1108669897</v>
      </c>
      <c r="H243" s="32">
        <f>VLOOKUP(A243,[2]Sheet1!$A:$K,11,0)</f>
        <v>46061</v>
      </c>
      <c r="I243" s="25" t="str">
        <f>VLOOKUP(A243,[2]Sheet1!$A:$F,6,0)</f>
        <v>GI Line</v>
      </c>
      <c r="J243" s="25"/>
      <c r="K243" s="27" t="str">
        <f>VLOOKUP(A243,[2]Sheet1!$A:$N,14,0)</f>
        <v>Shebien El Kom</v>
      </c>
    </row>
    <row r="244" spans="1:11">
      <c r="A244" s="28">
        <v>1011</v>
      </c>
      <c r="B244" s="34" t="s">
        <v>260</v>
      </c>
      <c r="C244" s="30" t="str">
        <f>VLOOKUP(B244,[2]Sheet1!$B:$C,2,0)</f>
        <v>Esraa Hassan Ibrahim</v>
      </c>
      <c r="D244" s="25" t="str">
        <f>VLOOKUP(B244,[2]Sheet1!$B:$H,7,0)</f>
        <v>MR</v>
      </c>
      <c r="E244" s="25">
        <f>VLOOKUP(C244,[2]Sheet1!$B:$M,12,0)</f>
        <v>1038</v>
      </c>
      <c r="F244" s="29">
        <v>36620815</v>
      </c>
      <c r="G244" s="31">
        <f>VLOOKUP(A244,[2]Sheet1!$A:$J,10,0)</f>
        <v>1033948887</v>
      </c>
      <c r="H244" s="32">
        <f>VLOOKUP(A244,[2]Sheet1!$A:$K,11,0)</f>
        <v>44851</v>
      </c>
      <c r="I244" s="25" t="str">
        <f>VLOOKUP(A244,[2]Sheet1!$A:$F,6,0)</f>
        <v>GI Line</v>
      </c>
      <c r="J244" s="25"/>
      <c r="K244" s="27" t="str">
        <f>VLOOKUP(A244,[2]Sheet1!$A:$N,14,0)</f>
        <v>El Mahala El Kobra</v>
      </c>
    </row>
    <row r="245" spans="1:11">
      <c r="A245" s="28">
        <v>1701</v>
      </c>
      <c r="B245" s="34" t="s">
        <v>261</v>
      </c>
      <c r="C245" s="30" t="str">
        <f>VLOOKUP(B245,[2]Sheet1!$B:$C,2,0)</f>
        <v>Esraa Hassan Ibrahim</v>
      </c>
      <c r="D245" s="25" t="str">
        <f>VLOOKUP(B245,[2]Sheet1!$B:$H,7,0)</f>
        <v>MR</v>
      </c>
      <c r="E245" s="25">
        <f>VLOOKUP(C245,[2]Sheet1!$B:$M,12,0)</f>
        <v>1038</v>
      </c>
      <c r="F245" s="29">
        <v>36620816</v>
      </c>
      <c r="G245" s="31">
        <f>VLOOKUP(A245,[2]Sheet1!$A:$J,10,0)</f>
        <v>1070859552</v>
      </c>
      <c r="H245" s="32">
        <f>VLOOKUP(A245,[2]Sheet1!$A:$K,11,0)</f>
        <v>45822</v>
      </c>
      <c r="I245" s="25" t="str">
        <f>VLOOKUP(A245,[2]Sheet1!$A:$F,6,0)</f>
        <v>GI Line</v>
      </c>
      <c r="J245" s="25"/>
      <c r="K245" s="27" t="str">
        <f>VLOOKUP(A245,[2]Sheet1!$A:$N,14,0)</f>
        <v>Menof</v>
      </c>
    </row>
    <row r="246" spans="1:11">
      <c r="A246" s="28">
        <v>1538</v>
      </c>
      <c r="B246" s="34" t="s">
        <v>262</v>
      </c>
      <c r="C246" s="30" t="str">
        <f>VLOOKUP(B246,[2]Sheet1!$B:$C,2,0)</f>
        <v>Esraa Hassan Ibrahim</v>
      </c>
      <c r="D246" s="25" t="str">
        <f>VLOOKUP(B246,[2]Sheet1!$B:$H,7,0)</f>
        <v>MR</v>
      </c>
      <c r="E246" s="25">
        <f>VLOOKUP(C246,[2]Sheet1!$B:$M,12,0)</f>
        <v>1038</v>
      </c>
      <c r="F246" s="29">
        <v>36620819</v>
      </c>
      <c r="G246" s="31">
        <f>VLOOKUP(A246,[2]Sheet1!$A:$J,10,0)</f>
        <v>1205425576</v>
      </c>
      <c r="H246" s="32">
        <f>VLOOKUP(A246,[2]Sheet1!$A:$K,11,0)</f>
        <v>45697</v>
      </c>
      <c r="I246" s="25" t="str">
        <f>VLOOKUP(A246,[2]Sheet1!$A:$F,6,0)</f>
        <v>GI Line</v>
      </c>
      <c r="J246" s="25"/>
      <c r="K246" s="27" t="str">
        <f>VLOOKUP(A246,[2]Sheet1!$A:$N,14,0)</f>
        <v>Tanta City</v>
      </c>
    </row>
    <row r="247" spans="1:11">
      <c r="A247" s="28">
        <v>280</v>
      </c>
      <c r="B247" s="34" t="s">
        <v>263</v>
      </c>
      <c r="C247" s="30" t="str">
        <f>VLOOKUP(B247,[2]Sheet1!$B:$D,3,0)</f>
        <v>Ibrahim Ali ElAshwah</v>
      </c>
      <c r="D247" s="25" t="str">
        <f>VLOOKUP(B247,[2]Sheet1!$B:$H,7,0)</f>
        <v>DM</v>
      </c>
      <c r="E247" s="25">
        <f>VLOOKUP(C247,[2]Sheet1!$B:$M,12,0)</f>
        <v>66</v>
      </c>
      <c r="F247" s="29">
        <v>36620820</v>
      </c>
      <c r="G247" s="31" t="str">
        <f>VLOOKUP(A247,[2]Sheet1!$A:$J,10,0)</f>
        <v> 01273889796</v>
      </c>
      <c r="H247" s="32">
        <f>VLOOKUP(A247,[2]Sheet1!$A:$K,11,0)</f>
        <v>43202</v>
      </c>
      <c r="I247" s="25" t="str">
        <f>VLOOKUP(A247,[2]Sheet1!$A:$F,6,0)</f>
        <v>GI Line</v>
      </c>
      <c r="J247" s="25" t="str">
        <f>VLOOKUP(A247,[2]Sheet1!$A:$L,12,0)</f>
        <v>kerelis.naguib@averroes-eg.com</v>
      </c>
      <c r="K247" s="27" t="str">
        <f>VLOOKUP(A247,[2]Sheet1!$A:$N,14,0)</f>
        <v>Moharam Bek</v>
      </c>
    </row>
    <row r="248" spans="1:11">
      <c r="A248" s="28">
        <v>1421</v>
      </c>
      <c r="B248" s="34" t="s">
        <v>264</v>
      </c>
      <c r="C248" s="30" t="str">
        <f>VLOOKUP(B248,[2]Sheet1!$B:$C,2,0)</f>
        <v>Kyrollos Naguib Fakhry</v>
      </c>
      <c r="D248" s="25" t="str">
        <f>VLOOKUP(B248,[2]Sheet1!$B:$H,7,0)</f>
        <v>MR</v>
      </c>
      <c r="E248" s="25">
        <f>VLOOKUP(C248,[2]Sheet1!$B:$M,12,0)</f>
        <v>280</v>
      </c>
      <c r="F248" s="29">
        <v>36620822</v>
      </c>
      <c r="G248" s="31">
        <f>VLOOKUP(A248,[2]Sheet1!$A:$J,10,0)</f>
        <v>1061838590</v>
      </c>
      <c r="H248" s="32">
        <f>VLOOKUP(A248,[2]Sheet1!$A:$K,11,0)</f>
        <v>45512</v>
      </c>
      <c r="I248" s="25" t="str">
        <f>VLOOKUP(A248,[2]Sheet1!$A:$F,6,0)</f>
        <v>GI Line</v>
      </c>
      <c r="J248" s="25"/>
      <c r="K248" s="27" t="str">
        <f>VLOOKUP(A248,[2]Sheet1!$A:$N,14,0)</f>
        <v>El Falaky (Alex)</v>
      </c>
    </row>
    <row r="249" spans="1:11">
      <c r="A249" s="28">
        <v>1403</v>
      </c>
      <c r="B249" s="34" t="s">
        <v>265</v>
      </c>
      <c r="C249" s="30" t="str">
        <f>VLOOKUP(B249,[2]Sheet1!$B:$C,2,0)</f>
        <v>Kyrollos Naguib Fakhry</v>
      </c>
      <c r="D249" s="25" t="str">
        <f>VLOOKUP(B249,[2]Sheet1!$B:$H,7,0)</f>
        <v>MR</v>
      </c>
      <c r="E249" s="25">
        <f>VLOOKUP(C249,[2]Sheet1!$B:$M,12,0)</f>
        <v>280</v>
      </c>
      <c r="F249" s="29">
        <v>36620824</v>
      </c>
      <c r="G249" s="31">
        <f>VLOOKUP(A249,[2]Sheet1!$A:$J,10,0)</f>
        <v>1551375572</v>
      </c>
      <c r="H249" s="32">
        <f>VLOOKUP(A249,[2]Sheet1!$A:$K,11,0)</f>
        <v>45474</v>
      </c>
      <c r="I249" s="25" t="str">
        <f>VLOOKUP(A249,[2]Sheet1!$A:$F,6,0)</f>
        <v>GI Line</v>
      </c>
      <c r="J249" s="25"/>
      <c r="K249" s="27" t="str">
        <f>VLOOKUP(A249,[2]Sheet1!$A:$N,14,0)</f>
        <v>Moharam Bek</v>
      </c>
    </row>
    <row r="250" spans="1:11">
      <c r="A250" s="28">
        <v>1057</v>
      </c>
      <c r="B250" s="34" t="s">
        <v>266</v>
      </c>
      <c r="C250" s="30" t="str">
        <f>VLOOKUP(B250,[2]Sheet1!$B:$C,2,0)</f>
        <v>Kyrollos Naguib Fakhry</v>
      </c>
      <c r="D250" s="25" t="str">
        <f>VLOOKUP(B250,[2]Sheet1!$B:$H,7,0)</f>
        <v>MR</v>
      </c>
      <c r="E250" s="25">
        <f>VLOOKUP(C250,[2]Sheet1!$B:$M,12,0)</f>
        <v>280</v>
      </c>
      <c r="F250" s="29">
        <v>36620826</v>
      </c>
      <c r="G250" s="31" t="str">
        <f>VLOOKUP(A250,[2]Sheet1!$A:$J,10,0)</f>
        <v> 01111760452</v>
      </c>
      <c r="H250" s="32">
        <f>VLOOKUP(A250,[2]Sheet1!$A:$K,11,0)</f>
        <v>44933</v>
      </c>
      <c r="I250" s="25" t="str">
        <f>VLOOKUP(A250,[2]Sheet1!$A:$F,6,0)</f>
        <v>GI Line</v>
      </c>
      <c r="J250" s="25"/>
      <c r="K250" s="27" t="str">
        <f>VLOOKUP(A250,[2]Sheet1!$A:$N,14,0)</f>
        <v>Karmous - Kom El Shoafa</v>
      </c>
    </row>
    <row r="251" spans="1:11">
      <c r="A251" s="28">
        <v>1579</v>
      </c>
      <c r="B251" s="34" t="s">
        <v>267</v>
      </c>
      <c r="C251" s="30" t="str">
        <f>VLOOKUP(B251,[2]Sheet1!$B:$C,2,0)</f>
        <v>Kyrollos Naguib Fakhry</v>
      </c>
      <c r="D251" s="25" t="str">
        <f>VLOOKUP(B251,[2]Sheet1!$B:$H,7,0)</f>
        <v>MR</v>
      </c>
      <c r="E251" s="25">
        <f>VLOOKUP(C251,[2]Sheet1!$B:$M,12,0)</f>
        <v>280</v>
      </c>
      <c r="F251" s="29">
        <v>36620827</v>
      </c>
      <c r="G251" s="31">
        <f>VLOOKUP(A251,[2]Sheet1!$A:$J,10,0)</f>
        <v>1000983428</v>
      </c>
      <c r="H251" s="32">
        <f>VLOOKUP(A251,[2]Sheet1!$A:$K,11,0)</f>
        <v>45720</v>
      </c>
      <c r="I251" s="25" t="str">
        <f>VLOOKUP(A251,[2]Sheet1!$A:$F,6,0)</f>
        <v>GI Line</v>
      </c>
      <c r="J251" s="25"/>
      <c r="K251" s="27" t="str">
        <f>VLOOKUP(A251,[2]Sheet1!$A:$N,14,0)</f>
        <v>Baccos - El Raml El Meery</v>
      </c>
    </row>
    <row r="252" spans="1:11">
      <c r="A252" s="28">
        <v>1540</v>
      </c>
      <c r="B252" s="34" t="s">
        <v>268</v>
      </c>
      <c r="C252" s="30" t="str">
        <f>VLOOKUP(B252,[2]Sheet1!$B:$C,2,0)</f>
        <v>Kyrollos Naguib Fakhry</v>
      </c>
      <c r="D252" s="25" t="str">
        <f>VLOOKUP(B252,[2]Sheet1!$B:$H,7,0)</f>
        <v>MR</v>
      </c>
      <c r="E252" s="25">
        <f>VLOOKUP(C252,[2]Sheet1!$B:$M,12,0)</f>
        <v>280</v>
      </c>
      <c r="F252" s="29">
        <v>36620828</v>
      </c>
      <c r="G252" s="31">
        <f>VLOOKUP(A252,[2]Sheet1!$A:$J,10,0)</f>
        <v>1025704989</v>
      </c>
      <c r="H252" s="32">
        <f>VLOOKUP(A252,[2]Sheet1!$A:$K,11,0)</f>
        <v>45699</v>
      </c>
      <c r="I252" s="25" t="str">
        <f>VLOOKUP(A252,[2]Sheet1!$A:$F,6,0)</f>
        <v>GI Line</v>
      </c>
      <c r="J252" s="25"/>
      <c r="K252" s="27" t="str">
        <f>VLOOKUP(A252,[2]Sheet1!$A:$N,14,0)</f>
        <v>El Laban</v>
      </c>
    </row>
    <row r="253" spans="1:11">
      <c r="A253" s="28">
        <v>1316</v>
      </c>
      <c r="B253" s="34" t="s">
        <v>269</v>
      </c>
      <c r="C253" s="30" t="str">
        <f>VLOOKUP(B253,[2]Sheet1!$B:$D,3,0)</f>
        <v>Ibrahim Ali ElAshwah</v>
      </c>
      <c r="D253" s="25" t="str">
        <f>VLOOKUP(B253,[2]Sheet1!$B:$H,7,0)</f>
        <v>DM</v>
      </c>
      <c r="E253" s="25">
        <f>VLOOKUP(C253,[2]Sheet1!$B:$M,12,0)</f>
        <v>66</v>
      </c>
      <c r="F253" s="29">
        <v>36620829</v>
      </c>
      <c r="G253" s="31">
        <f>VLOOKUP(A253,[2]Sheet1!$A:$J,10,0)</f>
        <v>1020097433</v>
      </c>
      <c r="H253" s="32">
        <f>VLOOKUP(A253,[2]Sheet1!$A:$K,11,0)</f>
        <v>45269</v>
      </c>
      <c r="I253" s="25" t="str">
        <f>VLOOKUP(A253,[2]Sheet1!$A:$F,6,0)</f>
        <v>GI Line</v>
      </c>
      <c r="J253" s="25" t="str">
        <f>VLOOKUP(A253,[2]Sheet1!$A:$L,12,0)</f>
        <v>Salma.Khater@averroes-eg.com</v>
      </c>
      <c r="K253" s="27" t="str">
        <f>VLOOKUP(A253,[2]Sheet1!$A:$N,14,0)</f>
        <v>Shoubra (Damanhour)</v>
      </c>
    </row>
    <row r="254" spans="1:11">
      <c r="A254" s="28">
        <v>1045</v>
      </c>
      <c r="B254" s="34" t="s">
        <v>270</v>
      </c>
      <c r="C254" s="30" t="str">
        <f>VLOOKUP(B254,[2]Sheet1!$B:$C,2,0)</f>
        <v>Salma ElSayed Khater</v>
      </c>
      <c r="D254" s="25" t="str">
        <f>VLOOKUP(B254,[2]Sheet1!$B:$H,7,0)</f>
        <v>MR</v>
      </c>
      <c r="E254" s="25">
        <f>VLOOKUP(C254,[2]Sheet1!$B:$M,12,0)</f>
        <v>1316</v>
      </c>
      <c r="F254" s="29">
        <v>36620831</v>
      </c>
      <c r="G254" s="31" t="str">
        <f>VLOOKUP(A254,[2]Sheet1!$A:$J,10,0)</f>
        <v> 01006833645</v>
      </c>
      <c r="H254" s="32">
        <f>VLOOKUP(A254,[2]Sheet1!$A:$K,11,0)</f>
        <v>44933</v>
      </c>
      <c r="I254" s="25" t="str">
        <f>VLOOKUP(A254,[2]Sheet1!$A:$F,6,0)</f>
        <v>GI Line</v>
      </c>
      <c r="J254" s="25"/>
      <c r="K254" s="27" t="str">
        <f>VLOOKUP(A254,[2]Sheet1!$A:$N,14,0)</f>
        <v>Fowa</v>
      </c>
    </row>
    <row r="255" spans="1:11">
      <c r="A255" s="28">
        <v>1763</v>
      </c>
      <c r="B255" s="34" t="s">
        <v>271</v>
      </c>
      <c r="C255" s="30" t="str">
        <f>VLOOKUP(B255,[2]Sheet1!$B:$C,2,0)</f>
        <v>Salma ElSayed Khater</v>
      </c>
      <c r="D255" s="25" t="str">
        <f>VLOOKUP(B255,[2]Sheet1!$B:$H,7,0)</f>
        <v>MR</v>
      </c>
      <c r="E255" s="25">
        <f>VLOOKUP(C255,[2]Sheet1!$B:$M,12,0)</f>
        <v>1316</v>
      </c>
      <c r="F255" s="29">
        <v>36620832</v>
      </c>
      <c r="G255" s="31">
        <f>VLOOKUP(A255,[2]Sheet1!$A:$J,10,0)</f>
        <v>1559667224</v>
      </c>
      <c r="H255" s="32">
        <f>VLOOKUP(A255,[2]Sheet1!$A:$K,11,0)</f>
        <v>45934</v>
      </c>
      <c r="I255" s="25" t="str">
        <f>VLOOKUP(A255,[2]Sheet1!$A:$F,6,0)</f>
        <v>GI Line</v>
      </c>
      <c r="J255" s="25"/>
      <c r="K255" s="27" t="str">
        <f>VLOOKUP(A255,[2]Sheet1!$A:$N,14,0)</f>
        <v>Damanhour</v>
      </c>
    </row>
    <row r="256" spans="1:11">
      <c r="A256" s="28">
        <v>1855</v>
      </c>
      <c r="B256" s="34" t="s">
        <v>272</v>
      </c>
      <c r="C256" s="30" t="str">
        <f>VLOOKUP(B256,[2]Sheet1!$B:$C,2,0)</f>
        <v>Salma ElSayed Khater</v>
      </c>
      <c r="D256" s="25" t="str">
        <f>VLOOKUP(B256,[2]Sheet1!$B:$H,7,0)</f>
        <v>MR</v>
      </c>
      <c r="E256" s="25">
        <f>VLOOKUP(C256,[2]Sheet1!$B:$M,12,0)</f>
        <v>1316</v>
      </c>
      <c r="F256" s="29">
        <v>36620833</v>
      </c>
      <c r="G256" s="31">
        <f>VLOOKUP(A256,[2]Sheet1!$A:$J,10,0)</f>
        <v>1024347610</v>
      </c>
      <c r="H256" s="32">
        <f>VLOOKUP(A256,[2]Sheet1!$A:$K,11,0)</f>
        <v>46061</v>
      </c>
      <c r="I256" s="25" t="str">
        <f>VLOOKUP(A256,[2]Sheet1!$A:$F,6,0)</f>
        <v>GI Line</v>
      </c>
      <c r="J256" s="25"/>
      <c r="K256" s="27" t="str">
        <f>VLOOKUP(A256,[2]Sheet1!$A:$N,14,0)</f>
        <v>Kafr El Shiekh</v>
      </c>
    </row>
    <row r="257" spans="1:11">
      <c r="A257" s="28">
        <v>1857</v>
      </c>
      <c r="B257" s="34" t="s">
        <v>273</v>
      </c>
      <c r="C257" s="30" t="str">
        <f>VLOOKUP(B257,[2]Sheet1!$B:$C,2,0)</f>
        <v>Salma ElSayed Khater</v>
      </c>
      <c r="D257" s="25" t="str">
        <f>VLOOKUP(B257,[2]Sheet1!$B:$H,7,0)</f>
        <v>MR</v>
      </c>
      <c r="E257" s="25">
        <f>VLOOKUP(C257,[2]Sheet1!$B:$M,12,0)</f>
        <v>1316</v>
      </c>
      <c r="F257" s="29">
        <v>36620834</v>
      </c>
      <c r="G257" s="31">
        <f>VLOOKUP(A257,[2]Sheet1!$A:$J,10,0)</f>
        <v>1027642585</v>
      </c>
      <c r="H257" s="32">
        <f>VLOOKUP(A257,[2]Sheet1!$A:$K,11,0)</f>
        <v>46061</v>
      </c>
      <c r="I257" s="25" t="str">
        <f>VLOOKUP(A257,[2]Sheet1!$A:$F,6,0)</f>
        <v>GI Line</v>
      </c>
      <c r="J257" s="25"/>
      <c r="K257" s="27" t="str">
        <f>VLOOKUP(A257,[2]Sheet1!$A:$N,14,0)</f>
        <v>Etay El Baroud</v>
      </c>
    </row>
    <row r="258" spans="1:11">
      <c r="A258" s="28">
        <v>1047</v>
      </c>
      <c r="B258" s="34" t="s">
        <v>274</v>
      </c>
      <c r="C258" s="30" t="str">
        <f>VLOOKUP(B258,[2]Sheet1!$B:$C,2,0)</f>
        <v>Salma ElSayed Khater</v>
      </c>
      <c r="D258" s="25" t="str">
        <f>VLOOKUP(B258,[2]Sheet1!$B:$H,7,0)</f>
        <v>MR</v>
      </c>
      <c r="E258" s="25">
        <f>VLOOKUP(C258,[2]Sheet1!$B:$M,12,0)</f>
        <v>1316</v>
      </c>
      <c r="F258" s="29">
        <v>36620835</v>
      </c>
      <c r="G258" s="31" t="str">
        <f>VLOOKUP(A258,[2]Sheet1!$A:$J,10,0)</f>
        <v> 01009537103</v>
      </c>
      <c r="H258" s="32">
        <f>VLOOKUP(A258,[2]Sheet1!$A:$K,11,0)</f>
        <v>44933</v>
      </c>
      <c r="I258" s="25" t="str">
        <f>VLOOKUP(A258,[2]Sheet1!$A:$F,6,0)</f>
        <v>GI Line</v>
      </c>
      <c r="J258" s="25"/>
      <c r="K258" s="27" t="str">
        <f>VLOOKUP(A258,[2]Sheet1!$A:$N,14,0)</f>
        <v>Shoubra (Damanhour)</v>
      </c>
    </row>
    <row r="259" spans="1:11">
      <c r="A259" s="28">
        <v>952</v>
      </c>
      <c r="B259" s="34" t="s">
        <v>275</v>
      </c>
      <c r="C259" s="30" t="str">
        <f>VLOOKUP(B259,[2]Sheet1!$B:$C,2,0)</f>
        <v>Salma ElSayed Khater</v>
      </c>
      <c r="D259" s="25" t="str">
        <f>VLOOKUP(B259,[2]Sheet1!$B:$H,7,0)</f>
        <v>MR</v>
      </c>
      <c r="E259" s="25">
        <f>VLOOKUP(C259,[2]Sheet1!$B:$M,12,0)</f>
        <v>1316</v>
      </c>
      <c r="F259" s="29">
        <v>36620836</v>
      </c>
      <c r="G259" s="31">
        <f>VLOOKUP(A259,[2]Sheet1!$A:$J,10,0)</f>
        <v>1027591843</v>
      </c>
      <c r="H259" s="32">
        <f>VLOOKUP(A259,[2]Sheet1!$A:$K,11,0)</f>
        <v>44622</v>
      </c>
      <c r="I259" s="25" t="str">
        <f>VLOOKUP(A259,[2]Sheet1!$A:$F,6,0)</f>
        <v>GI Line</v>
      </c>
      <c r="J259" s="25"/>
      <c r="K259" s="27" t="str">
        <f>VLOOKUP(A259,[2]Sheet1!$A:$N,14,0)</f>
        <v>Kafr El Shiekh</v>
      </c>
    </row>
    <row r="260" spans="1:11">
      <c r="A260" s="28">
        <v>999</v>
      </c>
      <c r="B260" s="34" t="s">
        <v>276</v>
      </c>
      <c r="C260" s="30" t="str">
        <f>VLOOKUP(B260,[2]Sheet1!$B:$E,4,0)</f>
        <v>Ibrahim Ammar</v>
      </c>
      <c r="D260" s="25" t="str">
        <f>VLOOKUP(B260,[2]Sheet1!$B:$H,7,0)</f>
        <v>AM</v>
      </c>
      <c r="E260" s="25">
        <f>VLOOKUP(C260,[2]Sheet1!$B:$M,12,0)</f>
        <v>60</v>
      </c>
      <c r="F260" s="29">
        <v>36620837</v>
      </c>
      <c r="G260" s="31" t="str">
        <f>VLOOKUP(A260,[2]Sheet1!$A:$J,10,0)</f>
        <v> 01228361150</v>
      </c>
      <c r="H260" s="32">
        <f>VLOOKUP(A260,[2]Sheet1!$A:$K,11,0)</f>
        <v>44819</v>
      </c>
      <c r="I260" s="25" t="str">
        <f>VLOOKUP(A260,[2]Sheet1!$A:$F,6,0)</f>
        <v>General Line &amp; GI Line</v>
      </c>
      <c r="J260" s="25" t="str">
        <f>VLOOKUP(A260,[2]Sheet1!$A:$L,12,0)</f>
        <v>Habib.Nady.Habib@averroes-eg.com</v>
      </c>
      <c r="K260" s="27" t="str">
        <f>VLOOKUP(A260,[2]Sheet1!$A:$N,14,0)</f>
        <v>Malawy</v>
      </c>
    </row>
    <row r="261" spans="1:11">
      <c r="A261" s="28">
        <v>617</v>
      </c>
      <c r="B261" s="34" t="s">
        <v>277</v>
      </c>
      <c r="C261" s="30" t="str">
        <f>VLOOKUP(B261,[2]Sheet1!$B:$D,3,0)</f>
        <v>Habib Nady Habib</v>
      </c>
      <c r="D261" s="25" t="str">
        <f>VLOOKUP(B261,[2]Sheet1!$B:$H,7,0)</f>
        <v>DM</v>
      </c>
      <c r="E261" s="25">
        <f>VLOOKUP(C261,[2]Sheet1!$B:$M,12,0)</f>
        <v>999</v>
      </c>
      <c r="F261" s="29">
        <v>36620838</v>
      </c>
      <c r="G261" s="31" t="str">
        <f>VLOOKUP(A261,[2]Sheet1!$A:$J,10,0)</f>
        <v> 1050111554</v>
      </c>
      <c r="H261" s="32">
        <f>VLOOKUP(A261,[2]Sheet1!$A:$K,11,0)</f>
        <v>43876</v>
      </c>
      <c r="I261" s="25" t="str">
        <f>VLOOKUP(A261,[2]Sheet1!$A:$F,6,0)</f>
        <v>General Line</v>
      </c>
      <c r="J261" s="25" t="str">
        <f>VLOOKUP(A261,[2]Sheet1!$A:$L,12,0)</f>
        <v>Ahmed.Gaber.Abdelhamid@averroes-eg.com</v>
      </c>
      <c r="K261" s="27" t="str">
        <f>VLOOKUP(A261,[2]Sheet1!$A:$N,14,0)</f>
        <v>Sohag City</v>
      </c>
    </row>
    <row r="262" spans="1:11">
      <c r="A262" s="28">
        <v>1431</v>
      </c>
      <c r="B262" s="34" t="s">
        <v>278</v>
      </c>
      <c r="C262" s="30" t="str">
        <f>VLOOKUP(B262,[2]Sheet1!$B:$C,2,0)</f>
        <v>Ahmed Gaber Abdelhamid</v>
      </c>
      <c r="D262" s="25" t="str">
        <f>VLOOKUP(B262,[2]Sheet1!$B:$H,7,0)</f>
        <v>MR</v>
      </c>
      <c r="E262" s="25">
        <f>VLOOKUP(C262,[2]Sheet1!$B:$M,12,0)</f>
        <v>617</v>
      </c>
      <c r="F262" s="29">
        <v>36620839</v>
      </c>
      <c r="G262" s="31">
        <f>VLOOKUP(A262,[2]Sheet1!$A:$J,10,0)</f>
        <v>1018125725</v>
      </c>
      <c r="H262" s="32">
        <f>VLOOKUP(A262,[2]Sheet1!$A:$K,11,0)</f>
        <v>45519</v>
      </c>
      <c r="I262" s="25" t="str">
        <f>VLOOKUP(A262,[2]Sheet1!$A:$F,6,0)</f>
        <v>General Line</v>
      </c>
      <c r="J262" s="25"/>
      <c r="K262" s="27" t="str">
        <f>VLOOKUP(A262,[2]Sheet1!$A:$N,14,0)</f>
        <v>Aswan City</v>
      </c>
    </row>
    <row r="263" spans="1:11">
      <c r="A263" s="28">
        <v>1851</v>
      </c>
      <c r="B263" s="34" t="s">
        <v>279</v>
      </c>
      <c r="C263" s="30" t="str">
        <f>VLOOKUP(B263,[2]Sheet1!$B:$C,2,0)</f>
        <v>Ahmed Gaber Abdelhamid</v>
      </c>
      <c r="D263" s="25" t="str">
        <f>VLOOKUP(B263,[2]Sheet1!$B:$H,7,0)</f>
        <v>MR</v>
      </c>
      <c r="E263" s="25">
        <f>VLOOKUP(C263,[2]Sheet1!$B:$M,12,0)</f>
        <v>617</v>
      </c>
      <c r="F263" s="29">
        <v>36620840</v>
      </c>
      <c r="G263" s="31">
        <f>VLOOKUP(A263,[2]Sheet1!$A:$J,10,0)</f>
        <v>1220078016</v>
      </c>
      <c r="H263" s="32">
        <f>VLOOKUP(A263,[2]Sheet1!$A:$K,11,0)</f>
        <v>46054</v>
      </c>
      <c r="I263" s="25" t="str">
        <f>VLOOKUP(A263,[2]Sheet1!$A:$F,6,0)</f>
        <v>General Line</v>
      </c>
      <c r="J263" s="25"/>
      <c r="K263" s="27" t="str">
        <f>VLOOKUP(A263,[2]Sheet1!$A:$N,14,0)</f>
        <v>Sohag City</v>
      </c>
    </row>
    <row r="264" spans="1:11">
      <c r="A264" s="28">
        <v>1026</v>
      </c>
      <c r="B264" s="34" t="s">
        <v>280</v>
      </c>
      <c r="C264" s="30" t="str">
        <f>VLOOKUP(B264,[2]Sheet1!$B:$C,2,0)</f>
        <v>Ahmed Gaber Abdelhamid</v>
      </c>
      <c r="D264" s="25" t="str">
        <f>VLOOKUP(B264,[2]Sheet1!$B:$H,7,0)</f>
        <v>MR</v>
      </c>
      <c r="E264" s="25">
        <f>VLOOKUP(C264,[2]Sheet1!$B:$M,12,0)</f>
        <v>617</v>
      </c>
      <c r="F264" s="29">
        <v>36620841</v>
      </c>
      <c r="G264" s="31">
        <f>VLOOKUP(A264,[2]Sheet1!$A:$J,10,0)</f>
        <v>1098607150</v>
      </c>
      <c r="H264" s="32">
        <f>VLOOKUP(A264,[2]Sheet1!$A:$K,11,0)</f>
        <v>44880</v>
      </c>
      <c r="I264" s="25" t="str">
        <f>VLOOKUP(A264,[2]Sheet1!$A:$F,6,0)</f>
        <v>General Line</v>
      </c>
      <c r="J264" s="25"/>
      <c r="K264" s="27" t="str">
        <f>VLOOKUP(A264,[2]Sheet1!$A:$N,14,0)</f>
        <v>Gerga</v>
      </c>
    </row>
    <row r="265" spans="1:11">
      <c r="A265" s="28">
        <v>1581</v>
      </c>
      <c r="B265" s="34" t="s">
        <v>281</v>
      </c>
      <c r="C265" s="30" t="str">
        <f>VLOOKUP(B265,[2]Sheet1!$B:$C,2,0)</f>
        <v>Ahmed Gaber Abdelhamid</v>
      </c>
      <c r="D265" s="25" t="str">
        <f>VLOOKUP(B265,[2]Sheet1!$B:$H,7,0)</f>
        <v>MR</v>
      </c>
      <c r="E265" s="25">
        <f>VLOOKUP(C265,[2]Sheet1!$B:$M,12,0)</f>
        <v>617</v>
      </c>
      <c r="F265" s="29">
        <v>36620842</v>
      </c>
      <c r="G265" s="31">
        <f>VLOOKUP(A265,[2]Sheet1!$A:$J,10,0)</f>
        <v>1152582958</v>
      </c>
      <c r="H265" s="32">
        <f>VLOOKUP(A265,[2]Sheet1!$A:$K,11,0)</f>
        <v>45724</v>
      </c>
      <c r="I265" s="25" t="str">
        <f>VLOOKUP(A265,[2]Sheet1!$A:$F,6,0)</f>
        <v>General Line</v>
      </c>
      <c r="J265" s="25"/>
      <c r="K265" s="27" t="str">
        <f>VLOOKUP(A265,[2]Sheet1!$A:$N,14,0)</f>
        <v>Luxor City</v>
      </c>
    </row>
    <row r="266" spans="1:11">
      <c r="A266" s="28">
        <v>1580</v>
      </c>
      <c r="B266" s="34" t="s">
        <v>282</v>
      </c>
      <c r="C266" s="30" t="str">
        <f>VLOOKUP(B266,[2]Sheet1!$B:$C,2,0)</f>
        <v>Ahmed Gaber Abdelhamid</v>
      </c>
      <c r="D266" s="25" t="str">
        <f>VLOOKUP(B266,[2]Sheet1!$B:$H,7,0)</f>
        <v>MR</v>
      </c>
      <c r="E266" s="25">
        <f>VLOOKUP(C266,[2]Sheet1!$B:$M,12,0)</f>
        <v>617</v>
      </c>
      <c r="F266" s="29">
        <v>36620843</v>
      </c>
      <c r="G266" s="31">
        <f>VLOOKUP(A266,[2]Sheet1!$A:$J,10,0)</f>
        <v>1015177409</v>
      </c>
      <c r="H266" s="32">
        <f>VLOOKUP(A266,[2]Sheet1!$A:$K,11,0)</f>
        <v>45724</v>
      </c>
      <c r="I266" s="25" t="str">
        <f>VLOOKUP(A266,[2]Sheet1!$A:$F,6,0)</f>
        <v>General Line</v>
      </c>
      <c r="J266" s="25"/>
      <c r="K266" s="27" t="str">
        <f>VLOOKUP(A266,[2]Sheet1!$A:$N,14,0)</f>
        <v>Quena City</v>
      </c>
    </row>
    <row r="267" spans="1:11">
      <c r="A267" s="28">
        <v>1809</v>
      </c>
      <c r="B267" s="34" t="s">
        <v>283</v>
      </c>
      <c r="C267" s="30" t="str">
        <f>VLOOKUP(B267,[2]Sheet1!$B:$C,2,0)</f>
        <v>Ahmed Gaber Abdelhamid</v>
      </c>
      <c r="D267" s="25" t="str">
        <f>VLOOKUP(B267,[2]Sheet1!$B:$H,7,0)</f>
        <v>MR</v>
      </c>
      <c r="E267" s="25">
        <f>VLOOKUP(C267,[2]Sheet1!$B:$M,12,0)</f>
        <v>617</v>
      </c>
      <c r="F267" s="29">
        <v>36620844</v>
      </c>
      <c r="G267" s="31">
        <f>VLOOKUP(A267,[2]Sheet1!$A:$J,10,0)</f>
        <v>1065978606</v>
      </c>
      <c r="H267" s="32">
        <f>VLOOKUP(A267,[2]Sheet1!$A:$K,11,0)</f>
        <v>45997</v>
      </c>
      <c r="I267" s="25" t="str">
        <f>VLOOKUP(A267,[2]Sheet1!$A:$F,6,0)</f>
        <v>General Line</v>
      </c>
      <c r="J267" s="25"/>
      <c r="K267" s="27" t="str">
        <f>VLOOKUP(A267,[2]Sheet1!$A:$N,14,0)</f>
        <v>Nagaa Hamady</v>
      </c>
    </row>
    <row r="268" spans="1:11">
      <c r="A268" s="28">
        <v>1428</v>
      </c>
      <c r="B268" s="34" t="s">
        <v>284</v>
      </c>
      <c r="C268" s="30" t="str">
        <f>VLOOKUP(B268,[2]Sheet1!$B:$C,2,0)</f>
        <v>Ahmed Gaber Abdelhamid</v>
      </c>
      <c r="D268" s="25" t="str">
        <f>VLOOKUP(B268,[2]Sheet1!$B:$H,7,0)</f>
        <v>MR</v>
      </c>
      <c r="E268" s="25">
        <f>VLOOKUP(C268,[2]Sheet1!$B:$M,12,0)</f>
        <v>617</v>
      </c>
      <c r="F268" s="29">
        <v>36620845</v>
      </c>
      <c r="G268" s="31">
        <f>VLOOKUP(A268,[2]Sheet1!$A:$J,10,0)</f>
        <v>1145077868</v>
      </c>
      <c r="H268" s="32">
        <f>VLOOKUP(A268,[2]Sheet1!$A:$K,11,0)</f>
        <v>45505</v>
      </c>
      <c r="I268" s="25" t="str">
        <f>VLOOKUP(A268,[2]Sheet1!$A:$F,6,0)</f>
        <v>General Line</v>
      </c>
      <c r="J268" s="25"/>
      <c r="K268" s="27" t="str">
        <f>VLOOKUP(A268,[2]Sheet1!$A:$N,14,0)</f>
        <v>El Maragha</v>
      </c>
    </row>
    <row r="269" spans="1:11">
      <c r="A269" s="28">
        <v>1585</v>
      </c>
      <c r="B269" s="34" t="s">
        <v>285</v>
      </c>
      <c r="C269" s="30" t="str">
        <f>VLOOKUP(B269,[2]Sheet1!$B:$D,3,0)</f>
        <v>Habib Nady Habib</v>
      </c>
      <c r="D269" s="25" t="str">
        <f>VLOOKUP(B269,[2]Sheet1!$B:$H,7,0)</f>
        <v>DM</v>
      </c>
      <c r="E269" s="25">
        <f>VLOOKUP(C269,[2]Sheet1!$B:$M,12,0)</f>
        <v>999</v>
      </c>
      <c r="F269" s="29">
        <v>36620846</v>
      </c>
      <c r="G269" s="31">
        <f>VLOOKUP(A269,[2]Sheet1!$A:$J,10,0)</f>
        <v>1062117440</v>
      </c>
      <c r="H269" s="32">
        <f>VLOOKUP(A269,[2]Sheet1!$A:$K,11,0)</f>
        <v>45719</v>
      </c>
      <c r="I269" s="25" t="str">
        <f>VLOOKUP(A269,[2]Sheet1!$A:$F,6,0)</f>
        <v>General Line</v>
      </c>
      <c r="J269" s="25" t="str">
        <f>VLOOKUP(A269,[2]Sheet1!$A:$L,12,0)</f>
        <v>Mostafa.Mahmoud.Elkady@averroes-eg.com</v>
      </c>
      <c r="K269" s="27" t="str">
        <f>VLOOKUP(A269,[2]Sheet1!$A:$N,14,0)</f>
        <v>Assuit City</v>
      </c>
    </row>
    <row r="270" spans="1:11">
      <c r="A270" s="28">
        <v>1584</v>
      </c>
      <c r="B270" s="34" t="s">
        <v>286</v>
      </c>
      <c r="C270" s="30" t="str">
        <f>VLOOKUP(B270,[2]Sheet1!$B:$C,2,0)</f>
        <v>Mostafa Mahmoud Ali Elkady</v>
      </c>
      <c r="D270" s="25" t="str">
        <f>VLOOKUP(B270,[2]Sheet1!$B:$H,7,0)</f>
        <v>MR</v>
      </c>
      <c r="E270" s="25">
        <f>VLOOKUP(C270,[2]Sheet1!$B:$M,12,0)</f>
        <v>1585</v>
      </c>
      <c r="F270" s="29">
        <v>36620847</v>
      </c>
      <c r="G270" s="31">
        <f>VLOOKUP(A270,[2]Sheet1!$A:$J,10,0)</f>
        <v>1143134856</v>
      </c>
      <c r="H270" s="32">
        <f>VLOOKUP(A270,[2]Sheet1!$A:$K,11,0)</f>
        <v>45717</v>
      </c>
      <c r="I270" s="25" t="str">
        <f>VLOOKUP(A270,[2]Sheet1!$A:$F,6,0)</f>
        <v>General Line</v>
      </c>
      <c r="J270" s="25"/>
      <c r="K270" s="27" t="str">
        <f>VLOOKUP(A270,[2]Sheet1!$A:$N,14,0)</f>
        <v>Assuit City</v>
      </c>
    </row>
    <row r="271" spans="1:11">
      <c r="A271" s="28">
        <v>1042</v>
      </c>
      <c r="B271" s="34" t="s">
        <v>287</v>
      </c>
      <c r="C271" s="30" t="str">
        <f>VLOOKUP(B271,[2]Sheet1!$B:$C,2,0)</f>
        <v>Mostafa Mahmoud Ali Elkady</v>
      </c>
      <c r="D271" s="25" t="str">
        <f>VLOOKUP(B271,[2]Sheet1!$B:$H,7,0)</f>
        <v>MR</v>
      </c>
      <c r="E271" s="25">
        <f>VLOOKUP(C271,[2]Sheet1!$B:$M,12,0)</f>
        <v>1585</v>
      </c>
      <c r="F271" s="29">
        <v>36620848</v>
      </c>
      <c r="G271" s="31" t="str">
        <f>VLOOKUP(A271,[2]Sheet1!$A:$J,10,0)</f>
        <v> 01274256429</v>
      </c>
      <c r="H271" s="32">
        <f>VLOOKUP(A271,[2]Sheet1!$A:$K,11,0)</f>
        <v>44931</v>
      </c>
      <c r="I271" s="25" t="str">
        <f>VLOOKUP(A271,[2]Sheet1!$A:$F,6,0)</f>
        <v>General Line</v>
      </c>
      <c r="J271" s="25"/>
      <c r="K271" s="27" t="str">
        <f>VLOOKUP(A271,[2]Sheet1!$A:$N,14,0)</f>
        <v>Dayrout</v>
      </c>
    </row>
    <row r="272" spans="1:11">
      <c r="A272" s="28">
        <v>1864</v>
      </c>
      <c r="B272" s="34" t="s">
        <v>288</v>
      </c>
      <c r="C272" s="30" t="str">
        <f>VLOOKUP(B272,[2]Sheet1!$B:$C,2,0)</f>
        <v>Mostafa Mahmoud Ali Elkady</v>
      </c>
      <c r="D272" s="25" t="str">
        <f>VLOOKUP(B272,[2]Sheet1!$B:$H,7,0)</f>
        <v>MR</v>
      </c>
      <c r="E272" s="25">
        <f>VLOOKUP(C272,[2]Sheet1!$B:$M,12,0)</f>
        <v>1585</v>
      </c>
      <c r="F272" s="29">
        <v>36620849</v>
      </c>
      <c r="G272" s="31">
        <f>VLOOKUP(A272,[2]Sheet1!$A:$J,10,0)</f>
        <v>1008352320</v>
      </c>
      <c r="H272" s="32">
        <f>VLOOKUP(A272,[2]Sheet1!$A:$K,11,0)</f>
        <v>46056</v>
      </c>
      <c r="I272" s="25" t="str">
        <f>VLOOKUP(A272,[2]Sheet1!$A:$F,6,0)</f>
        <v>General Line</v>
      </c>
      <c r="J272" s="25"/>
      <c r="K272" s="27" t="str">
        <f>VLOOKUP(A272,[2]Sheet1!$A:$N,14,0)</f>
        <v>El Menia City</v>
      </c>
    </row>
    <row r="273" spans="1:11">
      <c r="A273" s="28">
        <v>1475</v>
      </c>
      <c r="B273" s="34" t="s">
        <v>289</v>
      </c>
      <c r="C273" s="30" t="str">
        <f>VLOOKUP(B273,[2]Sheet1!$B:$C,2,0)</f>
        <v>Mostafa Mahmoud Ali Elkady</v>
      </c>
      <c r="D273" s="25" t="str">
        <f>VLOOKUP(B273,[2]Sheet1!$B:$H,7,0)</f>
        <v>MR</v>
      </c>
      <c r="E273" s="25">
        <f>VLOOKUP(C273,[2]Sheet1!$B:$M,12,0)</f>
        <v>1585</v>
      </c>
      <c r="F273" s="29">
        <v>36620850</v>
      </c>
      <c r="G273" s="31">
        <f>VLOOKUP(A273,[2]Sheet1!$A:$J,10,0)</f>
        <v>1552062824</v>
      </c>
      <c r="H273" s="32">
        <f>VLOOKUP(A273,[2]Sheet1!$A:$K,11,0)</f>
        <v>45640</v>
      </c>
      <c r="I273" s="25" t="str">
        <f>VLOOKUP(A273,[2]Sheet1!$A:$F,6,0)</f>
        <v>General Line</v>
      </c>
      <c r="J273" s="25"/>
      <c r="K273" s="27" t="str">
        <f>VLOOKUP(A273,[2]Sheet1!$A:$N,14,0)</f>
        <v>Bani Mazar</v>
      </c>
    </row>
    <row r="274" spans="1:11">
      <c r="A274" s="28">
        <v>1463</v>
      </c>
      <c r="B274" s="34" t="s">
        <v>290</v>
      </c>
      <c r="C274" s="30" t="str">
        <f>VLOOKUP(B274,[2]Sheet1!$B:$C,2,0)</f>
        <v>Mostafa Mahmoud Ali Elkady</v>
      </c>
      <c r="D274" s="25" t="str">
        <f>VLOOKUP(B274,[2]Sheet1!$B:$H,7,0)</f>
        <v>MR</v>
      </c>
      <c r="E274" s="25">
        <f>VLOOKUP(C274,[2]Sheet1!$B:$M,12,0)</f>
        <v>1585</v>
      </c>
      <c r="F274" s="29">
        <v>36620851</v>
      </c>
      <c r="G274" s="31">
        <f>VLOOKUP(A274,[2]Sheet1!$A:$J,10,0)</f>
        <v>1211720449</v>
      </c>
      <c r="H274" s="32">
        <f>VLOOKUP(A274,[2]Sheet1!$A:$K,11,0)</f>
        <v>45627</v>
      </c>
      <c r="I274" s="25" t="str">
        <f>VLOOKUP(A274,[2]Sheet1!$A:$F,6,0)</f>
        <v>General Line</v>
      </c>
      <c r="J274" s="25"/>
      <c r="K274" s="27" t="str">
        <f>VLOOKUP(A274,[2]Sheet1!$A:$N,14,0)</f>
        <v>Abou Korkas</v>
      </c>
    </row>
    <row r="275" spans="1:11">
      <c r="A275" s="28">
        <v>1224</v>
      </c>
      <c r="B275" s="34" t="s">
        <v>291</v>
      </c>
      <c r="C275" s="30" t="str">
        <f>VLOOKUP(B275,[2]Sheet1!$B:$D,3,0)</f>
        <v>Habib Nady Habib</v>
      </c>
      <c r="D275" s="25" t="str">
        <f>VLOOKUP(B275,[2]Sheet1!$B:$H,7,0)</f>
        <v>DM</v>
      </c>
      <c r="E275" s="25">
        <f>VLOOKUP(C275,[2]Sheet1!$B:$M,12,0)</f>
        <v>999</v>
      </c>
      <c r="F275" s="29">
        <v>36620852</v>
      </c>
      <c r="G275" s="31">
        <f>VLOOKUP(A275,[2]Sheet1!$A:$J,10,0)</f>
        <v>1000613861</v>
      </c>
      <c r="H275" s="32">
        <f>VLOOKUP(A275,[2]Sheet1!$A:$K,11,0)</f>
        <v>45087</v>
      </c>
      <c r="I275" s="25" t="str">
        <f>VLOOKUP(A275,[2]Sheet1!$A:$F,6,0)</f>
        <v>GI Line</v>
      </c>
      <c r="J275" s="25" t="str">
        <f>VLOOKUP(A275,[2]Sheet1!$A:$L,12,0)</f>
        <v>Mahmoud.Sayed.Ahmed@averroes-eg.com</v>
      </c>
      <c r="K275" s="27" t="str">
        <f>VLOOKUP(A275,[2]Sheet1!$A:$N,14,0)</f>
        <v>Luxor City</v>
      </c>
    </row>
    <row r="276" spans="1:11">
      <c r="A276" s="28">
        <v>1705</v>
      </c>
      <c r="B276" s="34" t="s">
        <v>292</v>
      </c>
      <c r="C276" s="30" t="str">
        <f>VLOOKUP(B276,[2]Sheet1!$B:$C,2,0)</f>
        <v>Mahmoud Sayed Ahmed Galal</v>
      </c>
      <c r="D276" s="25" t="str">
        <f>VLOOKUP(B276,[2]Sheet1!$B:$H,7,0)</f>
        <v>MR</v>
      </c>
      <c r="E276" s="25">
        <f>VLOOKUP(C276,[2]Sheet1!$B:$M,12,0)</f>
        <v>1224</v>
      </c>
      <c r="F276" s="29">
        <v>36620853</v>
      </c>
      <c r="G276" s="31">
        <f>VLOOKUP(A276,[2]Sheet1!$A:$J,10,0)</f>
        <v>1098199449</v>
      </c>
      <c r="H276" s="32">
        <f>VLOOKUP(A276,[2]Sheet1!$A:$K,11,0)</f>
        <v>45843</v>
      </c>
      <c r="I276" s="25" t="str">
        <f>VLOOKUP(A276,[2]Sheet1!$A:$F,6,0)</f>
        <v>GI Line</v>
      </c>
      <c r="J276" s="25"/>
      <c r="K276" s="27" t="str">
        <f>VLOOKUP(A276,[2]Sheet1!$A:$N,14,0)</f>
        <v>Quena City </v>
      </c>
    </row>
    <row r="277" spans="1:11">
      <c r="A277" s="28">
        <v>1558</v>
      </c>
      <c r="B277" s="34" t="s">
        <v>293</v>
      </c>
      <c r="C277" s="30" t="str">
        <f>VLOOKUP(B277,[2]Sheet1!$B:$C,2,0)</f>
        <v>Mahmoud Sayed Ahmed Galal</v>
      </c>
      <c r="D277" s="25" t="str">
        <f>VLOOKUP(B277,[2]Sheet1!$B:$H,7,0)</f>
        <v>MR</v>
      </c>
      <c r="E277" s="25">
        <f>VLOOKUP(C277,[2]Sheet1!$B:$M,12,0)</f>
        <v>1224</v>
      </c>
      <c r="F277" s="29">
        <v>36620854</v>
      </c>
      <c r="G277" s="31">
        <f>VLOOKUP(A277,[2]Sheet1!$A:$J,10,0)</f>
        <v>1021414333</v>
      </c>
      <c r="H277" s="32">
        <f>VLOOKUP(A277,[2]Sheet1!$A:$K,11,0)</f>
        <v>45710</v>
      </c>
      <c r="I277" s="25" t="str">
        <f>VLOOKUP(A277,[2]Sheet1!$A:$F,6,0)</f>
        <v>GI Line</v>
      </c>
      <c r="J277" s="25"/>
      <c r="K277" s="27" t="str">
        <f>VLOOKUP(A277,[2]Sheet1!$A:$N,14,0)</f>
        <v>Hurghada </v>
      </c>
    </row>
    <row r="278" spans="1:11">
      <c r="A278" s="28">
        <v>1436</v>
      </c>
      <c r="B278" s="34" t="s">
        <v>294</v>
      </c>
      <c r="C278" s="30" t="str">
        <f>VLOOKUP(B278,[2]Sheet1!$B:$C,2,0)</f>
        <v>Mahmoud Sayed Ahmed Galal</v>
      </c>
      <c r="D278" s="25" t="str">
        <f>VLOOKUP(B278,[2]Sheet1!$B:$H,7,0)</f>
        <v>MR</v>
      </c>
      <c r="E278" s="25">
        <f>VLOOKUP(C278,[2]Sheet1!$B:$M,12,0)</f>
        <v>1224</v>
      </c>
      <c r="F278" s="29">
        <v>36620855</v>
      </c>
      <c r="G278" s="31">
        <f>VLOOKUP(A278,[2]Sheet1!$A:$J,10,0)</f>
        <v>1224865172</v>
      </c>
      <c r="H278" s="32">
        <f>VLOOKUP(A278,[2]Sheet1!$A:$K,11,0)</f>
        <v>45535</v>
      </c>
      <c r="I278" s="25" t="str">
        <f>VLOOKUP(A278,[2]Sheet1!$A:$F,6,0)</f>
        <v>GI Line</v>
      </c>
      <c r="J278" s="25"/>
      <c r="K278" s="27" t="str">
        <f>VLOOKUP(A278,[2]Sheet1!$A:$N,14,0)</f>
        <v>Gerga</v>
      </c>
    </row>
    <row r="279" spans="1:11">
      <c r="A279" s="28">
        <v>1049</v>
      </c>
      <c r="B279" s="34" t="s">
        <v>295</v>
      </c>
      <c r="C279" s="30" t="str">
        <f>VLOOKUP(B279,[2]Sheet1!$B:$C,2,0)</f>
        <v>Mahmoud Sayed Ahmed Galal</v>
      </c>
      <c r="D279" s="25" t="str">
        <f>VLOOKUP(B279,[2]Sheet1!$B:$H,7,0)</f>
        <v>MR</v>
      </c>
      <c r="E279" s="25">
        <f>VLOOKUP(C279,[2]Sheet1!$B:$M,12,0)</f>
        <v>1224</v>
      </c>
      <c r="F279" s="29">
        <v>36620856</v>
      </c>
      <c r="G279" s="31" t="str">
        <f>VLOOKUP(A279,[2]Sheet1!$A:$J,10,0)</f>
        <v> 01282580330</v>
      </c>
      <c r="H279" s="32">
        <f>VLOOKUP(A279,[2]Sheet1!$A:$K,11,0)</f>
        <v>44931</v>
      </c>
      <c r="I279" s="25" t="str">
        <f>VLOOKUP(A279,[2]Sheet1!$A:$F,6,0)</f>
        <v>GI Line</v>
      </c>
      <c r="J279" s="25"/>
      <c r="K279" s="27" t="str">
        <f>VLOOKUP(A279,[2]Sheet1!$A:$N,14,0)</f>
        <v>Tema</v>
      </c>
    </row>
    <row r="280" spans="1:11">
      <c r="A280" s="28">
        <v>1405</v>
      </c>
      <c r="B280" s="34" t="s">
        <v>296</v>
      </c>
      <c r="C280" s="30" t="str">
        <f>VLOOKUP(B280,[2]Sheet1!$B:$C,2,0)</f>
        <v>Mahmoud Sayed Ahmed Galal</v>
      </c>
      <c r="D280" s="25" t="str">
        <f>VLOOKUP(B280,[2]Sheet1!$B:$H,7,0)</f>
        <v>MR</v>
      </c>
      <c r="E280" s="25">
        <f>VLOOKUP(C280,[2]Sheet1!$B:$M,12,0)</f>
        <v>1224</v>
      </c>
      <c r="F280" s="29">
        <v>36620857</v>
      </c>
      <c r="G280" s="31">
        <f>VLOOKUP(A280,[2]Sheet1!$A:$J,10,0)</f>
        <v>1020403405</v>
      </c>
      <c r="H280" s="32">
        <f>VLOOKUP(A280,[2]Sheet1!$A:$K,11,0)</f>
        <v>45479</v>
      </c>
      <c r="I280" s="25" t="str">
        <f>VLOOKUP(A280,[2]Sheet1!$A:$F,6,0)</f>
        <v>GI Line</v>
      </c>
      <c r="J280" s="25"/>
      <c r="K280" s="27" t="str">
        <f>VLOOKUP(A280,[2]Sheet1!$A:$N,14,0)</f>
        <v>Luxor City</v>
      </c>
    </row>
    <row r="281" spans="1:11">
      <c r="A281" s="28">
        <v>1313</v>
      </c>
      <c r="B281" s="34" t="s">
        <v>297</v>
      </c>
      <c r="C281" s="30" t="str">
        <f>VLOOKUP(B281,[2]Sheet1!$B:$C,2,0)</f>
        <v>Mahmoud Sayed Ahmed Galal</v>
      </c>
      <c r="D281" s="25" t="str">
        <f>VLOOKUP(B281,[2]Sheet1!$B:$H,7,0)</f>
        <v>MR</v>
      </c>
      <c r="E281" s="25">
        <f>VLOOKUP(C281,[2]Sheet1!$B:$M,12,0)</f>
        <v>1224</v>
      </c>
      <c r="F281" s="29">
        <v>36620858</v>
      </c>
      <c r="G281" s="31">
        <f>VLOOKUP(A281,[2]Sheet1!$A:$J,10,0)</f>
        <v>1142750065</v>
      </c>
      <c r="H281" s="32">
        <f>VLOOKUP(A281,[2]Sheet1!$A:$K,11,0)</f>
        <v>45269</v>
      </c>
      <c r="I281" s="25" t="str">
        <f>VLOOKUP(A281,[2]Sheet1!$A:$F,6,0)</f>
        <v>GI Line</v>
      </c>
      <c r="J281" s="25"/>
      <c r="K281" s="27" t="str">
        <f>VLOOKUP(A281,[2]Sheet1!$A:$N,14,0)</f>
        <v>Aswan City</v>
      </c>
    </row>
    <row r="282" spans="1:11">
      <c r="A282" s="28">
        <v>1698</v>
      </c>
      <c r="B282" s="34" t="s">
        <v>298</v>
      </c>
      <c r="C282" s="30" t="str">
        <f>VLOOKUP(B282,[2]Sheet1!$B:$C,2,0)</f>
        <v>Mahmoud Sayed Ahmed Galal</v>
      </c>
      <c r="D282" s="25" t="str">
        <f>VLOOKUP(B282,[2]Sheet1!$B:$H,7,0)</f>
        <v>MR</v>
      </c>
      <c r="E282" s="25">
        <f>VLOOKUP(C282,[2]Sheet1!$B:$M,12,0)</f>
        <v>1224</v>
      </c>
      <c r="F282" s="29">
        <v>36620859</v>
      </c>
      <c r="G282" s="31">
        <f>VLOOKUP(A282,[2]Sheet1!$A:$J,10,0)</f>
        <v>1061847797</v>
      </c>
      <c r="H282" s="32">
        <f>VLOOKUP(A282,[2]Sheet1!$A:$K,11,0)</f>
        <v>45836</v>
      </c>
      <c r="I282" s="25" t="str">
        <f>VLOOKUP(A282,[2]Sheet1!$A:$F,6,0)</f>
        <v>GI Line</v>
      </c>
      <c r="J282" s="25"/>
      <c r="K282" s="27" t="str">
        <f>VLOOKUP(A282,[2]Sheet1!$A:$N,14,0)</f>
        <v>Naga Hamady </v>
      </c>
    </row>
    <row r="283" spans="1:11">
      <c r="A283" s="28">
        <v>980</v>
      </c>
      <c r="B283" s="34" t="s">
        <v>299</v>
      </c>
      <c r="C283" s="30" t="str">
        <f>VLOOKUP(B283,[2]Sheet1!$B:$D,3,0)</f>
        <v>Habib Nady Habib</v>
      </c>
      <c r="D283" s="25" t="str">
        <f>VLOOKUP(B283,[2]Sheet1!$B:$H,7,0)</f>
        <v>DM</v>
      </c>
      <c r="E283" s="25">
        <f>VLOOKUP(C283,[2]Sheet1!$B:$M,12,0)</f>
        <v>999</v>
      </c>
      <c r="F283" s="29">
        <v>36620860</v>
      </c>
      <c r="G283" s="31">
        <f>VLOOKUP(A283,[2]Sheet1!$A:$J,10,0)</f>
        <v>1127568118</v>
      </c>
      <c r="H283" s="32">
        <f>VLOOKUP(A283,[2]Sheet1!$A:$K,11,0)</f>
        <v>44774</v>
      </c>
      <c r="I283" s="25" t="str">
        <f>VLOOKUP(A283,[2]Sheet1!$A:$F,6,0)</f>
        <v>GI Line</v>
      </c>
      <c r="J283" s="25" t="str">
        <f>VLOOKUP(A283,[2]Sheet1!$A:$L,12,0)</f>
        <v>Osama.Nabil.Ahmed@averroes-eg.com</v>
      </c>
      <c r="K283" s="27" t="str">
        <f>VLOOKUP(A283,[2]Sheet1!$A:$N,14,0)</f>
        <v>El Menia City</v>
      </c>
    </row>
    <row r="284" spans="1:11">
      <c r="A284" s="28">
        <v>1486</v>
      </c>
      <c r="B284" s="34" t="s">
        <v>300</v>
      </c>
      <c r="C284" s="30" t="str">
        <f>VLOOKUP(B284,[2]Sheet1!$B:$C,2,0)</f>
        <v>Osama Nabil Ahmed</v>
      </c>
      <c r="D284" s="25" t="str">
        <f>VLOOKUP(B284,[2]Sheet1!$B:$H,7,0)</f>
        <v>MR</v>
      </c>
      <c r="E284" s="25">
        <f>VLOOKUP(C284,[2]Sheet1!$B:$M,12,0)</f>
        <v>980</v>
      </c>
      <c r="F284" s="29">
        <v>36620861</v>
      </c>
      <c r="G284" s="31">
        <f>VLOOKUP(A284,[2]Sheet1!$A:$J,10,0)</f>
        <v>1090818727</v>
      </c>
      <c r="H284" s="32">
        <f>VLOOKUP(A284,[2]Sheet1!$A:$K,11,0)</f>
        <v>45640</v>
      </c>
      <c r="I284" s="25" t="str">
        <f>VLOOKUP(A284,[2]Sheet1!$A:$F,6,0)</f>
        <v>GI Line</v>
      </c>
      <c r="J284" s="25"/>
      <c r="K284" s="27" t="str">
        <f>VLOOKUP(A284,[2]Sheet1!$A:$N,14,0)</f>
        <v>Bosh</v>
      </c>
    </row>
    <row r="285" spans="1:11">
      <c r="A285" s="28">
        <v>259</v>
      </c>
      <c r="B285" s="34" t="s">
        <v>301</v>
      </c>
      <c r="C285" s="30" t="str">
        <f>VLOOKUP(B285,[2]Sheet1!$B:$C,2,0)</f>
        <v>Osama Nabil Ahmed</v>
      </c>
      <c r="D285" s="25" t="str">
        <f>VLOOKUP(B285,[2]Sheet1!$B:$H,7,0)</f>
        <v>MR</v>
      </c>
      <c r="E285" s="25">
        <f>VLOOKUP(C285,[2]Sheet1!$B:$M,12,0)</f>
        <v>980</v>
      </c>
      <c r="F285" s="29">
        <v>36620862</v>
      </c>
      <c r="G285" s="31" t="str">
        <f>VLOOKUP(A285,[2]Sheet1!$A:$J,10,0)</f>
        <v> 1090517953</v>
      </c>
      <c r="H285" s="32">
        <f>VLOOKUP(A285,[2]Sheet1!$A:$K,11,0)</f>
        <v>43160</v>
      </c>
      <c r="I285" s="25" t="str">
        <f>VLOOKUP(A285,[2]Sheet1!$A:$F,6,0)</f>
        <v>GI Line</v>
      </c>
      <c r="J285" s="25"/>
      <c r="K285" s="27" t="str">
        <f>VLOOKUP(A285,[2]Sheet1!$A:$N,14,0)</f>
        <v>Malawy</v>
      </c>
    </row>
    <row r="286" spans="1:11">
      <c r="A286" s="28">
        <v>1850</v>
      </c>
      <c r="B286" s="34" t="s">
        <v>302</v>
      </c>
      <c r="C286" s="30" t="str">
        <f>VLOOKUP(B286,[2]Sheet1!$B:$C,2,0)</f>
        <v>Osama Nabil Ahmed</v>
      </c>
      <c r="D286" s="25" t="str">
        <f>VLOOKUP(B286,[2]Sheet1!$B:$H,7,0)</f>
        <v>MR</v>
      </c>
      <c r="E286" s="25">
        <f>VLOOKUP(C286,[2]Sheet1!$B:$M,12,0)</f>
        <v>980</v>
      </c>
      <c r="F286" s="29">
        <v>36620863</v>
      </c>
      <c r="G286" s="31">
        <f>VLOOKUP(A286,[2]Sheet1!$A:$J,10,0)</f>
        <v>1281416886</v>
      </c>
      <c r="H286" s="32">
        <f>VLOOKUP(A286,[2]Sheet1!$A:$K,11,0)</f>
        <v>46054</v>
      </c>
      <c r="I286" s="25" t="str">
        <f>VLOOKUP(A286,[2]Sheet1!$A:$F,6,0)</f>
        <v>GI Line</v>
      </c>
      <c r="J286" s="25"/>
      <c r="K286" s="27" t="str">
        <f>VLOOKUP(A286,[2]Sheet1!$A:$N,14,0)</f>
        <v>Manfalout</v>
      </c>
    </row>
    <row r="287" spans="1:11">
      <c r="A287" s="28">
        <v>1849</v>
      </c>
      <c r="B287" s="34" t="s">
        <v>303</v>
      </c>
      <c r="C287" s="30" t="str">
        <f>VLOOKUP(B287,[2]Sheet1!$B:$C,2,0)</f>
        <v>Osama Nabil Ahmed</v>
      </c>
      <c r="D287" s="25" t="str">
        <f>VLOOKUP(B287,[2]Sheet1!$B:$H,7,0)</f>
        <v>MR</v>
      </c>
      <c r="E287" s="25">
        <f>VLOOKUP(C287,[2]Sheet1!$B:$M,12,0)</f>
        <v>980</v>
      </c>
      <c r="F287" s="29">
        <v>36620864</v>
      </c>
      <c r="G287" s="31">
        <f>VLOOKUP(A287,[2]Sheet1!$A:$J,10,0)</f>
        <v>1221919585</v>
      </c>
      <c r="H287" s="32">
        <f>VLOOKUP(A287,[2]Sheet1!$A:$K,11,0)</f>
        <v>46054</v>
      </c>
      <c r="I287" s="25" t="str">
        <f>VLOOKUP(A287,[2]Sheet1!$A:$F,6,0)</f>
        <v>GI Line</v>
      </c>
      <c r="J287" s="25"/>
      <c r="K287" s="27" t="str">
        <f>VLOOKUP(A287,[2]Sheet1!$A:$N,14,0)</f>
        <v>Abou Teeg</v>
      </c>
    </row>
    <row r="288" spans="1:11">
      <c r="A288" s="28">
        <v>104</v>
      </c>
      <c r="B288" s="34" t="s">
        <v>304</v>
      </c>
      <c r="C288" s="30" t="str">
        <f>VLOOKUP(B288,[2]Sheet1!$B:$C,2,0)</f>
        <v>Osama Nabil Ahmed</v>
      </c>
      <c r="D288" s="25" t="str">
        <f>VLOOKUP(B288,[2]Sheet1!$B:$H,7,0)</f>
        <v>MR</v>
      </c>
      <c r="E288" s="25">
        <f>VLOOKUP(C288,[2]Sheet1!$B:$M,12,0)</f>
        <v>980</v>
      </c>
      <c r="F288" s="29">
        <v>36620865</v>
      </c>
      <c r="G288" s="31" t="str">
        <f>VLOOKUP(A288,[2]Sheet1!$A:$J,10,0)</f>
        <v> 1285899058</v>
      </c>
      <c r="H288" s="32">
        <f>VLOOKUP(A288,[2]Sheet1!$A:$K,11,0)</f>
        <v>41314</v>
      </c>
      <c r="I288" s="25" t="str">
        <f>VLOOKUP(A288,[2]Sheet1!$A:$F,6,0)</f>
        <v>GI Line</v>
      </c>
      <c r="J288" s="25"/>
      <c r="K288" s="27" t="str">
        <f>VLOOKUP(A288,[2]Sheet1!$A:$N,14,0)</f>
        <v>Bani Mazar</v>
      </c>
    </row>
    <row r="289" spans="1:11">
      <c r="A289" s="28">
        <v>69</v>
      </c>
      <c r="B289" s="34" t="s">
        <v>305</v>
      </c>
      <c r="C289" s="30" t="str">
        <f>VLOOKUP(B289,[2]Sheet1!$B:$E,4,0)</f>
        <v>Abo El Abbas Samir</v>
      </c>
      <c r="D289" s="25" t="str">
        <f>VLOOKUP(B289,[2]Sheet1!$B:$H,7,0)</f>
        <v>AM</v>
      </c>
      <c r="E289" s="25">
        <f>VLOOKUP(C289,[2]Sheet1!$B:$M,12,0)</f>
        <v>61</v>
      </c>
      <c r="F289" s="29">
        <v>36620866</v>
      </c>
      <c r="G289" s="31" t="str">
        <f>VLOOKUP(A289,[2]Sheet1!$A:$J,10,0)</f>
        <v> 1028045240</v>
      </c>
      <c r="H289" s="32">
        <f>VLOOKUP(A289,[2]Sheet1!$A:$K,11,0)</f>
        <v>41601</v>
      </c>
      <c r="I289" s="25" t="str">
        <f>VLOOKUP(A289,[2]Sheet1!$A:$F,6,0)</f>
        <v>CVM Line &amp; DIA Line</v>
      </c>
      <c r="J289" s="25" t="str">
        <f>VLOOKUP(A289,[2]Sheet1!$A:$L,12,0)</f>
        <v>karam.belal@averroes-eg.com</v>
      </c>
      <c r="K289" s="27" t="str">
        <f>VLOOKUP(A289,[2]Sheet1!$A:$N,14,0)</f>
        <v>Kafr El Shiekh</v>
      </c>
    </row>
    <row r="290" spans="1:11">
      <c r="A290" s="28">
        <v>1559</v>
      </c>
      <c r="B290" s="34" t="s">
        <v>306</v>
      </c>
      <c r="C290" s="30" t="str">
        <f>VLOOKUP(B290,[2]Sheet1!$B:$C,2,0)</f>
        <v>L5_Vacant_Gharbia &amp; Menofia</v>
      </c>
      <c r="D290" s="25" t="str">
        <f>VLOOKUP(B290,[2]Sheet1!$B:$H,7,0)</f>
        <v>MR</v>
      </c>
      <c r="E290" s="25"/>
      <c r="F290" s="29">
        <v>36620867</v>
      </c>
      <c r="G290" s="31">
        <f>VLOOKUP(A290,[2]Sheet1!$A:$J,10,0)</f>
        <v>1028507568</v>
      </c>
      <c r="H290" s="32">
        <f>VLOOKUP(A290,[2]Sheet1!$A:$K,11,0)</f>
        <v>45717</v>
      </c>
      <c r="I290" s="25" t="str">
        <f>VLOOKUP(A290,[2]Sheet1!$A:$F,6,0)</f>
        <v>CVM Line</v>
      </c>
      <c r="J290" s="25"/>
      <c r="K290" s="27" t="str">
        <f>VLOOKUP(A290,[2]Sheet1!$A:$N,14,0)</f>
        <v>El sanata</v>
      </c>
    </row>
    <row r="291" spans="1:11">
      <c r="A291" s="28">
        <v>1248</v>
      </c>
      <c r="B291" s="34" t="s">
        <v>307</v>
      </c>
      <c r="C291" s="30" t="str">
        <f>VLOOKUP(B291,[2]Sheet1!$B:$C,2,0)</f>
        <v>L5_Vacant_Gharbia &amp; Menofia</v>
      </c>
      <c r="D291" s="25" t="str">
        <f>VLOOKUP(B291,[2]Sheet1!$B:$H,7,0)</f>
        <v>MR</v>
      </c>
      <c r="E291" s="25"/>
      <c r="F291" s="29">
        <v>36620868</v>
      </c>
      <c r="G291" s="31">
        <f>VLOOKUP(A291,[2]Sheet1!$A:$J,10,0)</f>
        <v>1112370702</v>
      </c>
      <c r="H291" s="32">
        <f>VLOOKUP(A291,[2]Sheet1!$A:$K,11,0)</f>
        <v>45161</v>
      </c>
      <c r="I291" s="25" t="str">
        <f>VLOOKUP(A291,[2]Sheet1!$A:$F,6,0)</f>
        <v>CVM Line</v>
      </c>
      <c r="J291" s="25"/>
      <c r="K291" s="27" t="str">
        <f>VLOOKUP(A291,[2]Sheet1!$A:$N,14,0)</f>
        <v>El Bagour</v>
      </c>
    </row>
    <row r="292" spans="1:11">
      <c r="A292" s="28">
        <v>1684</v>
      </c>
      <c r="B292" s="34" t="s">
        <v>308</v>
      </c>
      <c r="C292" s="30" t="str">
        <f>VLOOKUP(B292,[2]Sheet1!$B:$C,2,0)</f>
        <v>L5_Vacant_Gharbia &amp; Menofia</v>
      </c>
      <c r="D292" s="25" t="str">
        <f>VLOOKUP(B292,[2]Sheet1!$B:$H,7,0)</f>
        <v>MR</v>
      </c>
      <c r="E292" s="25"/>
      <c r="F292" s="29">
        <v>36620869</v>
      </c>
      <c r="G292" s="31">
        <f>VLOOKUP(A292,[2]Sheet1!$A:$J,10,0)</f>
        <v>1069724373</v>
      </c>
      <c r="H292" s="32">
        <f>VLOOKUP(A292,[2]Sheet1!$A:$K,11,0)</f>
        <v>45809</v>
      </c>
      <c r="I292" s="25" t="str">
        <f>VLOOKUP(A292,[2]Sheet1!$A:$F,6,0)</f>
        <v>CVM Line</v>
      </c>
      <c r="J292" s="25"/>
      <c r="K292" s="27" t="str">
        <f>VLOOKUP(A292,[2]Sheet1!$A:$N,14,0)</f>
        <v>Shebien El Kom</v>
      </c>
    </row>
    <row r="293" spans="1:11">
      <c r="A293" s="28">
        <v>1730</v>
      </c>
      <c r="B293" s="34" t="s">
        <v>309</v>
      </c>
      <c r="C293" s="30" t="str">
        <f>VLOOKUP(B293,[2]Sheet1!$B:$C,2,0)</f>
        <v>L5_Vacant_Gharbia &amp; Menofia</v>
      </c>
      <c r="D293" s="25" t="str">
        <f>VLOOKUP(B293,[2]Sheet1!$B:$H,7,0)</f>
        <v>MR</v>
      </c>
      <c r="E293" s="25"/>
      <c r="F293" s="29">
        <v>36620870</v>
      </c>
      <c r="G293" s="31">
        <f>VLOOKUP(A293,[2]Sheet1!$A:$J,10,0)</f>
        <v>1029175007</v>
      </c>
      <c r="H293" s="32">
        <f>VLOOKUP(A293,[2]Sheet1!$A:$K,11,0)</f>
        <v>45885</v>
      </c>
      <c r="I293" s="25" t="str">
        <f>VLOOKUP(A293,[2]Sheet1!$A:$F,6,0)</f>
        <v>CVM Line</v>
      </c>
      <c r="J293" s="25"/>
      <c r="K293" s="27" t="str">
        <f>VLOOKUP(A293,[2]Sheet1!$A:$N,14,0)</f>
        <v>Kfr zayat </v>
      </c>
    </row>
    <row r="294" spans="1:11">
      <c r="A294" s="28">
        <v>1637</v>
      </c>
      <c r="B294" s="34" t="s">
        <v>310</v>
      </c>
      <c r="C294" s="30" t="str">
        <f>VLOOKUP(B294,[2]Sheet1!$B:$C,2,0)</f>
        <v>L5_Vacant_Gharbia &amp; Menofia</v>
      </c>
      <c r="D294" s="25" t="str">
        <f>VLOOKUP(B294,[2]Sheet1!$B:$H,7,0)</f>
        <v>MR</v>
      </c>
      <c r="E294" s="25"/>
      <c r="F294" s="29">
        <v>36620871</v>
      </c>
      <c r="G294" s="31">
        <f>VLOOKUP(A294,[2]Sheet1!$A:$J,10,0)</f>
        <v>1140921800</v>
      </c>
      <c r="H294" s="32">
        <f>VLOOKUP(A294,[2]Sheet1!$A:$K,11,0)</f>
        <v>45780</v>
      </c>
      <c r="I294" s="25" t="str">
        <f>VLOOKUP(A294,[2]Sheet1!$A:$F,6,0)</f>
        <v>CVM Line</v>
      </c>
      <c r="J294" s="25"/>
      <c r="K294" s="27" t="str">
        <f>VLOOKUP(A294,[2]Sheet1!$A:$N,14,0)</f>
        <v>El Mahala El Kobra</v>
      </c>
    </row>
    <row r="295" spans="1:11">
      <c r="A295" s="28">
        <v>1560</v>
      </c>
      <c r="B295" s="34" t="s">
        <v>311</v>
      </c>
      <c r="C295" s="30" t="str">
        <f>VLOOKUP(B295,[2]Sheet1!$B:$C,2,0)</f>
        <v>L5_Vacant_Gharbia &amp; Menofia</v>
      </c>
      <c r="D295" s="25" t="str">
        <f>VLOOKUP(B295,[2]Sheet1!$B:$H,7,0)</f>
        <v>MR</v>
      </c>
      <c r="E295" s="25"/>
      <c r="F295" s="29">
        <v>36620872</v>
      </c>
      <c r="G295" s="31">
        <f>VLOOKUP(A295,[2]Sheet1!$A:$J,10,0)</f>
        <v>1202861515</v>
      </c>
      <c r="H295" s="32">
        <f>VLOOKUP(A295,[2]Sheet1!$A:$K,11,0)</f>
        <v>45717</v>
      </c>
      <c r="I295" s="25" t="str">
        <f>VLOOKUP(A295,[2]Sheet1!$A:$F,6,0)</f>
        <v>CVM Line</v>
      </c>
      <c r="J295" s="25"/>
      <c r="K295" s="27" t="str">
        <f>VLOOKUP(A295,[2]Sheet1!$A:$N,14,0)</f>
        <v>Tanta City</v>
      </c>
    </row>
    <row r="296" spans="1:11">
      <c r="A296" s="28">
        <v>591</v>
      </c>
      <c r="B296" s="34" t="s">
        <v>312</v>
      </c>
      <c r="C296" s="30" t="str">
        <f>VLOOKUP(B296,[2]Sheet1!$B:$C,2,0)</f>
        <v>L5_Vacant_Gharbia &amp; Menofia</v>
      </c>
      <c r="D296" s="25" t="str">
        <f>VLOOKUP(B296,[2]Sheet1!$B:$H,7,0)</f>
        <v>MR</v>
      </c>
      <c r="E296" s="25"/>
      <c r="F296" s="29">
        <v>36620873</v>
      </c>
      <c r="G296" s="31" t="str">
        <f>VLOOKUP(A296,[2]Sheet1!$A:$J,10,0)</f>
        <v> 1050111662</v>
      </c>
      <c r="H296" s="32">
        <f>VLOOKUP(A296,[2]Sheet1!$A:$K,11,0)</f>
        <v>43863</v>
      </c>
      <c r="I296" s="25" t="str">
        <f>VLOOKUP(A296,[2]Sheet1!$A:$F,6,0)</f>
        <v>CVM Line</v>
      </c>
      <c r="J296" s="25"/>
      <c r="K296" s="27" t="str">
        <f>VLOOKUP(A296,[2]Sheet1!$A:$N,14,0)</f>
        <v>Beket ElSabaa</v>
      </c>
    </row>
    <row r="297" spans="1:11">
      <c r="A297" s="28">
        <v>718</v>
      </c>
      <c r="B297" s="34" t="s">
        <v>313</v>
      </c>
      <c r="C297" s="30" t="str">
        <f>VLOOKUP(B297,[2]Sheet1!$B:$D,3,0)</f>
        <v>Karam Belal Mohamed</v>
      </c>
      <c r="D297" s="25" t="str">
        <f>VLOOKUP(B297,[2]Sheet1!$B:$H,7,0)</f>
        <v>DM</v>
      </c>
      <c r="E297" s="25">
        <f>VLOOKUP(C297,[2]Sheet1!$B:$M,12,0)</f>
        <v>69</v>
      </c>
      <c r="F297" s="29">
        <v>36620874</v>
      </c>
      <c r="G297" s="31" t="str">
        <f>VLOOKUP(A297,[2]Sheet1!$A:$J,10,0)</f>
        <v> 1007960128</v>
      </c>
      <c r="H297" s="32">
        <f>VLOOKUP(A297,[2]Sheet1!$A:$K,11,0)</f>
        <v>44228</v>
      </c>
      <c r="I297" s="25" t="str">
        <f>VLOOKUP(A297,[2]Sheet1!$A:$F,6,0)</f>
        <v>CVM Line</v>
      </c>
      <c r="J297" s="25" t="str">
        <f>VLOOKUP(A297,[2]Sheet1!$A:$L,12,0)</f>
        <v>Osama.Abdelkader@averroes-eg.com</v>
      </c>
      <c r="K297" s="27" t="str">
        <f>VLOOKUP(A297,[2]Sheet1!$A:$N,14,0)</f>
        <v>Center</v>
      </c>
    </row>
    <row r="298" spans="1:11">
      <c r="A298" s="28">
        <v>898</v>
      </c>
      <c r="B298" s="34" t="s">
        <v>314</v>
      </c>
      <c r="C298" s="30" t="str">
        <f>VLOOKUP(B298,[2]Sheet1!$B:$C,2,0)</f>
        <v>Osama Abdelkader Elsayed</v>
      </c>
      <c r="D298" s="25" t="str">
        <f>VLOOKUP(B298,[2]Sheet1!$B:$H,7,0)</f>
        <v>MR</v>
      </c>
      <c r="E298" s="25">
        <f>VLOOKUP(C298,[2]Sheet1!$B:$M,12,0)</f>
        <v>718</v>
      </c>
      <c r="F298" s="29">
        <v>36620875</v>
      </c>
      <c r="G298" s="31" t="str">
        <f>VLOOKUP(A298,[2]Sheet1!$A:$J,10,0)</f>
        <v> 1555838723</v>
      </c>
      <c r="H298" s="32">
        <f>VLOOKUP(A298,[2]Sheet1!$A:$K,11,0)</f>
        <v>44593</v>
      </c>
      <c r="I298" s="25" t="str">
        <f>VLOOKUP(A298,[2]Sheet1!$A:$F,6,0)</f>
        <v>CVM Line</v>
      </c>
      <c r="J298" s="25"/>
      <c r="K298" s="27" t="str">
        <f>VLOOKUP(A298,[2]Sheet1!$A:$N,14,0)</f>
        <v>Banha - Atreeb</v>
      </c>
    </row>
    <row r="299" spans="1:11">
      <c r="A299" s="28">
        <v>1472</v>
      </c>
      <c r="B299" s="34" t="s">
        <v>315</v>
      </c>
      <c r="C299" s="30" t="str">
        <f>VLOOKUP(B299,[2]Sheet1!$B:$C,2,0)</f>
        <v>Osama Abdelkader Elsayed</v>
      </c>
      <c r="D299" s="25" t="str">
        <f>VLOOKUP(B299,[2]Sheet1!$B:$H,7,0)</f>
        <v>MR</v>
      </c>
      <c r="E299" s="25">
        <f>VLOOKUP(C299,[2]Sheet1!$B:$M,12,0)</f>
        <v>718</v>
      </c>
      <c r="F299" s="29">
        <v>36620877</v>
      </c>
      <c r="G299" s="31">
        <f>VLOOKUP(A299,[2]Sheet1!$A:$J,10,0)</f>
        <v>1016372964</v>
      </c>
      <c r="H299" s="32">
        <f>VLOOKUP(A299,[2]Sheet1!$A:$K,11,0)</f>
        <v>45636</v>
      </c>
      <c r="I299" s="25" t="str">
        <f>VLOOKUP(A299,[2]Sheet1!$A:$F,6,0)</f>
        <v>CVM Line</v>
      </c>
      <c r="J299" s="25"/>
      <c r="K299" s="27" t="str">
        <f>VLOOKUP(A299,[2]Sheet1!$A:$N,14,0)</f>
        <v>Shebien El Kanater</v>
      </c>
    </row>
    <row r="300" spans="1:11">
      <c r="A300" s="28">
        <v>1827</v>
      </c>
      <c r="B300" s="34" t="s">
        <v>316</v>
      </c>
      <c r="C300" s="30" t="str">
        <f>VLOOKUP(B300,[2]Sheet1!$B:$C,2,0)</f>
        <v>Osama Abdelkader Elsayed</v>
      </c>
      <c r="D300" s="25" t="str">
        <f>VLOOKUP(B300,[2]Sheet1!$B:$H,7,0)</f>
        <v>MR</v>
      </c>
      <c r="E300" s="25">
        <f>VLOOKUP(C300,[2]Sheet1!$B:$M,12,0)</f>
        <v>718</v>
      </c>
      <c r="F300" s="29">
        <v>36620878</v>
      </c>
      <c r="G300" s="31">
        <f>VLOOKUP(A300,[2]Sheet1!$A:$J,10,0)</f>
        <v>1096968169</v>
      </c>
      <c r="H300" s="32">
        <f>VLOOKUP(A300,[2]Sheet1!$A:$K,11,0)</f>
        <v>46025</v>
      </c>
      <c r="I300" s="25" t="str">
        <f>VLOOKUP(A300,[2]Sheet1!$A:$F,6,0)</f>
        <v>CVM Line</v>
      </c>
      <c r="J300" s="25"/>
      <c r="K300" s="27" t="str">
        <f>VLOOKUP(A300,[2]Sheet1!$A:$N,14,0)</f>
        <v>Fakoos</v>
      </c>
    </row>
    <row r="301" spans="1:11">
      <c r="A301" s="28">
        <v>1372</v>
      </c>
      <c r="B301" s="34" t="s">
        <v>317</v>
      </c>
      <c r="C301" s="30" t="str">
        <f>VLOOKUP(B301,[2]Sheet1!$B:$C,2,0)</f>
        <v>Osama Abdelkader Elsayed</v>
      </c>
      <c r="D301" s="25" t="str">
        <f>VLOOKUP(B301,[2]Sheet1!$B:$H,7,0)</f>
        <v>MR</v>
      </c>
      <c r="E301" s="25">
        <f>VLOOKUP(C301,[2]Sheet1!$B:$M,12,0)</f>
        <v>718</v>
      </c>
      <c r="F301" s="29">
        <v>36620879</v>
      </c>
      <c r="G301" s="31">
        <f>VLOOKUP(A301,[2]Sheet1!$A:$J,10,0)</f>
        <v>1050215810</v>
      </c>
      <c r="H301" s="32">
        <f>VLOOKUP(A301,[2]Sheet1!$A:$K,11,0)</f>
        <v>45444</v>
      </c>
      <c r="I301" s="25" t="str">
        <f>VLOOKUP(A301,[2]Sheet1!$A:$F,6,0)</f>
        <v>CVM Line</v>
      </c>
      <c r="J301" s="25"/>
      <c r="K301" s="27" t="str">
        <f>VLOOKUP(A301,[2]Sheet1!$A:$N,14,0)</f>
        <v>Belbais</v>
      </c>
    </row>
    <row r="302" spans="1:11">
      <c r="A302" s="28">
        <v>1725</v>
      </c>
      <c r="B302" s="34" t="s">
        <v>318</v>
      </c>
      <c r="C302" s="30" t="str">
        <f>VLOOKUP(B302,[2]Sheet1!$B:$C,2,0)</f>
        <v>Osama Abdelkader Elsayed</v>
      </c>
      <c r="D302" s="25" t="str">
        <f>VLOOKUP(B302,[2]Sheet1!$B:$H,7,0)</f>
        <v>MR</v>
      </c>
      <c r="E302" s="25">
        <f>VLOOKUP(C302,[2]Sheet1!$B:$M,12,0)</f>
        <v>718</v>
      </c>
      <c r="F302" s="29">
        <v>36620880</v>
      </c>
      <c r="G302" s="31">
        <f>VLOOKUP(A302,[2]Sheet1!$A:$J,10,0)</f>
        <v>1092250404</v>
      </c>
      <c r="H302" s="32">
        <f>VLOOKUP(A302,[2]Sheet1!$A:$K,11,0)</f>
        <v>45871</v>
      </c>
      <c r="I302" s="25" t="str">
        <f>VLOOKUP(A302,[2]Sheet1!$A:$F,6,0)</f>
        <v>CVM Line</v>
      </c>
      <c r="J302" s="25"/>
      <c r="K302" s="27" t="str">
        <f>VLOOKUP(A302,[2]Sheet1!$A:$N,14,0)</f>
        <v>El Zakazik City</v>
      </c>
    </row>
    <row r="303" spans="1:11">
      <c r="A303" s="28">
        <v>1629</v>
      </c>
      <c r="B303" s="34" t="s">
        <v>319</v>
      </c>
      <c r="C303" s="30" t="str">
        <f>VLOOKUP(B303,[2]Sheet1!$B:$D,3,0)</f>
        <v>Karam Belal Mohamed</v>
      </c>
      <c r="D303" s="25" t="str">
        <f>VLOOKUP(B303,[2]Sheet1!$B:$H,7,0)</f>
        <v>DM</v>
      </c>
      <c r="E303" s="25">
        <f>VLOOKUP(C303,[2]Sheet1!$B:$M,12,0)</f>
        <v>69</v>
      </c>
      <c r="F303" s="29">
        <v>36620881</v>
      </c>
      <c r="G303" s="31">
        <f>VLOOKUP(A303,[2]Sheet1!$A:$J,10,0)</f>
        <v>1096446526</v>
      </c>
      <c r="H303" s="32">
        <f>VLOOKUP(A303,[2]Sheet1!$A:$K,11,0)</f>
        <v>45780</v>
      </c>
      <c r="I303" s="25" t="str">
        <f>VLOOKUP(A303,[2]Sheet1!$A:$F,6,0)</f>
        <v>CVM Line</v>
      </c>
      <c r="J303" s="25" t="str">
        <f>VLOOKUP(A303,[2]Sheet1!$A:$L,12,0)</f>
        <v>Sara.Fathi.Azam@averroes-eg.com</v>
      </c>
      <c r="K303" s="27" t="str">
        <f>VLOOKUP(A303,[2]Sheet1!$A:$N,14,0)</f>
        <v>El Mansoura</v>
      </c>
    </row>
    <row r="304" spans="1:11">
      <c r="A304" s="28">
        <v>1392</v>
      </c>
      <c r="B304" s="34" t="s">
        <v>320</v>
      </c>
      <c r="C304" s="30" t="str">
        <f>VLOOKUP(B304,[2]Sheet1!$B:$C,2,0)</f>
        <v>Sara Fathi Azam</v>
      </c>
      <c r="D304" s="25" t="str">
        <f>VLOOKUP(B304,[2]Sheet1!$B:$H,7,0)</f>
        <v>MR</v>
      </c>
      <c r="E304" s="25">
        <f>VLOOKUP(C304,[2]Sheet1!$B:$M,12,0)</f>
        <v>1629</v>
      </c>
      <c r="F304" s="29">
        <v>36620882</v>
      </c>
      <c r="G304" s="31">
        <f>VLOOKUP(A304,[2]Sheet1!$A:$J,10,0)</f>
        <v>1023684432</v>
      </c>
      <c r="H304" s="32">
        <f>VLOOKUP(A304,[2]Sheet1!$A:$K,11,0)</f>
        <v>45451</v>
      </c>
      <c r="I304" s="25" t="str">
        <f>VLOOKUP(A304,[2]Sheet1!$A:$F,6,0)</f>
        <v>CVM Line</v>
      </c>
      <c r="J304" s="25"/>
      <c r="K304" s="27" t="str">
        <f>VLOOKUP(A304,[2]Sheet1!$A:$N,14,0)</f>
        <v>Domiat</v>
      </c>
    </row>
    <row r="305" spans="1:11">
      <c r="A305" s="28">
        <v>1561</v>
      </c>
      <c r="B305" s="34" t="s">
        <v>321</v>
      </c>
      <c r="C305" s="30" t="str">
        <f>VLOOKUP(B305,[2]Sheet1!$B:$C,2,0)</f>
        <v>Sara Fathi Azam</v>
      </c>
      <c r="D305" s="25" t="str">
        <f>VLOOKUP(B305,[2]Sheet1!$B:$H,7,0)</f>
        <v>MR</v>
      </c>
      <c r="E305" s="25">
        <f>VLOOKUP(C305,[2]Sheet1!$B:$M,12,0)</f>
        <v>1629</v>
      </c>
      <c r="F305" s="29">
        <v>36620883</v>
      </c>
      <c r="G305" s="31">
        <f>VLOOKUP(A305,[2]Sheet1!$A:$J,10,0)</f>
        <v>1286052148</v>
      </c>
      <c r="H305" s="32">
        <f>VLOOKUP(A305,[2]Sheet1!$A:$K,11,0)</f>
        <v>45717</v>
      </c>
      <c r="I305" s="25" t="str">
        <f>VLOOKUP(A305,[2]Sheet1!$A:$F,6,0)</f>
        <v>CVM Line</v>
      </c>
      <c r="J305" s="25"/>
      <c r="K305" s="27" t="str">
        <f>VLOOKUP(A305,[2]Sheet1!$A:$N,14,0)</f>
        <v>El Manzala</v>
      </c>
    </row>
    <row r="306" spans="1:11">
      <c r="A306" s="28">
        <v>1617</v>
      </c>
      <c r="B306" s="34" t="s">
        <v>322</v>
      </c>
      <c r="C306" s="30" t="str">
        <f>VLOOKUP(B306,[2]Sheet1!$B:$C,2,0)</f>
        <v>Sara Fathi Azam</v>
      </c>
      <c r="D306" s="25" t="str">
        <f>VLOOKUP(B306,[2]Sheet1!$B:$H,7,0)</f>
        <v>MR</v>
      </c>
      <c r="E306" s="25">
        <f>VLOOKUP(C306,[2]Sheet1!$B:$M,12,0)</f>
        <v>1629</v>
      </c>
      <c r="F306" s="29">
        <v>36620884</v>
      </c>
      <c r="G306" s="31">
        <f>VLOOKUP(A306,[2]Sheet1!$A:$J,10,0)</f>
        <v>1008340456</v>
      </c>
      <c r="H306" s="32">
        <f>VLOOKUP(A306,[2]Sheet1!$A:$K,11,0)</f>
        <v>45766</v>
      </c>
      <c r="I306" s="25" t="str">
        <f>VLOOKUP(A306,[2]Sheet1!$A:$F,6,0)</f>
        <v>CVM Line</v>
      </c>
      <c r="J306" s="25"/>
      <c r="K306" s="27" t="str">
        <f>VLOOKUP(A306,[2]Sheet1!$A:$N,14,0)</f>
        <v>El Mansoura</v>
      </c>
    </row>
    <row r="307" spans="1:11">
      <c r="A307" s="28">
        <v>1810</v>
      </c>
      <c r="B307" s="34" t="s">
        <v>323</v>
      </c>
      <c r="C307" s="30" t="str">
        <f>VLOOKUP(B307,[2]Sheet1!$B:$C,2,0)</f>
        <v>Sara Fathi Azam</v>
      </c>
      <c r="D307" s="25" t="str">
        <f>VLOOKUP(B307,[2]Sheet1!$B:$H,7,0)</f>
        <v>MR</v>
      </c>
      <c r="E307" s="25">
        <f>VLOOKUP(C307,[2]Sheet1!$B:$M,12,0)</f>
        <v>1629</v>
      </c>
      <c r="F307" s="29">
        <v>36620885</v>
      </c>
      <c r="G307" s="31">
        <f>VLOOKUP(A307,[2]Sheet1!$A:$J,10,0)</f>
        <v>1033028614</v>
      </c>
      <c r="H307" s="32">
        <f>VLOOKUP(A307,[2]Sheet1!$A:$K,11,0)</f>
        <v>45997</v>
      </c>
      <c r="I307" s="25" t="str">
        <f>VLOOKUP(A307,[2]Sheet1!$A:$F,6,0)</f>
        <v>CVM Line</v>
      </c>
      <c r="J307" s="25"/>
      <c r="K307" s="27" t="str">
        <f>VLOOKUP(A307,[2]Sheet1!$A:$N,14,0)</f>
        <v>Mansoura</v>
      </c>
    </row>
    <row r="308" spans="1:11">
      <c r="A308" s="28">
        <v>1562</v>
      </c>
      <c r="B308" s="34" t="s">
        <v>324</v>
      </c>
      <c r="C308" s="30" t="str">
        <f>VLOOKUP(B308,[2]Sheet1!$B:$C,2,0)</f>
        <v>Sara Fathi Azam</v>
      </c>
      <c r="D308" s="25" t="str">
        <f>VLOOKUP(B308,[2]Sheet1!$B:$H,7,0)</f>
        <v>MR</v>
      </c>
      <c r="E308" s="25">
        <f>VLOOKUP(C308,[2]Sheet1!$B:$M,12,0)</f>
        <v>1629</v>
      </c>
      <c r="F308" s="29">
        <v>36620887</v>
      </c>
      <c r="G308" s="31">
        <f>VLOOKUP(A308,[2]Sheet1!$A:$J,10,0)</f>
        <v>1124830067</v>
      </c>
      <c r="H308" s="32">
        <f>VLOOKUP(A308,[2]Sheet1!$A:$K,11,0)</f>
        <v>45717</v>
      </c>
      <c r="I308" s="25" t="str">
        <f>VLOOKUP(A308,[2]Sheet1!$A:$F,6,0)</f>
        <v>CVM Line</v>
      </c>
      <c r="J308" s="25"/>
      <c r="K308" s="27" t="str">
        <f>VLOOKUP(A308,[2]Sheet1!$A:$N,14,0)</f>
        <v>Meet Ghamr</v>
      </c>
    </row>
    <row r="309" spans="1:11">
      <c r="A309" s="28">
        <v>1612</v>
      </c>
      <c r="B309" s="34" t="s">
        <v>325</v>
      </c>
      <c r="C309" s="30" t="str">
        <f>VLOOKUP(B309,[2]Sheet1!$B:$C,2,0)</f>
        <v>Sara Fathi Azam</v>
      </c>
      <c r="D309" s="25" t="str">
        <f>VLOOKUP(B309,[2]Sheet1!$B:$H,7,0)</f>
        <v>MR</v>
      </c>
      <c r="E309" s="25">
        <f>VLOOKUP(C309,[2]Sheet1!$B:$M,12,0)</f>
        <v>1629</v>
      </c>
      <c r="F309" s="29">
        <v>36620889</v>
      </c>
      <c r="G309" s="31">
        <f>VLOOKUP(A309,[2]Sheet1!$A:$J,10,0)</f>
        <v>1018292275</v>
      </c>
      <c r="H309" s="32">
        <f>VLOOKUP(A309,[2]Sheet1!$A:$K,11,0)</f>
        <v>45759</v>
      </c>
      <c r="I309" s="25" t="str">
        <f>VLOOKUP(A309,[2]Sheet1!$A:$F,6,0)</f>
        <v>CVM Line</v>
      </c>
      <c r="J309" s="25"/>
      <c r="K309" s="27" t="str">
        <f>VLOOKUP(A309,[2]Sheet1!$A:$N,14,0)</f>
        <v>Sherbeen</v>
      </c>
    </row>
    <row r="310" spans="1:11">
      <c r="A310" s="28">
        <v>1643</v>
      </c>
      <c r="B310" s="34" t="s">
        <v>326</v>
      </c>
      <c r="C310" s="30" t="str">
        <f>VLOOKUP(B310,[2]Sheet1!$B:$C,2,0)</f>
        <v>L11_Vacant_Dakahlia &amp; Domiat &amp; Port Said</v>
      </c>
      <c r="D310" s="25" t="str">
        <f>VLOOKUP(B310,[2]Sheet1!$B:$H,7,0)</f>
        <v>MR</v>
      </c>
      <c r="E310" s="25"/>
      <c r="F310" s="29">
        <v>36620890</v>
      </c>
      <c r="G310" s="31">
        <f>VLOOKUP(A310,[2]Sheet1!$A:$J,10,0)</f>
        <v>1063854197</v>
      </c>
      <c r="H310" s="32">
        <f>VLOOKUP(A310,[2]Sheet1!$A:$K,11,0)</f>
        <v>45783</v>
      </c>
      <c r="I310" s="25" t="str">
        <f>VLOOKUP(A310,[2]Sheet1!$A:$F,6,0)</f>
        <v>DIA Line</v>
      </c>
      <c r="J310" s="25"/>
      <c r="K310" s="27" t="str">
        <f>VLOOKUP(A310,[2]Sheet1!$A:$N,14,0)</f>
        <v>Domiatte</v>
      </c>
    </row>
    <row r="311" spans="1:11">
      <c r="A311" s="28">
        <v>1644</v>
      </c>
      <c r="B311" s="34" t="s">
        <v>327</v>
      </c>
      <c r="C311" s="30" t="str">
        <f>VLOOKUP(B311,[2]Sheet1!$B:$C,2,0)</f>
        <v>L11_Vacant_Dakahlia &amp; Domiat &amp; Port Said</v>
      </c>
      <c r="D311" s="25" t="str">
        <f>VLOOKUP(B311,[2]Sheet1!$B:$H,7,0)</f>
        <v>MR</v>
      </c>
      <c r="E311" s="25"/>
      <c r="F311" s="29">
        <v>36620891</v>
      </c>
      <c r="G311" s="31">
        <f>VLOOKUP(A311,[2]Sheet1!$A:$J,10,0)</f>
        <v>1001303361</v>
      </c>
      <c r="H311" s="32">
        <f>VLOOKUP(A311,[2]Sheet1!$A:$K,11,0)</f>
        <v>45783</v>
      </c>
      <c r="I311" s="25" t="str">
        <f>VLOOKUP(A311,[2]Sheet1!$A:$F,6,0)</f>
        <v>DIA Line</v>
      </c>
      <c r="J311" s="25"/>
      <c r="K311" s="27" t="str">
        <f>VLOOKUP(A311,[2]Sheet1!$A:$N,14,0)</f>
        <v>Mansoura</v>
      </c>
    </row>
    <row r="312" spans="1:11">
      <c r="A312" s="28">
        <v>1645</v>
      </c>
      <c r="B312" s="34" t="s">
        <v>328</v>
      </c>
      <c r="C312" s="30" t="str">
        <f>VLOOKUP(B312,[2]Sheet1!$B:$C,2,0)</f>
        <v>L11_Vacant_Dakahlia &amp; Domiat &amp; Port Said</v>
      </c>
      <c r="D312" s="25" t="str">
        <f>VLOOKUP(B312,[2]Sheet1!$B:$H,7,0)</f>
        <v>MR</v>
      </c>
      <c r="E312" s="25"/>
      <c r="F312" s="29">
        <v>36620892</v>
      </c>
      <c r="G312" s="31">
        <f>VLOOKUP(A312,[2]Sheet1!$A:$J,10,0)</f>
        <v>1014902948</v>
      </c>
      <c r="H312" s="32">
        <f>VLOOKUP(A312,[2]Sheet1!$A:$K,11,0)</f>
        <v>45780</v>
      </c>
      <c r="I312" s="25" t="str">
        <f>VLOOKUP(A312,[2]Sheet1!$A:$F,6,0)</f>
        <v>DIA Line</v>
      </c>
      <c r="J312" s="25"/>
      <c r="K312" s="27" t="str">
        <f>VLOOKUP(A312,[2]Sheet1!$A:$N,14,0)</f>
        <v>Mit ghamr</v>
      </c>
    </row>
    <row r="313" spans="1:11">
      <c r="A313" s="28">
        <v>1646</v>
      </c>
      <c r="B313" s="34" t="s">
        <v>329</v>
      </c>
      <c r="C313" s="30" t="str">
        <f>VLOOKUP(B313,[2]Sheet1!$B:$C,2,0)</f>
        <v>L11_Vacant_Dakahlia &amp; Domiat &amp; Port Said</v>
      </c>
      <c r="D313" s="25" t="str">
        <f>VLOOKUP(B313,[2]Sheet1!$B:$H,7,0)</f>
        <v>MR</v>
      </c>
      <c r="E313" s="25"/>
      <c r="F313" s="29">
        <v>36620893</v>
      </c>
      <c r="G313" s="31">
        <f>VLOOKUP(A313,[2]Sheet1!$A:$J,10,0)</f>
        <v>1287860208</v>
      </c>
      <c r="H313" s="32">
        <f>VLOOKUP(A313,[2]Sheet1!$A:$K,11,0)</f>
        <v>45780</v>
      </c>
      <c r="I313" s="25" t="str">
        <f>VLOOKUP(A313,[2]Sheet1!$A:$F,6,0)</f>
        <v>DIA Line</v>
      </c>
      <c r="J313" s="25"/>
      <c r="K313" s="27" t="str">
        <f>VLOOKUP(A313,[2]Sheet1!$A:$N,14,0)</f>
        <v>Manzala</v>
      </c>
    </row>
    <row r="314" spans="1:11">
      <c r="A314" s="28">
        <v>1647</v>
      </c>
      <c r="B314" s="34" t="s">
        <v>330</v>
      </c>
      <c r="C314" s="30" t="str">
        <f>VLOOKUP(B314,[2]Sheet1!$B:$C,2,0)</f>
        <v>L11_Vacant_Dakahlia &amp; Domiat &amp; Port Said</v>
      </c>
      <c r="D314" s="25" t="str">
        <f>VLOOKUP(B314,[2]Sheet1!$B:$H,7,0)</f>
        <v>MR</v>
      </c>
      <c r="E314" s="25"/>
      <c r="F314" s="29">
        <v>36620894</v>
      </c>
      <c r="G314" s="31">
        <f>VLOOKUP(A314,[2]Sheet1!$A:$J,10,0)</f>
        <v>1001868967</v>
      </c>
      <c r="H314" s="32">
        <f>VLOOKUP(A314,[2]Sheet1!$A:$K,11,0)</f>
        <v>45783</v>
      </c>
      <c r="I314" s="25" t="str">
        <f>VLOOKUP(A314,[2]Sheet1!$A:$F,6,0)</f>
        <v>DIA Line</v>
      </c>
      <c r="J314" s="25"/>
      <c r="K314" s="27" t="str">
        <f>VLOOKUP(A314,[2]Sheet1!$A:$N,14,0)</f>
        <v>Mansoura</v>
      </c>
    </row>
    <row r="315" spans="1:11">
      <c r="A315" s="28">
        <v>1785</v>
      </c>
      <c r="B315" s="34" t="s">
        <v>331</v>
      </c>
      <c r="C315" s="30" t="str">
        <f>VLOOKUP(B315,[2]Sheet1!$B:$C,2,0)</f>
        <v>L11_Vacant_Gharbia &amp; Menofia</v>
      </c>
      <c r="D315" s="25" t="str">
        <f>VLOOKUP(B315,[2]Sheet1!$B:$H,7,0)</f>
        <v>MR</v>
      </c>
      <c r="E315" s="25"/>
      <c r="F315" s="29">
        <v>36620895</v>
      </c>
      <c r="G315" s="31">
        <f>VLOOKUP(A315,[2]Sheet1!$A:$J,10,0)</f>
        <v>1007570734</v>
      </c>
      <c r="H315" s="32">
        <f>VLOOKUP(A315,[2]Sheet1!$A:$K,11,0)</f>
        <v>45962</v>
      </c>
      <c r="I315" s="25" t="str">
        <f>VLOOKUP(A315,[2]Sheet1!$A:$F,6,0)</f>
        <v>DIA Line</v>
      </c>
      <c r="J315" s="25"/>
      <c r="K315" s="27" t="str">
        <f>VLOOKUP(A315,[2]Sheet1!$A:$N,14,0)</f>
        <v>Beket ElSabaa</v>
      </c>
    </row>
    <row r="316" spans="1:11">
      <c r="A316" s="28">
        <v>1635</v>
      </c>
      <c r="B316" s="34" t="s">
        <v>332</v>
      </c>
      <c r="C316" s="30" t="str">
        <f>VLOOKUP(B316,[2]Sheet1!$B:$C,2,0)</f>
        <v>L11_Vacant_Gharbia &amp; Menofia</v>
      </c>
      <c r="D316" s="25" t="str">
        <f>VLOOKUP(B316,[2]Sheet1!$B:$H,7,0)</f>
        <v>MR</v>
      </c>
      <c r="E316" s="25"/>
      <c r="F316" s="29">
        <v>36620896</v>
      </c>
      <c r="G316" s="31">
        <f>VLOOKUP(A316,[2]Sheet1!$A:$J,10,0)</f>
        <v>1227067386</v>
      </c>
      <c r="H316" s="32">
        <f>VLOOKUP(A316,[2]Sheet1!$A:$K,11,0)</f>
        <v>45780</v>
      </c>
      <c r="I316" s="25" t="str">
        <f>VLOOKUP(A316,[2]Sheet1!$A:$F,6,0)</f>
        <v>DIA Line</v>
      </c>
      <c r="J316" s="25"/>
      <c r="K316" s="27" t="str">
        <f>VLOOKUP(A316,[2]Sheet1!$A:$N,14,0)</f>
        <v>Kfr zayat </v>
      </c>
    </row>
    <row r="317" spans="1:11">
      <c r="A317" s="28">
        <v>1688</v>
      </c>
      <c r="B317" s="34" t="s">
        <v>333</v>
      </c>
      <c r="C317" s="30" t="str">
        <f>VLOOKUP(B317,[2]Sheet1!$B:$C,2,0)</f>
        <v>L11_Vacant_Gharbia &amp; Menofia</v>
      </c>
      <c r="D317" s="25" t="str">
        <f>VLOOKUP(B317,[2]Sheet1!$B:$H,7,0)</f>
        <v>MR</v>
      </c>
      <c r="E317" s="25"/>
      <c r="F317" s="29">
        <v>36620897</v>
      </c>
      <c r="G317" s="31">
        <f>VLOOKUP(A317,[2]Sheet1!$A:$J,10,0)</f>
        <v>1092913323</v>
      </c>
      <c r="H317" s="32">
        <f>VLOOKUP(A317,[2]Sheet1!$A:$K,11,0)</f>
        <v>45811</v>
      </c>
      <c r="I317" s="25" t="str">
        <f>VLOOKUP(A317,[2]Sheet1!$A:$F,6,0)</f>
        <v>DIA Line</v>
      </c>
      <c r="J317" s="25"/>
      <c r="K317" s="27" t="str">
        <f>VLOOKUP(A317,[2]Sheet1!$A:$N,14,0)</f>
        <v>Tanta City</v>
      </c>
    </row>
    <row r="318" spans="1:11">
      <c r="A318" s="28">
        <v>1636</v>
      </c>
      <c r="B318" s="34" t="s">
        <v>334</v>
      </c>
      <c r="C318" s="30" t="str">
        <f>VLOOKUP(B318,[2]Sheet1!$B:$C,2,0)</f>
        <v>L11_Vacant_Gharbia &amp; Menofia</v>
      </c>
      <c r="D318" s="25" t="str">
        <f>VLOOKUP(B318,[2]Sheet1!$B:$H,7,0)</f>
        <v>MR</v>
      </c>
      <c r="E318" s="25"/>
      <c r="F318" s="29">
        <v>36620898</v>
      </c>
      <c r="G318" s="31">
        <f>VLOOKUP(A318,[2]Sheet1!$A:$J,10,0)</f>
        <v>1140921800</v>
      </c>
      <c r="H318" s="32">
        <f>VLOOKUP(A318,[2]Sheet1!$A:$K,11,0)</f>
        <v>45780</v>
      </c>
      <c r="I318" s="25" t="str">
        <f>VLOOKUP(A318,[2]Sheet1!$A:$F,6,0)</f>
        <v>DIA Line</v>
      </c>
      <c r="J318" s="25"/>
      <c r="K318" s="27" t="str">
        <f>VLOOKUP(A318,[2]Sheet1!$A:$N,14,0)</f>
        <v>Zefta</v>
      </c>
    </row>
    <row r="319" spans="1:11">
      <c r="A319" s="28">
        <v>711</v>
      </c>
      <c r="B319" s="34" t="s">
        <v>335</v>
      </c>
      <c r="C319" s="30" t="str">
        <f>VLOOKUP(B319,[2]Sheet1!$B:$C,2,0)</f>
        <v>L11_Vacant_Gharbia &amp; Menofia</v>
      </c>
      <c r="D319" s="25" t="str">
        <f>VLOOKUP(B319,[2]Sheet1!$B:$H,7,0)</f>
        <v>MR</v>
      </c>
      <c r="E319" s="25"/>
      <c r="F319" s="29">
        <v>36620899</v>
      </c>
      <c r="G319" s="31">
        <f>VLOOKUP(A319,[2]Sheet1!$A:$J,10,0)</f>
        <v>1003456648</v>
      </c>
      <c r="H319" s="32">
        <f>VLOOKUP(A319,[2]Sheet1!$A:$K,11,0)</f>
        <v>44222</v>
      </c>
      <c r="I319" s="25" t="str">
        <f>VLOOKUP(A319,[2]Sheet1!$A:$F,6,0)</f>
        <v>DIA Line</v>
      </c>
      <c r="J319" s="25"/>
      <c r="K319" s="27" t="str">
        <f>VLOOKUP(A319,[2]Sheet1!$A:$N,14,0)</f>
        <v>Shebien El Kom</v>
      </c>
    </row>
    <row r="320" spans="1:11">
      <c r="A320" s="28">
        <v>1847</v>
      </c>
      <c r="B320" s="34" t="s">
        <v>336</v>
      </c>
      <c r="C320" s="30" t="str">
        <f>VLOOKUP(B320,[2]Sheet1!$B:$C,2,0)</f>
        <v>L11_Vacant_Gharbia &amp; Menofia</v>
      </c>
      <c r="D320" s="25" t="str">
        <f>VLOOKUP(B320,[2]Sheet1!$B:$H,7,0)</f>
        <v>MR</v>
      </c>
      <c r="E320" s="25"/>
      <c r="F320" s="29">
        <v>36620901</v>
      </c>
      <c r="G320" s="31"/>
      <c r="H320" s="32">
        <f>VLOOKUP(A320,[2]Sheet1!$A:$K,11,0)</f>
        <v>46054</v>
      </c>
      <c r="I320" s="25" t="str">
        <f>VLOOKUP(A320,[2]Sheet1!$A:$F,6,0)</f>
        <v>DIA Line</v>
      </c>
      <c r="J320" s="25"/>
      <c r="K320" s="27" t="str">
        <f>VLOOKUP(A320,[2]Sheet1!$A:$I,9,0)</f>
        <v>Delta</v>
      </c>
    </row>
    <row r="321" spans="1:11">
      <c r="A321" s="28">
        <v>1638</v>
      </c>
      <c r="B321" s="34" t="s">
        <v>337</v>
      </c>
      <c r="C321" s="30" t="str">
        <f>VLOOKUP(B321,[2]Sheet1!$B:$C,2,0)</f>
        <v>L11_Vacant_Gharbia &amp; Menofia</v>
      </c>
      <c r="D321" s="25" t="str">
        <f>VLOOKUP(B321,[2]Sheet1!$B:$H,7,0)</f>
        <v>MR</v>
      </c>
      <c r="E321" s="25"/>
      <c r="F321" s="29">
        <v>36620902</v>
      </c>
      <c r="G321" s="31">
        <f>VLOOKUP(A321,[2]Sheet1!$A:$J,10,0)</f>
        <v>1097112085</v>
      </c>
      <c r="H321" s="32">
        <f>VLOOKUP(A321,[2]Sheet1!$A:$K,11,0)</f>
        <v>45780</v>
      </c>
      <c r="I321" s="25" t="str">
        <f>VLOOKUP(A321,[2]Sheet1!$A:$F,6,0)</f>
        <v>DIA Line</v>
      </c>
      <c r="J321" s="25"/>
      <c r="K321" s="27" t="str">
        <f>VLOOKUP(A321,[2]Sheet1!$A:$N,14,0)</f>
        <v>El Bagour</v>
      </c>
    </row>
    <row r="322" spans="1:11">
      <c r="A322" s="28">
        <v>1368</v>
      </c>
      <c r="B322" s="34" t="s">
        <v>338</v>
      </c>
      <c r="C322" s="30" t="str">
        <f>VLOOKUP(B322,[2]Sheet1!$B:$D,3,0)</f>
        <v>Karam Belal Mohamed</v>
      </c>
      <c r="D322" s="25" t="str">
        <f>VLOOKUP(B322,[2]Sheet1!$B:$H,7,0)</f>
        <v>DM</v>
      </c>
      <c r="E322" s="25">
        <f>VLOOKUP(C322,[2]Sheet1!$B:$M,12,0)</f>
        <v>69</v>
      </c>
      <c r="F322" s="29">
        <v>36620903</v>
      </c>
      <c r="G322" s="31">
        <f>VLOOKUP(A322,[2]Sheet1!$A:$J,10,0)</f>
        <v>1007037612</v>
      </c>
      <c r="H322" s="32">
        <f>VLOOKUP(A322,[2]Sheet1!$A:$K,11,0)</f>
        <v>45444</v>
      </c>
      <c r="I322" s="25" t="str">
        <f>VLOOKUP(A322,[2]Sheet1!$A:$F,6,0)</f>
        <v>DIA Line</v>
      </c>
      <c r="J322" s="25" t="str">
        <f>VLOOKUP(A322,[2]Sheet1!$A:$L,12,0)</f>
        <v>Mahmoud.AbdElSattar.AbdElWahab@averroes-eg.com</v>
      </c>
      <c r="K322" s="27" t="str">
        <f>VLOOKUP(A322,[2]Sheet1!$A:$N,14,0)</f>
        <v>Menyet Elkamh</v>
      </c>
    </row>
    <row r="323" spans="1:11">
      <c r="A323" s="28">
        <v>1639</v>
      </c>
      <c r="B323" s="34" t="s">
        <v>339</v>
      </c>
      <c r="C323" s="30" t="str">
        <f>VLOOKUP(B323,[2]Sheet1!$B:$C,2,0)</f>
        <v>Mahmoud AbdElSattar AbdElWahab</v>
      </c>
      <c r="D323" s="25" t="str">
        <f>VLOOKUP(B323,[2]Sheet1!$B:$H,7,0)</f>
        <v>MR</v>
      </c>
      <c r="E323" s="25">
        <f>VLOOKUP(C323,[2]Sheet1!$B:$M,12,0)</f>
        <v>1368</v>
      </c>
      <c r="F323" s="29">
        <v>36620904</v>
      </c>
      <c r="G323" s="31">
        <f>VLOOKUP(A323,[2]Sheet1!$A:$J,10,0)</f>
        <v>1551452530</v>
      </c>
      <c r="H323" s="32">
        <f>VLOOKUP(A323,[2]Sheet1!$A:$K,11,0)</f>
        <v>45783</v>
      </c>
      <c r="I323" s="25" t="str">
        <f>VLOOKUP(A323,[2]Sheet1!$A:$F,6,0)</f>
        <v>DIA Line</v>
      </c>
      <c r="J323" s="25"/>
      <c r="K323" s="27" t="str">
        <f>VLOOKUP(A323,[2]Sheet1!$A:$N,14,0)</f>
        <v>Banha - Atreeb</v>
      </c>
    </row>
    <row r="324" spans="1:11">
      <c r="A324" s="28">
        <v>1641</v>
      </c>
      <c r="B324" s="34" t="s">
        <v>340</v>
      </c>
      <c r="C324" s="30" t="str">
        <f>VLOOKUP(B324,[2]Sheet1!$B:$C,2,0)</f>
        <v>Mahmoud AbdElSattar AbdElWahab</v>
      </c>
      <c r="D324" s="25" t="str">
        <f>VLOOKUP(B324,[2]Sheet1!$B:$H,7,0)</f>
        <v>MR</v>
      </c>
      <c r="E324" s="25">
        <f>VLOOKUP(C324,[2]Sheet1!$B:$M,12,0)</f>
        <v>1368</v>
      </c>
      <c r="F324" s="29">
        <v>36620905</v>
      </c>
      <c r="G324" s="31">
        <f>VLOOKUP(A324,[2]Sheet1!$A:$J,10,0)</f>
        <v>1277040381</v>
      </c>
      <c r="H324" s="32">
        <f>VLOOKUP(A324,[2]Sheet1!$A:$K,11,0)</f>
        <v>45780</v>
      </c>
      <c r="I324" s="25" t="str">
        <f>VLOOKUP(A324,[2]Sheet1!$A:$F,6,0)</f>
        <v>DIA Line</v>
      </c>
      <c r="J324" s="25"/>
      <c r="K324" s="27" t="str">
        <f>VLOOKUP(A324,[2]Sheet1!$A:$N,14,0)</f>
        <v>Hehia</v>
      </c>
    </row>
    <row r="325" spans="1:11">
      <c r="A325" s="28">
        <v>1777</v>
      </c>
      <c r="B325" s="34" t="s">
        <v>341</v>
      </c>
      <c r="C325" s="30" t="str">
        <f>VLOOKUP(B325,[2]Sheet1!$B:$C,2,0)</f>
        <v>Mahmoud AbdElSattar AbdElWahab</v>
      </c>
      <c r="D325" s="25" t="str">
        <f>VLOOKUP(B325,[2]Sheet1!$B:$H,7,0)</f>
        <v>MR</v>
      </c>
      <c r="E325" s="25">
        <f>VLOOKUP(C325,[2]Sheet1!$B:$M,12,0)</f>
        <v>1368</v>
      </c>
      <c r="F325" s="29">
        <v>36620907</v>
      </c>
      <c r="G325" s="31">
        <f>VLOOKUP(A325,[2]Sheet1!$A:$J,10,0)</f>
        <v>1553246058</v>
      </c>
      <c r="H325" s="32">
        <f>VLOOKUP(A325,[2]Sheet1!$A:$K,11,0)</f>
        <v>45962</v>
      </c>
      <c r="I325" s="25" t="str">
        <f>VLOOKUP(A325,[2]Sheet1!$A:$F,6,0)</f>
        <v>DIA Line</v>
      </c>
      <c r="J325" s="25"/>
      <c r="K325" s="27" t="str">
        <f>VLOOKUP(A325,[2]Sheet1!$A:$N,14,0)</f>
        <v>Belbais</v>
      </c>
    </row>
    <row r="326" spans="1:11">
      <c r="A326" s="28">
        <v>1683</v>
      </c>
      <c r="B326" s="34" t="s">
        <v>342</v>
      </c>
      <c r="C326" s="30" t="str">
        <f>VLOOKUP(B326,[2]Sheet1!$B:$C,2,0)</f>
        <v>Mahmoud AbdElSattar AbdElWahab</v>
      </c>
      <c r="D326" s="25" t="str">
        <f>VLOOKUP(B326,[2]Sheet1!$B:$H,7,0)</f>
        <v>MR</v>
      </c>
      <c r="E326" s="25">
        <f>VLOOKUP(C326,[2]Sheet1!$B:$M,12,0)</f>
        <v>1368</v>
      </c>
      <c r="F326" s="29">
        <v>36620908</v>
      </c>
      <c r="G326" s="31">
        <f>VLOOKUP(A326,[2]Sheet1!$A:$J,10,0)</f>
        <v>1223027139</v>
      </c>
      <c r="H326" s="32">
        <f>VLOOKUP(A326,[2]Sheet1!$A:$K,11,0)</f>
        <v>45810</v>
      </c>
      <c r="I326" s="25" t="str">
        <f>VLOOKUP(A326,[2]Sheet1!$A:$F,6,0)</f>
        <v>DIA Line</v>
      </c>
      <c r="J326" s="25"/>
      <c r="K326" s="27" t="str">
        <f>VLOOKUP(A326,[2]Sheet1!$A:$N,14,0)</f>
        <v>Shebien El Kanater</v>
      </c>
    </row>
    <row r="327" spans="1:11">
      <c r="A327" s="28">
        <v>1838</v>
      </c>
      <c r="B327" s="34" t="s">
        <v>343</v>
      </c>
      <c r="C327" s="30" t="str">
        <f>VLOOKUP(B327,[2]Sheet1!$B:$C,2,0)</f>
        <v>Mahmoud AbdElSattar AbdElWahab</v>
      </c>
      <c r="D327" s="25" t="str">
        <f>VLOOKUP(B327,[2]Sheet1!$B:$H,7,0)</f>
        <v>MR</v>
      </c>
      <c r="E327" s="25">
        <f>VLOOKUP(C327,[2]Sheet1!$B:$M,12,0)</f>
        <v>1368</v>
      </c>
      <c r="F327" s="29">
        <v>36620909</v>
      </c>
      <c r="G327" s="31">
        <f>VLOOKUP(A327,[2]Sheet1!$A:$J,10,0)</f>
        <v>1068040454</v>
      </c>
      <c r="H327" s="32">
        <f>VLOOKUP(A327,[2]Sheet1!$A:$K,11,0)</f>
        <v>46025</v>
      </c>
      <c r="I327" s="25" t="str">
        <f>VLOOKUP(A327,[2]Sheet1!$A:$F,6,0)</f>
        <v>DIA Line</v>
      </c>
      <c r="J327" s="25"/>
      <c r="K327" s="27" t="str">
        <f>VLOOKUP(A327,[2]Sheet1!$A:$N,14,0)</f>
        <v>El Zakazik City</v>
      </c>
    </row>
    <row r="328" spans="1:11">
      <c r="A328" s="28">
        <v>1825</v>
      </c>
      <c r="B328" s="34" t="s">
        <v>344</v>
      </c>
      <c r="C328" s="30" t="str">
        <f>VLOOKUP(B328,[2]Sheet1!$B:$C,2,0)</f>
        <v>Mahmoud AbdElSattar AbdElWahab</v>
      </c>
      <c r="D328" s="25" t="str">
        <f>VLOOKUP(B328,[2]Sheet1!$B:$H,7,0)</f>
        <v>MR</v>
      </c>
      <c r="E328" s="25">
        <f>VLOOKUP(C328,[2]Sheet1!$B:$M,12,0)</f>
        <v>1368</v>
      </c>
      <c r="F328" s="29">
        <v>36620911</v>
      </c>
      <c r="G328" s="31">
        <f>VLOOKUP(A328,[2]Sheet1!$A:$J,10,0)</f>
        <v>1116336056</v>
      </c>
      <c r="H328" s="32">
        <f>VLOOKUP(A328,[2]Sheet1!$A:$K,11,0)</f>
        <v>46025</v>
      </c>
      <c r="I328" s="25" t="str">
        <f>VLOOKUP(A328,[2]Sheet1!$A:$F,6,0)</f>
        <v>DIA Line</v>
      </c>
      <c r="J328" s="25"/>
      <c r="K328" s="27" t="str">
        <f>VLOOKUP(A328,[2]Sheet1!$A:$N,14,0)</f>
        <v>Fakoos</v>
      </c>
    </row>
    <row r="329" spans="1:11">
      <c r="A329" s="28">
        <v>964</v>
      </c>
      <c r="B329" s="34" t="s">
        <v>345</v>
      </c>
      <c r="C329" s="30" t="str">
        <f>VLOOKUP(B329,[2]Sheet1!$B:$E,4,0)</f>
        <v>Abo El Abbas Samir</v>
      </c>
      <c r="D329" s="25" t="str">
        <f>VLOOKUP(B329,[2]Sheet1!$B:$H,7,0)</f>
        <v>AM</v>
      </c>
      <c r="E329" s="25">
        <f>VLOOKUP(C329,[2]Sheet1!$B:$M,12,0)</f>
        <v>61</v>
      </c>
      <c r="F329" s="29">
        <v>36620912</v>
      </c>
      <c r="G329" s="31" t="str">
        <f>VLOOKUP(A329,[2]Sheet1!$A:$J,10,0)</f>
        <v> 1270022536</v>
      </c>
      <c r="H329" s="32">
        <f>VLOOKUP(A329,[2]Sheet1!$A:$K,11,0)</f>
        <v>44654</v>
      </c>
      <c r="I329" s="25" t="str">
        <f>VLOOKUP(A329,[2]Sheet1!$A:$F,6,0)</f>
        <v>CVM Line &amp; DIA Line</v>
      </c>
      <c r="J329" s="25" t="str">
        <f>VLOOKUP(A329,[2]Sheet1!$A:$L,12,0)</f>
        <v>Mohamed.Osman@Averroes-eg.com</v>
      </c>
      <c r="K329" s="27" t="str">
        <f>VLOOKUP(A329,[2]Sheet1!$A:$N,14,0)</f>
        <v>Shobra El Khiema</v>
      </c>
    </row>
    <row r="330" spans="1:11">
      <c r="A330" s="28">
        <v>1080</v>
      </c>
      <c r="B330" s="34" t="s">
        <v>346</v>
      </c>
      <c r="C330" s="30" t="str">
        <f>VLOOKUP(B330,[2]Sheet1!$B:$D,3,0)</f>
        <v>Mohamed Mostafa Osman</v>
      </c>
      <c r="D330" s="25" t="str">
        <f>VLOOKUP(B330,[2]Sheet1!$B:$H,7,0)</f>
        <v>DM</v>
      </c>
      <c r="E330" s="25">
        <f>VLOOKUP(C330,[2]Sheet1!$B:$M,12,0)</f>
        <v>964</v>
      </c>
      <c r="F330" s="29">
        <v>36620913</v>
      </c>
      <c r="G330" s="31" t="str">
        <f>VLOOKUP(A330,[2]Sheet1!$A:$J,10,0)</f>
        <v> 01121229559</v>
      </c>
      <c r="H330" s="32">
        <f>VLOOKUP(A330,[2]Sheet1!$A:$K,11,0)</f>
        <v>44940</v>
      </c>
      <c r="I330" s="25" t="str">
        <f>VLOOKUP(A330,[2]Sheet1!$A:$F,6,0)</f>
        <v>CVM Line</v>
      </c>
      <c r="J330" s="25" t="str">
        <f>VLOOKUP(A330,[2]Sheet1!$A:$L,12,0)</f>
        <v>Ahmed.Adel.Kasem@averroes-eg.com</v>
      </c>
      <c r="K330" s="27" t="str">
        <f>VLOOKUP(A330,[2]Sheet1!$A:$N,14,0)</f>
        <v>El Badrashien</v>
      </c>
    </row>
    <row r="331" spans="1:11">
      <c r="A331" s="28">
        <v>1203</v>
      </c>
      <c r="B331" s="34" t="s">
        <v>347</v>
      </c>
      <c r="C331" s="30" t="str">
        <f>VLOOKUP(B331,[2]Sheet1!$B:$C,2,0)</f>
        <v>Ahmed Adel Kasem</v>
      </c>
      <c r="D331" s="25" t="str">
        <f>VLOOKUP(B331,[2]Sheet1!$B:$H,7,0)</f>
        <v>MR</v>
      </c>
      <c r="E331" s="25">
        <f>VLOOKUP(C331,[2]Sheet1!$B:$M,12,0)</f>
        <v>1080</v>
      </c>
      <c r="F331" s="29">
        <v>36620914</v>
      </c>
      <c r="G331" s="31">
        <f>VLOOKUP(A331,[2]Sheet1!$A:$J,10,0)</f>
        <v>1030086979</v>
      </c>
      <c r="H331" s="32">
        <f>VLOOKUP(A331,[2]Sheet1!$A:$K,11,0)</f>
        <v>44982</v>
      </c>
      <c r="I331" s="25" t="str">
        <f>VLOOKUP(A331,[2]Sheet1!$A:$F,6,0)</f>
        <v>CVM Line</v>
      </c>
      <c r="J331" s="25"/>
      <c r="K331" s="27" t="str">
        <f>VLOOKUP(A331,[2]Sheet1!$A:$N,14,0)</f>
        <v>El Omrania</v>
      </c>
    </row>
    <row r="332" spans="1:11">
      <c r="A332" s="28">
        <v>1420</v>
      </c>
      <c r="B332" s="34" t="s">
        <v>348</v>
      </c>
      <c r="C332" s="30" t="str">
        <f>VLOOKUP(B332,[2]Sheet1!$B:$C,2,0)</f>
        <v>Ahmed Adel Kasem</v>
      </c>
      <c r="D332" s="25" t="str">
        <f>VLOOKUP(B332,[2]Sheet1!$B:$H,7,0)</f>
        <v>MR</v>
      </c>
      <c r="E332" s="25">
        <f>VLOOKUP(C332,[2]Sheet1!$B:$M,12,0)</f>
        <v>1080</v>
      </c>
      <c r="F332" s="29">
        <v>36620916</v>
      </c>
      <c r="G332" s="31">
        <f>VLOOKUP(A332,[2]Sheet1!$A:$J,10,0)</f>
        <v>1128800071</v>
      </c>
      <c r="H332" s="32">
        <f>VLOOKUP(A332,[2]Sheet1!$A:$K,11,0)</f>
        <v>45507</v>
      </c>
      <c r="I332" s="25" t="str">
        <f>VLOOKUP(A332,[2]Sheet1!$A:$F,6,0)</f>
        <v>CVM Line</v>
      </c>
      <c r="J332" s="25"/>
      <c r="K332" s="27" t="str">
        <f>VLOOKUP(A332,[2]Sheet1!$A:$N,14,0)</f>
        <v>El Talbeia (Faisal)</v>
      </c>
    </row>
    <row r="333" spans="1:11">
      <c r="A333" s="28">
        <v>1478</v>
      </c>
      <c r="B333" s="34" t="s">
        <v>349</v>
      </c>
      <c r="C333" s="30" t="str">
        <f>VLOOKUP(B333,[2]Sheet1!$B:$C,2,0)</f>
        <v>Ahmed Adel Kasem</v>
      </c>
      <c r="D333" s="25" t="str">
        <f>VLOOKUP(B333,[2]Sheet1!$B:$H,7,0)</f>
        <v>MR</v>
      </c>
      <c r="E333" s="25">
        <f>VLOOKUP(C333,[2]Sheet1!$B:$M,12,0)</f>
        <v>1080</v>
      </c>
      <c r="F333" s="29">
        <v>36620918</v>
      </c>
      <c r="G333" s="31">
        <f>VLOOKUP(A333,[2]Sheet1!$A:$J,10,0)</f>
        <v>1007877709</v>
      </c>
      <c r="H333" s="32">
        <f>VLOOKUP(A333,[2]Sheet1!$A:$K,11,0)</f>
        <v>45643</v>
      </c>
      <c r="I333" s="25" t="str">
        <f>VLOOKUP(A333,[2]Sheet1!$A:$F,6,0)</f>
        <v>CVM Line</v>
      </c>
      <c r="J333" s="25"/>
      <c r="K333" s="27" t="str">
        <f>VLOOKUP(A333,[2]Sheet1!$A:$N,14,0)</f>
        <v>Fayoum</v>
      </c>
    </row>
    <row r="334" spans="1:11">
      <c r="A334" s="28">
        <v>1820</v>
      </c>
      <c r="B334" s="34" t="s">
        <v>350</v>
      </c>
      <c r="C334" s="30" t="str">
        <f>VLOOKUP(B334,[2]Sheet1!$B:$C,2,0)</f>
        <v>Ahmed Adel Kasem</v>
      </c>
      <c r="D334" s="25" t="str">
        <f>VLOOKUP(B334,[2]Sheet1!$B:$H,7,0)</f>
        <v>MR</v>
      </c>
      <c r="E334" s="25">
        <f>VLOOKUP(C334,[2]Sheet1!$B:$M,12,0)</f>
        <v>1080</v>
      </c>
      <c r="F334" s="29">
        <v>36620919</v>
      </c>
      <c r="G334" s="31">
        <f>VLOOKUP(A334,[2]Sheet1!$A:$J,10,0)</f>
        <v>1503003193</v>
      </c>
      <c r="H334" s="32">
        <f>VLOOKUP(A334,[2]Sheet1!$A:$K,11,0)</f>
        <v>46006</v>
      </c>
      <c r="I334" s="25" t="str">
        <f>VLOOKUP(A334,[2]Sheet1!$A:$F,6,0)</f>
        <v>CVM Line</v>
      </c>
      <c r="J334" s="25"/>
      <c r="K334" s="27" t="str">
        <f>VLOOKUP(A334,[2]Sheet1!$A:$N,14,0)</f>
        <v>6th of October City</v>
      </c>
    </row>
    <row r="335" spans="1:11">
      <c r="A335" s="28">
        <v>919</v>
      </c>
      <c r="B335" s="34" t="s">
        <v>351</v>
      </c>
      <c r="C335" s="30" t="str">
        <f>VLOOKUP(B335,[2]Sheet1!$B:$D,3,0)</f>
        <v>Mohamed Mostafa Osman</v>
      </c>
      <c r="D335" s="25" t="str">
        <f>VLOOKUP(B335,[2]Sheet1!$B:$H,7,0)</f>
        <v>DM</v>
      </c>
      <c r="E335" s="25">
        <f>VLOOKUP(C335,[2]Sheet1!$B:$M,12,0)</f>
        <v>964</v>
      </c>
      <c r="F335" s="29">
        <v>36620920</v>
      </c>
      <c r="G335" s="31" t="str">
        <f>VLOOKUP(A335,[2]Sheet1!$A:$J,10,0)</f>
        <v> 1150520440</v>
      </c>
      <c r="H335" s="32">
        <f>VLOOKUP(A335,[2]Sheet1!$A:$K,11,0)</f>
        <v>44598</v>
      </c>
      <c r="I335" s="25" t="str">
        <f>VLOOKUP(A335,[2]Sheet1!$A:$F,6,0)</f>
        <v>CVM Line</v>
      </c>
      <c r="J335" s="25" t="str">
        <f>VLOOKUP(A335,[2]Sheet1!$A:$L,12,0)</f>
        <v>Moustafa.Diab@averroes-eg.com</v>
      </c>
      <c r="K335" s="27" t="str">
        <f>VLOOKUP(A335,[2]Sheet1!$A:$N,14,0)</f>
        <v>El Marg</v>
      </c>
    </row>
    <row r="336" spans="1:11">
      <c r="A336" s="28">
        <v>957</v>
      </c>
      <c r="B336" s="34" t="s">
        <v>352</v>
      </c>
      <c r="C336" s="30" t="str">
        <f>VLOOKUP(B336,[2]Sheet1!$B:$C,2,0)</f>
        <v>Moustafa Mohamed Diab</v>
      </c>
      <c r="D336" s="25" t="str">
        <f>VLOOKUP(B336,[2]Sheet1!$B:$H,7,0)</f>
        <v>MR</v>
      </c>
      <c r="E336" s="25">
        <f>VLOOKUP(C336,[2]Sheet1!$B:$M,12,0)</f>
        <v>919</v>
      </c>
      <c r="F336" s="29">
        <v>36620921</v>
      </c>
      <c r="G336" s="31" t="str">
        <f>VLOOKUP(A336,[2]Sheet1!$A:$J,10,0)</f>
        <v> 1021465722</v>
      </c>
      <c r="H336" s="32">
        <f>VLOOKUP(A336,[2]Sheet1!$A:$K,11,0)</f>
        <v>44625</v>
      </c>
      <c r="I336" s="25" t="str">
        <f>VLOOKUP(A336,[2]Sheet1!$A:$F,6,0)</f>
        <v>CVM Line</v>
      </c>
      <c r="J336" s="25"/>
      <c r="K336" s="27" t="str">
        <f>VLOOKUP(A336,[2]Sheet1!$A:$N,14,0)</f>
        <v>Ismaelia City</v>
      </c>
    </row>
    <row r="337" spans="1:11">
      <c r="A337" s="28">
        <v>1575</v>
      </c>
      <c r="B337" s="34" t="s">
        <v>353</v>
      </c>
      <c r="C337" s="30" t="str">
        <f>VLOOKUP(B337,[2]Sheet1!$B:$C,2,0)</f>
        <v>Moustafa Mohamed Diab</v>
      </c>
      <c r="D337" s="25" t="str">
        <f>VLOOKUP(B337,[2]Sheet1!$B:$H,7,0)</f>
        <v>MR</v>
      </c>
      <c r="E337" s="25">
        <f>VLOOKUP(C337,[2]Sheet1!$B:$M,12,0)</f>
        <v>919</v>
      </c>
      <c r="F337" s="29">
        <v>36620922</v>
      </c>
      <c r="G337" s="31">
        <f>VLOOKUP(A337,[2]Sheet1!$A:$J,10,0)</f>
        <v>1017334085</v>
      </c>
      <c r="H337" s="32">
        <f>VLOOKUP(A337,[2]Sheet1!$A:$K,11,0)</f>
        <v>45717</v>
      </c>
      <c r="I337" s="25" t="str">
        <f>VLOOKUP(A337,[2]Sheet1!$A:$F,6,0)</f>
        <v>CVM Line</v>
      </c>
      <c r="J337" s="25"/>
      <c r="K337" s="27" t="str">
        <f>VLOOKUP(A337,[2]Sheet1!$A:$N,14,0)</f>
        <v>El Salam</v>
      </c>
    </row>
    <row r="338" spans="1:11">
      <c r="A338" s="28">
        <v>822</v>
      </c>
      <c r="B338" s="34" t="s">
        <v>354</v>
      </c>
      <c r="C338" s="30" t="str">
        <f>VLOOKUP(B338,[2]Sheet1!$B:$C,2,0)</f>
        <v>Moustafa Mohamed Diab</v>
      </c>
      <c r="D338" s="25" t="str">
        <f>VLOOKUP(B338,[2]Sheet1!$B:$H,7,0)</f>
        <v>MR</v>
      </c>
      <c r="E338" s="25">
        <f>VLOOKUP(C338,[2]Sheet1!$B:$M,12,0)</f>
        <v>919</v>
      </c>
      <c r="F338" s="29">
        <v>36620924</v>
      </c>
      <c r="G338" s="31">
        <f>VLOOKUP(A338,[2]Sheet1!$A:$J,10,0)</f>
        <v>1113219760</v>
      </c>
      <c r="H338" s="32">
        <f>VLOOKUP(A338,[2]Sheet1!$A:$K,11,0)</f>
        <v>44440</v>
      </c>
      <c r="I338" s="25" t="str">
        <f>VLOOKUP(A338,[2]Sheet1!$A:$F,6,0)</f>
        <v>CVM Line</v>
      </c>
      <c r="J338" s="25"/>
      <c r="K338" s="27" t="str">
        <f>VLOOKUP(A338,[2]Sheet1!$A:$N,14,0)</f>
        <v>Roksi</v>
      </c>
    </row>
    <row r="339" spans="1:11">
      <c r="A339" s="28">
        <v>1378</v>
      </c>
      <c r="B339" s="34" t="s">
        <v>355</v>
      </c>
      <c r="C339" s="30" t="str">
        <f>VLOOKUP(B339,[2]Sheet1!$B:$C,2,0)</f>
        <v>Moustafa Mohamed Diab</v>
      </c>
      <c r="D339" s="25" t="str">
        <f>VLOOKUP(B339,[2]Sheet1!$B:$H,7,0)</f>
        <v>MR</v>
      </c>
      <c r="E339" s="25">
        <f>VLOOKUP(C339,[2]Sheet1!$B:$M,12,0)</f>
        <v>919</v>
      </c>
      <c r="F339" s="29">
        <v>36620925</v>
      </c>
      <c r="G339" s="31">
        <f>VLOOKUP(A339,[2]Sheet1!$A:$J,10,0)</f>
        <v>1151554870</v>
      </c>
      <c r="H339" s="32">
        <f>VLOOKUP(A339,[2]Sheet1!$A:$K,11,0)</f>
        <v>45444</v>
      </c>
      <c r="I339" s="25" t="str">
        <f>VLOOKUP(A339,[2]Sheet1!$A:$F,6,0)</f>
        <v>CVM Line</v>
      </c>
      <c r="J339" s="25"/>
      <c r="K339" s="27" t="str">
        <f>VLOOKUP(A339,[2]Sheet1!$A:$N,14,0)</f>
        <v>El Marg</v>
      </c>
    </row>
    <row r="340" spans="1:11">
      <c r="A340" s="28">
        <v>902</v>
      </c>
      <c r="B340" s="34" t="s">
        <v>356</v>
      </c>
      <c r="C340" s="30" t="str">
        <f>VLOOKUP(B340,[2]Sheet1!$B:$D,3,0)</f>
        <v>Mohamed Mostafa Osman</v>
      </c>
      <c r="D340" s="25" t="str">
        <f>VLOOKUP(B340,[2]Sheet1!$B:$H,7,0)</f>
        <v>DM</v>
      </c>
      <c r="E340" s="25">
        <f>VLOOKUP(C340,[2]Sheet1!$B:$M,12,0)</f>
        <v>964</v>
      </c>
      <c r="F340" s="29">
        <v>36620926</v>
      </c>
      <c r="G340" s="31" t="str">
        <f>VLOOKUP(A340,[2]Sheet1!$A:$J,10,0)</f>
        <v> 1140755966</v>
      </c>
      <c r="H340" s="32">
        <f>VLOOKUP(A340,[2]Sheet1!$A:$K,11,0)</f>
        <v>44598</v>
      </c>
      <c r="I340" s="25" t="str">
        <f>VLOOKUP(A340,[2]Sheet1!$A:$F,6,0)</f>
        <v>CVM Line</v>
      </c>
      <c r="J340" s="25"/>
      <c r="K340" s="27" t="str">
        <f>VLOOKUP(A340,[2]Sheet1!$A:$N,14,0)</f>
        <v>Helwan</v>
      </c>
    </row>
    <row r="341" spans="1:11">
      <c r="A341" s="28">
        <v>1423</v>
      </c>
      <c r="B341" s="34" t="s">
        <v>357</v>
      </c>
      <c r="C341" s="30" t="str">
        <f>VLOOKUP(B341,[2]Sheet1!$B:$C,2,0)</f>
        <v>Nourhan Mohamed Ali</v>
      </c>
      <c r="D341" s="25" t="str">
        <f>VLOOKUP(B341,[2]Sheet1!$B:$H,7,0)</f>
        <v>MR</v>
      </c>
      <c r="E341" s="25">
        <f>VLOOKUP(C341,[2]Sheet1!$B:$M,12,0)</f>
        <v>902</v>
      </c>
      <c r="F341" s="29">
        <v>36620928</v>
      </c>
      <c r="G341" s="31">
        <f>VLOOKUP(A341,[2]Sheet1!$A:$J,10,0)</f>
        <v>1150767238</v>
      </c>
      <c r="H341" s="32">
        <f>VLOOKUP(A341,[2]Sheet1!$A:$K,11,0)</f>
        <v>45514</v>
      </c>
      <c r="I341" s="25" t="str">
        <f>VLOOKUP(A341,[2]Sheet1!$A:$F,6,0)</f>
        <v>CVM Line</v>
      </c>
      <c r="J341" s="25"/>
      <c r="K341" s="27" t="str">
        <f>VLOOKUP(A341,[2]Sheet1!$A:$N,14,0)</f>
        <v>Embaba</v>
      </c>
    </row>
    <row r="342" spans="1:11">
      <c r="A342" s="28">
        <v>1527</v>
      </c>
      <c r="B342" s="34" t="s">
        <v>358</v>
      </c>
      <c r="C342" s="30" t="str">
        <f>VLOOKUP(B342,[2]Sheet1!$B:$C,2,0)</f>
        <v>Nourhan Mohamed Ali</v>
      </c>
      <c r="D342" s="25" t="str">
        <f>VLOOKUP(B342,[2]Sheet1!$B:$H,7,0)</f>
        <v>MR</v>
      </c>
      <c r="E342" s="25">
        <f>VLOOKUP(C342,[2]Sheet1!$B:$M,12,0)</f>
        <v>902</v>
      </c>
      <c r="F342" s="29">
        <v>36620929</v>
      </c>
      <c r="G342" s="31">
        <f>VLOOKUP(A342,[2]Sheet1!$A:$J,10,0)</f>
        <v>1221429587</v>
      </c>
      <c r="H342" s="32">
        <f>VLOOKUP(A342,[2]Sheet1!$A:$K,11,0)</f>
        <v>45689</v>
      </c>
      <c r="I342" s="25" t="str">
        <f>VLOOKUP(A342,[2]Sheet1!$A:$F,6,0)</f>
        <v>CVM Line</v>
      </c>
      <c r="J342" s="25"/>
      <c r="K342" s="27" t="str">
        <f>VLOOKUP(A342,[2]Sheet1!$A:$I,9,0)</f>
        <v>Cairo</v>
      </c>
    </row>
    <row r="343" spans="1:11">
      <c r="A343" s="28">
        <v>1402</v>
      </c>
      <c r="B343" s="34" t="s">
        <v>359</v>
      </c>
      <c r="C343" s="30" t="str">
        <f>VLOOKUP(B343,[2]Sheet1!$B:$C,2,0)</f>
        <v>Nourhan Mohamed Ali</v>
      </c>
      <c r="D343" s="25" t="str">
        <f>VLOOKUP(B343,[2]Sheet1!$B:$H,7,0)</f>
        <v>MR</v>
      </c>
      <c r="E343" s="25">
        <f>VLOOKUP(C343,[2]Sheet1!$B:$M,12,0)</f>
        <v>902</v>
      </c>
      <c r="F343" s="29">
        <v>36620930</v>
      </c>
      <c r="G343" s="31">
        <f>VLOOKUP(A343,[2]Sheet1!$A:$J,10,0)</f>
        <v>1094978573</v>
      </c>
      <c r="H343" s="32">
        <f>VLOOKUP(A343,[2]Sheet1!$A:$K,11,0)</f>
        <v>45465</v>
      </c>
      <c r="I343" s="25" t="str">
        <f>VLOOKUP(A343,[2]Sheet1!$A:$F,6,0)</f>
        <v>CVM Line</v>
      </c>
      <c r="J343" s="25"/>
      <c r="K343" s="27" t="str">
        <f>VLOOKUP(A343,[2]Sheet1!$A:$N,14,0)</f>
        <v>Shobra El Khiema</v>
      </c>
    </row>
    <row r="344" spans="1:11">
      <c r="A344" s="28">
        <v>1607</v>
      </c>
      <c r="B344" s="34" t="s">
        <v>360</v>
      </c>
      <c r="C344" s="30" t="str">
        <f>VLOOKUP(B344,[2]Sheet1!$B:$C,2,0)</f>
        <v>Nourhan Mohamed Ali</v>
      </c>
      <c r="D344" s="25" t="str">
        <f>VLOOKUP(B344,[2]Sheet1!$B:$H,7,0)</f>
        <v>MR</v>
      </c>
      <c r="E344" s="25">
        <f>VLOOKUP(C344,[2]Sheet1!$B:$M,12,0)</f>
        <v>902</v>
      </c>
      <c r="F344" s="29">
        <v>36620931</v>
      </c>
      <c r="G344" s="31">
        <f>VLOOKUP(A344,[2]Sheet1!$A:$J,10,0)</f>
        <v>1155571637</v>
      </c>
      <c r="H344" s="32">
        <f>VLOOKUP(A344,[2]Sheet1!$A:$K,11,0)</f>
        <v>45752</v>
      </c>
      <c r="I344" s="25" t="str">
        <f>VLOOKUP(A344,[2]Sheet1!$A:$F,6,0)</f>
        <v>CVM Line</v>
      </c>
      <c r="J344" s="25"/>
      <c r="K344" s="27" t="str">
        <f>VLOOKUP(A344,[2]Sheet1!$A:$N,14,0)</f>
        <v>El Maasara</v>
      </c>
    </row>
    <row r="345" spans="1:11">
      <c r="A345" s="28">
        <v>1600</v>
      </c>
      <c r="B345" s="34" t="s">
        <v>361</v>
      </c>
      <c r="C345" s="30" t="str">
        <f>VLOOKUP(B345,[2]Sheet1!$B:$D,3,0)</f>
        <v>Mohamed Mostafa Osman</v>
      </c>
      <c r="D345" s="25" t="str">
        <f>VLOOKUP(B345,[2]Sheet1!$B:$H,7,0)</f>
        <v>DM</v>
      </c>
      <c r="E345" s="25">
        <f>VLOOKUP(C345,[2]Sheet1!$B:$M,12,0)</f>
        <v>964</v>
      </c>
      <c r="F345" s="29">
        <v>36620932</v>
      </c>
      <c r="G345" s="31">
        <f>VLOOKUP(A345,[2]Sheet1!$A:$J,10,0)</f>
        <v>1152596661</v>
      </c>
      <c r="H345" s="32">
        <f>VLOOKUP(A345,[2]Sheet1!$A:$K,11,0)</f>
        <v>45752</v>
      </c>
      <c r="I345" s="25" t="str">
        <f>VLOOKUP(A345,[2]Sheet1!$A:$F,6,0)</f>
        <v>DIA Line</v>
      </c>
      <c r="J345" s="25" t="str">
        <f>VLOOKUP(A345,[2]Sheet1!$A:$L,12,0)</f>
        <v>Ahmed.Mohamed.ElSayed@averroes-eg.com</v>
      </c>
      <c r="K345" s="27" t="str">
        <f>VLOOKUP(A345,[2]Sheet1!$A:$N,14,0)</f>
        <v>Elmataria</v>
      </c>
    </row>
    <row r="346" spans="1:11">
      <c r="A346" s="28">
        <v>1653</v>
      </c>
      <c r="B346" s="34" t="s">
        <v>362</v>
      </c>
      <c r="C346" s="30" t="str">
        <f>VLOOKUP(B346,[2]Sheet1!$B:$C,2,0)</f>
        <v>Ahmed Mohamed ElSayed Ali</v>
      </c>
      <c r="D346" s="25" t="str">
        <f>VLOOKUP(B346,[2]Sheet1!$B:$H,7,0)</f>
        <v>MR</v>
      </c>
      <c r="E346" s="25">
        <f>VLOOKUP(C346,[2]Sheet1!$B:$M,12,0)</f>
        <v>1600</v>
      </c>
      <c r="F346" s="29">
        <v>36620935</v>
      </c>
      <c r="G346" s="31">
        <f>VLOOKUP(A346,[2]Sheet1!$A:$J,10,0)</f>
        <v>1278644170</v>
      </c>
      <c r="H346" s="32">
        <f>VLOOKUP(A346,[2]Sheet1!$A:$K,11,0)</f>
        <v>45780</v>
      </c>
      <c r="I346" s="25" t="str">
        <f>VLOOKUP(A346,[2]Sheet1!$A:$F,6,0)</f>
        <v>DIA Line</v>
      </c>
      <c r="J346" s="25"/>
      <c r="K346" s="27" t="str">
        <f>VLOOKUP(A346,[2]Sheet1!$A:$N,14,0)</f>
        <v>Hadayek elkobba</v>
      </c>
    </row>
    <row r="347" spans="1:11">
      <c r="A347" s="28">
        <v>1654</v>
      </c>
      <c r="B347" s="34" t="s">
        <v>363</v>
      </c>
      <c r="C347" s="30" t="str">
        <f>VLOOKUP(B347,[2]Sheet1!$B:$C,2,0)</f>
        <v>Ahmed Mohamed ElSayed Ali</v>
      </c>
      <c r="D347" s="25" t="str">
        <f>VLOOKUP(B347,[2]Sheet1!$B:$H,7,0)</f>
        <v>MR</v>
      </c>
      <c r="E347" s="25">
        <f>VLOOKUP(C347,[2]Sheet1!$B:$M,12,0)</f>
        <v>1600</v>
      </c>
      <c r="F347" s="29">
        <v>36620937</v>
      </c>
      <c r="G347" s="31">
        <f>VLOOKUP(A347,[2]Sheet1!$A:$J,10,0)</f>
        <v>1208821340</v>
      </c>
      <c r="H347" s="32">
        <f>VLOOKUP(A347,[2]Sheet1!$A:$K,11,0)</f>
        <v>45780</v>
      </c>
      <c r="I347" s="25" t="str">
        <f>VLOOKUP(A347,[2]Sheet1!$A:$F,6,0)</f>
        <v>DIA Line</v>
      </c>
      <c r="J347" s="25"/>
      <c r="K347" s="27" t="str">
        <f>VLOOKUP(A347,[2]Sheet1!$A:$N,14,0)</f>
        <v>Khsos</v>
      </c>
    </row>
    <row r="348" spans="1:11">
      <c r="A348" s="28">
        <v>1818</v>
      </c>
      <c r="B348" s="34" t="s">
        <v>364</v>
      </c>
      <c r="C348" s="30" t="str">
        <f>VLOOKUP(B348,[2]Sheet1!$B:$C,2,0)</f>
        <v>Ahmed Mohamed ElSayed Ali</v>
      </c>
      <c r="D348" s="25" t="str">
        <f>VLOOKUP(B348,[2]Sheet1!$B:$H,7,0)</f>
        <v>MR</v>
      </c>
      <c r="E348" s="25">
        <f>VLOOKUP(C348,[2]Sheet1!$B:$M,12,0)</f>
        <v>1600</v>
      </c>
      <c r="F348" s="29">
        <v>36620938</v>
      </c>
      <c r="G348" s="31">
        <f>VLOOKUP(A348,[2]Sheet1!$A:$J,10,0)</f>
        <v>1030761317</v>
      </c>
      <c r="H348" s="32">
        <f>VLOOKUP(A348,[2]Sheet1!$A:$K,11,0)</f>
        <v>45997</v>
      </c>
      <c r="I348" s="25" t="str">
        <f>VLOOKUP(A348,[2]Sheet1!$A:$F,6,0)</f>
        <v>DIA Line</v>
      </c>
      <c r="J348" s="25"/>
      <c r="K348" s="27" t="str">
        <f>VLOOKUP(A348,[2]Sheet1!$A:$N,14,0)</f>
        <v>El Obour City</v>
      </c>
    </row>
    <row r="349" spans="1:11">
      <c r="A349" s="28">
        <v>1655</v>
      </c>
      <c r="B349" s="34" t="s">
        <v>365</v>
      </c>
      <c r="C349" s="30" t="str">
        <f>VLOOKUP(B349,[2]Sheet1!$B:$C,2,0)</f>
        <v>Ahmed Mohamed ElSayed Ali</v>
      </c>
      <c r="D349" s="25" t="str">
        <f>VLOOKUP(B349,[2]Sheet1!$B:$H,7,0)</f>
        <v>MR</v>
      </c>
      <c r="E349" s="25">
        <f>VLOOKUP(C349,[2]Sheet1!$B:$M,12,0)</f>
        <v>1600</v>
      </c>
      <c r="F349" s="29">
        <v>36620939</v>
      </c>
      <c r="G349" s="31">
        <f>VLOOKUP(A349,[2]Sheet1!$A:$J,10,0)</f>
        <v>1068982036</v>
      </c>
      <c r="H349" s="32">
        <f>VLOOKUP(A349,[2]Sheet1!$A:$K,11,0)</f>
        <v>45780</v>
      </c>
      <c r="I349" s="25" t="str">
        <f>VLOOKUP(A349,[2]Sheet1!$A:$F,6,0)</f>
        <v>DIA Line</v>
      </c>
      <c r="J349" s="25"/>
      <c r="K349" s="27" t="str">
        <f>VLOOKUP(A349,[2]Sheet1!$A:$N,14,0)</f>
        <v>Ismaillia</v>
      </c>
    </row>
    <row r="350" spans="1:11">
      <c r="A350" s="28">
        <v>1807</v>
      </c>
      <c r="B350" s="34" t="s">
        <v>366</v>
      </c>
      <c r="C350" s="30" t="str">
        <f>VLOOKUP(B350,[2]Sheet1!$B:$C,2,0)</f>
        <v>L11_Vacant_Giza &amp; Fayoum</v>
      </c>
      <c r="D350" s="25" t="str">
        <f>VLOOKUP(B350,[2]Sheet1!$B:$H,7,0)</f>
        <v>MR</v>
      </c>
      <c r="E350" s="25"/>
      <c r="F350" s="29">
        <v>36620940</v>
      </c>
      <c r="G350" s="31">
        <f>VLOOKUP(A350,[2]Sheet1!$A:$J,10,0)</f>
        <v>1143258719</v>
      </c>
      <c r="H350" s="32">
        <f>VLOOKUP(A350,[2]Sheet1!$A:$K,11,0)</f>
        <v>45992</v>
      </c>
      <c r="I350" s="25" t="str">
        <f>VLOOKUP(A350,[2]Sheet1!$A:$F,6,0)</f>
        <v>DIA Line</v>
      </c>
      <c r="J350" s="25"/>
      <c r="K350" s="27" t="str">
        <f>VLOOKUP(A350,[2]Sheet1!$A:$N,14,0)</f>
        <v>El Ayat</v>
      </c>
    </row>
    <row r="351" spans="1:11">
      <c r="A351" s="28">
        <v>1651</v>
      </c>
      <c r="B351" s="34" t="s">
        <v>367</v>
      </c>
      <c r="C351" s="30" t="str">
        <f>VLOOKUP(B351,[2]Sheet1!$B:$C,2,0)</f>
        <v>L11_Vacant_Giza &amp; Fayoum</v>
      </c>
      <c r="D351" s="25" t="str">
        <f>VLOOKUP(B351,[2]Sheet1!$B:$H,7,0)</f>
        <v>MR</v>
      </c>
      <c r="E351" s="25"/>
      <c r="F351" s="29">
        <v>36620941</v>
      </c>
      <c r="G351" s="31">
        <f>VLOOKUP(A351,[2]Sheet1!$A:$J,10,0)</f>
        <v>1060036380</v>
      </c>
      <c r="H351" s="32">
        <f>VLOOKUP(A351,[2]Sheet1!$A:$K,11,0)</f>
        <v>45780</v>
      </c>
      <c r="I351" s="25" t="str">
        <f>VLOOKUP(A351,[2]Sheet1!$A:$F,6,0)</f>
        <v>DIA Line</v>
      </c>
      <c r="J351" s="25"/>
      <c r="K351" s="27" t="str">
        <f>VLOOKUP(A351,[2]Sheet1!$A:$N,14,0)</f>
        <v>October</v>
      </c>
    </row>
    <row r="352" spans="1:11">
      <c r="A352" s="28">
        <v>1753</v>
      </c>
      <c r="B352" s="34" t="s">
        <v>368</v>
      </c>
      <c r="C352" s="30" t="str">
        <f>VLOOKUP(B352,[2]Sheet1!$B:$C,2,0)</f>
        <v>L11_Vacant_Giza &amp; Fayoum</v>
      </c>
      <c r="D352" s="25" t="str">
        <f>VLOOKUP(B352,[2]Sheet1!$B:$H,7,0)</f>
        <v>MR</v>
      </c>
      <c r="E352" s="25"/>
      <c r="F352" s="29">
        <v>36620942</v>
      </c>
      <c r="G352" s="31">
        <f>VLOOKUP(A352,[2]Sheet1!$A:$J,10,0)</f>
        <v>1111751972</v>
      </c>
      <c r="H352" s="32">
        <f>VLOOKUP(A352,[2]Sheet1!$A:$K,11,0)</f>
        <v>45920</v>
      </c>
      <c r="I352" s="25" t="str">
        <f>VLOOKUP(A352,[2]Sheet1!$A:$F,6,0)</f>
        <v>DIA Line</v>
      </c>
      <c r="J352" s="25"/>
      <c r="K352" s="27" t="str">
        <f>VLOOKUP(A352,[2]Sheet1!$A:$N,14,0)</f>
        <v>Faisal</v>
      </c>
    </row>
    <row r="353" spans="1:11">
      <c r="A353" s="28">
        <v>1737</v>
      </c>
      <c r="B353" s="34" t="s">
        <v>369</v>
      </c>
      <c r="C353" s="30" t="str">
        <f>VLOOKUP(B353,[2]Sheet1!$B:$C,2,0)</f>
        <v>L11_Vacant_Giza &amp; Fayoum</v>
      </c>
      <c r="D353" s="25" t="str">
        <f>VLOOKUP(B353,[2]Sheet1!$B:$H,7,0)</f>
        <v>MR</v>
      </c>
      <c r="E353" s="25"/>
      <c r="F353" s="29">
        <v>36620943</v>
      </c>
      <c r="G353" s="31">
        <f>VLOOKUP(A353,[2]Sheet1!$A:$J,10,0)</f>
        <v>1008528492</v>
      </c>
      <c r="H353" s="32">
        <f>VLOOKUP(A353,[2]Sheet1!$A:$K,11,0)</f>
        <v>45885</v>
      </c>
      <c r="I353" s="25" t="str">
        <f>VLOOKUP(A353,[2]Sheet1!$A:$F,6,0)</f>
        <v>DIA Line</v>
      </c>
      <c r="J353" s="25"/>
      <c r="K353" s="27" t="str">
        <f>VLOOKUP(A353,[2]Sheet1!$A:$N,14,0)</f>
        <v>El Warak</v>
      </c>
    </row>
    <row r="354" spans="1:11">
      <c r="A354" s="28">
        <v>1350</v>
      </c>
      <c r="B354" s="34" t="s">
        <v>370</v>
      </c>
      <c r="C354" s="30" t="str">
        <f>VLOOKUP(B354,[2]Sheet1!$B:$D,3,0)</f>
        <v>Mohamed Mostafa Osman</v>
      </c>
      <c r="D354" s="25" t="str">
        <f>VLOOKUP(B354,[2]Sheet1!$B:$H,7,0)</f>
        <v>DM</v>
      </c>
      <c r="E354" s="25">
        <f>VLOOKUP(C354,[2]Sheet1!$B:$M,12,0)</f>
        <v>964</v>
      </c>
      <c r="F354" s="29">
        <v>36620944</v>
      </c>
      <c r="G354" s="31">
        <f>VLOOKUP(A354,[2]Sheet1!$A:$J,10,0)</f>
        <v>1068816736</v>
      </c>
      <c r="H354" s="32">
        <f>VLOOKUP(A354,[2]Sheet1!$A:$K,11,0)</f>
        <v>45419</v>
      </c>
      <c r="I354" s="25" t="str">
        <f>VLOOKUP(A354,[2]Sheet1!$A:$F,6,0)</f>
        <v>DIA Line</v>
      </c>
      <c r="J354" s="25" t="str">
        <f>VLOOKUP(A354,[2]Sheet1!$A:$L,12,0)</f>
        <v>Nermeen.Zaki.AbdElMaseh@averroes-eg.com</v>
      </c>
      <c r="K354" s="27" t="str">
        <f>VLOOKUP(A354,[2]Sheet1!$A:$N,14,0)</f>
        <v>el sahel</v>
      </c>
    </row>
    <row r="355" spans="1:11">
      <c r="A355" s="28">
        <v>1652</v>
      </c>
      <c r="B355" s="34" t="s">
        <v>371</v>
      </c>
      <c r="C355" s="30" t="str">
        <f>VLOOKUP(B355,[2]Sheet1!$B:$C,2,0)</f>
        <v>Nermeen Zaki AbdElMaseh</v>
      </c>
      <c r="D355" s="25" t="str">
        <f>VLOOKUP(B355,[2]Sheet1!$B:$H,7,0)</f>
        <v>MR</v>
      </c>
      <c r="E355" s="25">
        <f>VLOOKUP(C355,[2]Sheet1!$B:$M,12,0)</f>
        <v>1350</v>
      </c>
      <c r="F355" s="29">
        <v>36620945</v>
      </c>
      <c r="G355" s="31">
        <f>VLOOKUP(A355,[2]Sheet1!$A:$J,10,0)</f>
        <v>1012890069</v>
      </c>
      <c r="H355" s="32">
        <f>VLOOKUP(A355,[2]Sheet1!$A:$K,11,0)</f>
        <v>45780</v>
      </c>
      <c r="I355" s="25" t="str">
        <f>VLOOKUP(A355,[2]Sheet1!$A:$F,6,0)</f>
        <v>DIA Line</v>
      </c>
      <c r="J355" s="25"/>
      <c r="K355" s="27" t="str">
        <f>VLOOKUP(A355,[2]Sheet1!$A:$N,14,0)</f>
        <v>Shoubra</v>
      </c>
    </row>
    <row r="356" spans="1:11">
      <c r="A356" s="28">
        <v>1656</v>
      </c>
      <c r="B356" s="34" t="s">
        <v>372</v>
      </c>
      <c r="C356" s="30" t="str">
        <f>VLOOKUP(B356,[2]Sheet1!$B:$C,2,0)</f>
        <v>Nermeen Zaki AbdElMaseh</v>
      </c>
      <c r="D356" s="25" t="str">
        <f>VLOOKUP(B356,[2]Sheet1!$B:$H,7,0)</f>
        <v>MR</v>
      </c>
      <c r="E356" s="25">
        <f>VLOOKUP(C356,[2]Sheet1!$B:$M,12,0)</f>
        <v>1350</v>
      </c>
      <c r="F356" s="29">
        <v>36620947</v>
      </c>
      <c r="G356" s="31">
        <f>VLOOKUP(A356,[2]Sheet1!$A:$J,10,0)</f>
        <v>1284911947</v>
      </c>
      <c r="H356" s="32">
        <f>VLOOKUP(A356,[2]Sheet1!$A:$K,11,0)</f>
        <v>45780</v>
      </c>
      <c r="I356" s="25" t="str">
        <f>VLOOKUP(A356,[2]Sheet1!$A:$F,6,0)</f>
        <v>DIA Line</v>
      </c>
      <c r="J356" s="25"/>
      <c r="K356" s="27" t="str">
        <f>VLOOKUP(A356,[2]Sheet1!$A:$N,14,0)</f>
        <v>Imbaba</v>
      </c>
    </row>
    <row r="357" spans="1:11">
      <c r="A357" s="28">
        <v>1813</v>
      </c>
      <c r="B357" s="34" t="s">
        <v>373</v>
      </c>
      <c r="C357" s="30" t="str">
        <f>VLOOKUP(B357,[2]Sheet1!$B:$C,2,0)</f>
        <v>Nermeen Zaki AbdElMaseh</v>
      </c>
      <c r="D357" s="25" t="str">
        <f>VLOOKUP(B357,[2]Sheet1!$B:$H,7,0)</f>
        <v>MR</v>
      </c>
      <c r="E357" s="25">
        <f>VLOOKUP(C357,[2]Sheet1!$B:$M,12,0)</f>
        <v>1350</v>
      </c>
      <c r="F357" s="29">
        <v>36620948</v>
      </c>
      <c r="G357" s="31">
        <f>VLOOKUP(A357,[2]Sheet1!$A:$J,10,0)</f>
        <v>1092362363</v>
      </c>
      <c r="H357" s="32">
        <f>VLOOKUP(A357,[2]Sheet1!$A:$K,11,0)</f>
        <v>45999</v>
      </c>
      <c r="I357" s="25" t="str">
        <f>VLOOKUP(A357,[2]Sheet1!$A:$F,6,0)</f>
        <v>DIA Line</v>
      </c>
      <c r="J357" s="25"/>
      <c r="K357" s="27" t="str">
        <f>VLOOKUP(A357,[2]Sheet1!$A:$N,14,0)</f>
        <v>El Maadi</v>
      </c>
    </row>
    <row r="358" spans="1:11">
      <c r="A358" s="28">
        <v>1290</v>
      </c>
      <c r="B358" s="34" t="s">
        <v>374</v>
      </c>
      <c r="C358" s="30" t="str">
        <f>VLOOKUP(B358,[2]Sheet1!$B:$E,4,0)</f>
        <v>Abo El Abbas Samir</v>
      </c>
      <c r="D358" s="25" t="str">
        <f>VLOOKUP(B358,[2]Sheet1!$B:$H,7,0)</f>
        <v>AM</v>
      </c>
      <c r="E358" s="25">
        <f>VLOOKUP(C358,[2]Sheet1!$B:$M,12,0)</f>
        <v>61</v>
      </c>
      <c r="F358" s="29">
        <v>36620949</v>
      </c>
      <c r="G358" s="31">
        <f>VLOOKUP(A358,[2]Sheet1!$A:$J,10,0)</f>
        <v>1092111119</v>
      </c>
      <c r="H358" s="32">
        <f>VLOOKUP(A358,[2]Sheet1!$A:$K,11,0)</f>
        <v>45231</v>
      </c>
      <c r="I358" s="25" t="str">
        <f>VLOOKUP(A358,[2]Sheet1!$A:$F,6,0)</f>
        <v>CVM Line &amp; DIA Line</v>
      </c>
      <c r="J358" s="25" t="str">
        <f>VLOOKUP(A358,[2]Sheet1!$A:$L,12,0)</f>
        <v>Mostafa.Maged.Mohamed@averroes-eg.com</v>
      </c>
      <c r="K358" s="27" t="str">
        <f>VLOOKUP(A358,[2]Sheet1!$A:$N,14,0)</f>
        <v>Tahta</v>
      </c>
    </row>
    <row r="359" spans="1:11">
      <c r="A359" s="28">
        <v>83</v>
      </c>
      <c r="B359" s="34" t="s">
        <v>375</v>
      </c>
      <c r="C359" s="30" t="str">
        <f>VLOOKUP(B359,[2]Sheet1!$B:$D,3,0)</f>
        <v>Mostafa Maged Mohamed</v>
      </c>
      <c r="D359" s="25" t="str">
        <f>VLOOKUP(B359,[2]Sheet1!$B:$H,7,0)</f>
        <v>DM</v>
      </c>
      <c r="E359" s="25">
        <f>VLOOKUP(C359,[2]Sheet1!$B:$M,12,0)</f>
        <v>1290</v>
      </c>
      <c r="F359" s="29">
        <v>36620950</v>
      </c>
      <c r="G359" s="31" t="str">
        <f>VLOOKUP(A359,[2]Sheet1!$A:$J,10,0)</f>
        <v> 1030827666</v>
      </c>
      <c r="H359" s="32">
        <f>VLOOKUP(A359,[2]Sheet1!$A:$K,11,0)</f>
        <v>41658</v>
      </c>
      <c r="I359" s="25" t="str">
        <f>VLOOKUP(A359,[2]Sheet1!$A:$F,6,0)</f>
        <v>CVM Line</v>
      </c>
      <c r="J359" s="25" t="str">
        <f>VLOOKUP(A359,[2]Sheet1!$A:$L,12,0)</f>
        <v>medhat.abdelnasser@averroes-eg.com</v>
      </c>
      <c r="K359" s="27" t="str">
        <f>VLOOKUP(A359,[2]Sheet1!$A:$N,14,0)</f>
        <v>Nagaa Hamady</v>
      </c>
    </row>
    <row r="360" spans="1:11">
      <c r="A360" s="28">
        <v>513</v>
      </c>
      <c r="B360" s="34" t="s">
        <v>376</v>
      </c>
      <c r="C360" s="30" t="str">
        <f>VLOOKUP(B360,[2]Sheet1!$B:$C,2,0)</f>
        <v>Medhat AbdElnasser Mohamed</v>
      </c>
      <c r="D360" s="25" t="str">
        <f>VLOOKUP(B360,[2]Sheet1!$B:$H,7,0)</f>
        <v>MR</v>
      </c>
      <c r="E360" s="25">
        <f>VLOOKUP(C360,[2]Sheet1!$B:$M,12,0)</f>
        <v>83</v>
      </c>
      <c r="F360" s="29">
        <v>36620951</v>
      </c>
      <c r="G360" s="31">
        <f>VLOOKUP(A360,[2]Sheet1!$A:$J,10,0)</f>
        <v>1114454222</v>
      </c>
      <c r="H360" s="32">
        <f>VLOOKUP(A360,[2]Sheet1!$A:$K,11,0)</f>
        <v>43834</v>
      </c>
      <c r="I360" s="25" t="str">
        <f>VLOOKUP(A360,[2]Sheet1!$A:$F,6,0)</f>
        <v>CVM Line</v>
      </c>
      <c r="J360" s="25"/>
      <c r="K360" s="27" t="str">
        <f>VLOOKUP(A360,[2]Sheet1!$A:$N,14,0)</f>
        <v>Sakalta</v>
      </c>
    </row>
    <row r="361" spans="1:11">
      <c r="A361" s="28">
        <v>916</v>
      </c>
      <c r="B361" s="34" t="s">
        <v>377</v>
      </c>
      <c r="C361" s="30" t="str">
        <f>VLOOKUP(B361,[2]Sheet1!$B:$C,2,0)</f>
        <v>Medhat AbdElnasser Mohamed</v>
      </c>
      <c r="D361" s="25" t="str">
        <f>VLOOKUP(B361,[2]Sheet1!$B:$H,7,0)</f>
        <v>MR</v>
      </c>
      <c r="E361" s="25">
        <f>VLOOKUP(C361,[2]Sheet1!$B:$M,12,0)</f>
        <v>83</v>
      </c>
      <c r="F361" s="29">
        <v>36620952</v>
      </c>
      <c r="G361" s="31" t="str">
        <f>VLOOKUP(A361,[2]Sheet1!$A:$J,10,0)</f>
        <v> 1095144727</v>
      </c>
      <c r="H361" s="32">
        <f>VLOOKUP(A361,[2]Sheet1!$A:$K,11,0)</f>
        <v>44593</v>
      </c>
      <c r="I361" s="25" t="str">
        <f>VLOOKUP(A361,[2]Sheet1!$A:$F,6,0)</f>
        <v>CVM Line</v>
      </c>
      <c r="J361" s="25"/>
      <c r="K361" s="27" t="str">
        <f>VLOOKUP(A361,[2]Sheet1!$A:$N,14,0)</f>
        <v>Luxor City</v>
      </c>
    </row>
    <row r="362" spans="1:11">
      <c r="A362" s="28">
        <v>1631</v>
      </c>
      <c r="B362" s="34" t="s">
        <v>378</v>
      </c>
      <c r="C362" s="30" t="str">
        <f>VLOOKUP(B362,[2]Sheet1!$B:$C,2,0)</f>
        <v>Medhat AbdElnasser Mohamed</v>
      </c>
      <c r="D362" s="25" t="str">
        <f>VLOOKUP(B362,[2]Sheet1!$B:$H,7,0)</f>
        <v>MR</v>
      </c>
      <c r="E362" s="25">
        <f>VLOOKUP(C362,[2]Sheet1!$B:$M,12,0)</f>
        <v>83</v>
      </c>
      <c r="F362" s="29">
        <v>36620953</v>
      </c>
      <c r="G362" s="31">
        <f>VLOOKUP(A362,[2]Sheet1!$A:$J,10,0)</f>
        <v>1143119675</v>
      </c>
      <c r="H362" s="32">
        <f>VLOOKUP(A362,[2]Sheet1!$A:$K,11,0)</f>
        <v>45787</v>
      </c>
      <c r="I362" s="25" t="str">
        <f>VLOOKUP(A362,[2]Sheet1!$A:$F,6,0)</f>
        <v>CVM Line</v>
      </c>
      <c r="J362" s="25"/>
      <c r="K362" s="27" t="str">
        <f>VLOOKUP(A362,[2]Sheet1!$A:$N,14,0)</f>
        <v>Aswan City</v>
      </c>
    </row>
    <row r="363" spans="1:11">
      <c r="A363" s="28">
        <v>1867</v>
      </c>
      <c r="B363" s="34" t="s">
        <v>379</v>
      </c>
      <c r="C363" s="30" t="str">
        <f>VLOOKUP(B363,[2]Sheet1!$B:$C,2,0)</f>
        <v>Medhat AbdElnasser Mohamed</v>
      </c>
      <c r="D363" s="25" t="str">
        <f>VLOOKUP(B363,[2]Sheet1!$B:$H,7,0)</f>
        <v>MR</v>
      </c>
      <c r="E363" s="25">
        <f>VLOOKUP(C363,[2]Sheet1!$B:$M,12,0)</f>
        <v>83</v>
      </c>
      <c r="F363" s="29">
        <v>36620954</v>
      </c>
      <c r="G363" s="31">
        <f>VLOOKUP(A363,[2]Sheet1!$A:$J,10,0)</f>
        <v>1227702182</v>
      </c>
      <c r="H363" s="32">
        <f>VLOOKUP(A363,[2]Sheet1!$A:$K,11,0)</f>
        <v>46062</v>
      </c>
      <c r="I363" s="25" t="str">
        <f>VLOOKUP(A363,[2]Sheet1!$A:$F,6,0)</f>
        <v>CVM Line</v>
      </c>
      <c r="J363" s="25"/>
      <c r="K363" s="27" t="str">
        <f>VLOOKUP(A363,[2]Sheet1!$A:$N,14,0)</f>
        <v>Nagaa Hamady</v>
      </c>
    </row>
    <row r="364" spans="1:11">
      <c r="A364" s="28">
        <v>804</v>
      </c>
      <c r="B364" s="34" t="s">
        <v>380</v>
      </c>
      <c r="C364" s="30" t="str">
        <f>VLOOKUP(B364,[2]Sheet1!$B:$C,2,0)</f>
        <v>Medhat AbdElnasser Mohamed</v>
      </c>
      <c r="D364" s="25" t="str">
        <f>VLOOKUP(B364,[2]Sheet1!$B:$H,7,0)</f>
        <v>MR</v>
      </c>
      <c r="E364" s="25">
        <f>VLOOKUP(C364,[2]Sheet1!$B:$M,12,0)</f>
        <v>83</v>
      </c>
      <c r="F364" s="29">
        <v>36620955</v>
      </c>
      <c r="G364" s="31"/>
      <c r="H364" s="32">
        <f>VLOOKUP(A364,[2]Sheet1!$A:$K,11,0)</f>
        <v>44409</v>
      </c>
      <c r="I364" s="25" t="str">
        <f>VLOOKUP(A364,[2]Sheet1!$A:$F,6,0)</f>
        <v>CVM Line</v>
      </c>
      <c r="J364" s="25"/>
      <c r="K364" s="27" t="str">
        <f>VLOOKUP(A364,[2]Sheet1!$A:$N,14,0)</f>
        <v>Gerga</v>
      </c>
    </row>
    <row r="365" spans="1:11">
      <c r="A365" s="28">
        <v>1689</v>
      </c>
      <c r="B365" s="34" t="s">
        <v>381</v>
      </c>
      <c r="C365" s="30" t="str">
        <f>VLOOKUP(B365,[2]Sheet1!$B:$C,2,0)</f>
        <v>Medhat AbdElnasser Mohamed</v>
      </c>
      <c r="D365" s="25" t="str">
        <f>VLOOKUP(B365,[2]Sheet1!$B:$H,7,0)</f>
        <v>MR</v>
      </c>
      <c r="E365" s="25">
        <f>VLOOKUP(C365,[2]Sheet1!$B:$M,12,0)</f>
        <v>83</v>
      </c>
      <c r="F365" s="29">
        <v>36620956</v>
      </c>
      <c r="G365" s="31">
        <f>VLOOKUP(A365,[2]Sheet1!$A:$J,10,0)</f>
        <v>1286199823</v>
      </c>
      <c r="H365" s="32">
        <f>VLOOKUP(A365,[2]Sheet1!$A:$K,11,0)</f>
        <v>45822</v>
      </c>
      <c r="I365" s="25" t="str">
        <f>VLOOKUP(A365,[2]Sheet1!$A:$F,6,0)</f>
        <v>CVM Line</v>
      </c>
      <c r="J365" s="25"/>
      <c r="K365" s="27" t="str">
        <f>VLOOKUP(A365,[2]Sheet1!$A:$N,14,0)</f>
        <v>Quena City</v>
      </c>
    </row>
    <row r="366" spans="1:11">
      <c r="A366" s="28">
        <v>1268</v>
      </c>
      <c r="B366" s="34" t="s">
        <v>382</v>
      </c>
      <c r="C366" s="30" t="str">
        <f>VLOOKUP(B366,[2]Sheet1!$B:$C,2,0)</f>
        <v>Medhat AbdElnasser Mohamed</v>
      </c>
      <c r="D366" s="25" t="str">
        <f>VLOOKUP(B366,[2]Sheet1!$B:$H,7,0)</f>
        <v>MR</v>
      </c>
      <c r="E366" s="25">
        <f>VLOOKUP(C366,[2]Sheet1!$B:$M,12,0)</f>
        <v>83</v>
      </c>
      <c r="F366" s="29">
        <v>36620957</v>
      </c>
      <c r="G366" s="31">
        <f>VLOOKUP(A366,[2]Sheet1!$A:$J,10,0)</f>
        <v>1227048802</v>
      </c>
      <c r="H366" s="32">
        <f>VLOOKUP(A366,[2]Sheet1!$A:$K,11,0)</f>
        <v>45185</v>
      </c>
      <c r="I366" s="25" t="str">
        <f>VLOOKUP(A366,[2]Sheet1!$A:$F,6,0)</f>
        <v>CVM Line</v>
      </c>
      <c r="J366" s="25"/>
      <c r="K366" s="27" t="str">
        <f>VLOOKUP(A366,[2]Sheet1!$A:$N,14,0)</f>
        <v>Tahta</v>
      </c>
    </row>
    <row r="367" spans="1:11">
      <c r="A367" s="28">
        <v>348</v>
      </c>
      <c r="B367" s="34" t="s">
        <v>383</v>
      </c>
      <c r="C367" s="30" t="str">
        <f>VLOOKUP(B367,[2]Sheet1!$B:$D,3,0)</f>
        <v>Mostafa Maged Mohamed</v>
      </c>
      <c r="D367" s="25" t="str">
        <f>VLOOKUP(B367,[2]Sheet1!$B:$H,7,0)</f>
        <v>DM</v>
      </c>
      <c r="E367" s="25">
        <f>VLOOKUP(C367,[2]Sheet1!$B:$M,12,0)</f>
        <v>1290</v>
      </c>
      <c r="F367" s="29">
        <v>36620958</v>
      </c>
      <c r="G367" s="31" t="str">
        <f>VLOOKUP(A367,[2]Sheet1!$A:$J,10,0)</f>
        <v> 1022285517</v>
      </c>
      <c r="H367" s="32">
        <f>VLOOKUP(A367,[2]Sheet1!$A:$K,11,0)</f>
        <v>44819</v>
      </c>
      <c r="I367" s="25" t="str">
        <f>VLOOKUP(A367,[2]Sheet1!$A:$F,6,0)</f>
        <v>CVM Line</v>
      </c>
      <c r="J367" s="25" t="str">
        <f>VLOOKUP(A367,[2]Sheet1!$A:$L,12,0)</f>
        <v>Mohamed.Saad.Sedik@averroes-eg.com</v>
      </c>
      <c r="K367" s="27" t="str">
        <f>VLOOKUP(A367,[2]Sheet1!$A:$N,14,0)</f>
        <v>Manqabad</v>
      </c>
    </row>
    <row r="368" spans="1:11">
      <c r="A368" s="28">
        <v>1526</v>
      </c>
      <c r="B368" s="34" t="s">
        <v>384</v>
      </c>
      <c r="C368" s="30" t="str">
        <f>VLOOKUP(B368,[2]Sheet1!$B:$C,2,0)</f>
        <v>Mohamed Saad Sedik</v>
      </c>
      <c r="D368" s="25" t="str">
        <f>VLOOKUP(B368,[2]Sheet1!$B:$H,7,0)</f>
        <v>MR</v>
      </c>
      <c r="E368" s="25">
        <f>VLOOKUP(C368,[2]Sheet1!$B:$M,12,0)</f>
        <v>348</v>
      </c>
      <c r="F368" s="29">
        <v>36620959</v>
      </c>
      <c r="G368" s="31">
        <f>VLOOKUP(A368,[2]Sheet1!$A:$J,10,0)</f>
        <v>1069607055</v>
      </c>
      <c r="H368" s="32">
        <f>VLOOKUP(A368,[2]Sheet1!$A:$K,11,0)</f>
        <v>45689</v>
      </c>
      <c r="I368" s="25" t="str">
        <f>VLOOKUP(A368,[2]Sheet1!$A:$F,6,0)</f>
        <v>CVM Line</v>
      </c>
      <c r="J368" s="25"/>
      <c r="K368" s="27" t="str">
        <f>VLOOKUP(A368,[2]Sheet1!$A:$N,14,0)</f>
        <v>Malawy</v>
      </c>
    </row>
    <row r="369" spans="1:11">
      <c r="A369" s="28">
        <v>1259</v>
      </c>
      <c r="B369" s="34" t="s">
        <v>385</v>
      </c>
      <c r="C369" s="30" t="str">
        <f>VLOOKUP(B369,[2]Sheet1!$B:$C,2,0)</f>
        <v>Mohamed Saad Sedik</v>
      </c>
      <c r="D369" s="25" t="str">
        <f>VLOOKUP(B369,[2]Sheet1!$B:$H,7,0)</f>
        <v>MR</v>
      </c>
      <c r="E369" s="25">
        <f>VLOOKUP(C369,[2]Sheet1!$B:$M,12,0)</f>
        <v>348</v>
      </c>
      <c r="F369" s="29">
        <v>36620960</v>
      </c>
      <c r="G369" s="31">
        <f>VLOOKUP(A369,[2]Sheet1!$A:$J,10,0)</f>
        <v>1211455979</v>
      </c>
      <c r="H369" s="32">
        <f>VLOOKUP(A369,[2]Sheet1!$A:$K,11,0)</f>
        <v>45172</v>
      </c>
      <c r="I369" s="25" t="str">
        <f>VLOOKUP(A369,[2]Sheet1!$A:$F,6,0)</f>
        <v>CVM Line</v>
      </c>
      <c r="J369" s="25"/>
      <c r="K369" s="27" t="str">
        <f>VLOOKUP(A369,[2]Sheet1!$A:$N,14,0)</f>
        <v>Bani Mazar</v>
      </c>
    </row>
    <row r="370" spans="1:11">
      <c r="A370" s="28">
        <v>1804</v>
      </c>
      <c r="B370" s="34" t="s">
        <v>386</v>
      </c>
      <c r="C370" s="30" t="str">
        <f>VLOOKUP(B370,[2]Sheet1!$B:$C,2,0)</f>
        <v>Mohamed Saad Sedik</v>
      </c>
      <c r="D370" s="25" t="str">
        <f>VLOOKUP(B370,[2]Sheet1!$B:$H,7,0)</f>
        <v>MR</v>
      </c>
      <c r="E370" s="25">
        <f>VLOOKUP(C370,[2]Sheet1!$B:$M,12,0)</f>
        <v>348</v>
      </c>
      <c r="F370" s="29">
        <v>36620961</v>
      </c>
      <c r="G370" s="31">
        <f>VLOOKUP(A370,[2]Sheet1!$A:$J,10,0)</f>
        <v>1122731323</v>
      </c>
      <c r="H370" s="32">
        <f>VLOOKUP(A370,[2]Sheet1!$A:$K,11,0)</f>
        <v>45992</v>
      </c>
      <c r="I370" s="25" t="str">
        <f>VLOOKUP(A370,[2]Sheet1!$A:$F,6,0)</f>
        <v>CVM Line</v>
      </c>
      <c r="J370" s="25"/>
      <c r="K370" s="27" t="str">
        <f>VLOOKUP(A370,[2]Sheet1!$A:$N,14,0)</f>
        <v>Bani Swaif City</v>
      </c>
    </row>
    <row r="371" spans="1:11">
      <c r="A371" s="28">
        <v>816</v>
      </c>
      <c r="B371" s="34" t="s">
        <v>387</v>
      </c>
      <c r="C371" s="30" t="str">
        <f>VLOOKUP(B371,[2]Sheet1!$B:$C,2,0)</f>
        <v>Mohamed Saad Sedik</v>
      </c>
      <c r="D371" s="25" t="str">
        <f>VLOOKUP(B371,[2]Sheet1!$B:$H,7,0)</f>
        <v>MR</v>
      </c>
      <c r="E371" s="25">
        <f>VLOOKUP(C371,[2]Sheet1!$B:$M,12,0)</f>
        <v>348</v>
      </c>
      <c r="F371" s="29">
        <v>36620962</v>
      </c>
      <c r="G371" s="31"/>
      <c r="H371" s="32">
        <f>VLOOKUP(A371,[2]Sheet1!$A:$K,11,0)</f>
        <v>44440</v>
      </c>
      <c r="I371" s="25" t="str">
        <f>VLOOKUP(A371,[2]Sheet1!$A:$F,6,0)</f>
        <v>CVM Line</v>
      </c>
      <c r="J371" s="25"/>
      <c r="K371" s="27" t="str">
        <f>VLOOKUP(A371,[2]Sheet1!$A:$N,14,0)</f>
        <v>El Menia City</v>
      </c>
    </row>
    <row r="372" spans="1:11">
      <c r="A372" s="28">
        <v>1791</v>
      </c>
      <c r="B372" s="34" t="s">
        <v>388</v>
      </c>
      <c r="C372" s="30" t="str">
        <f>VLOOKUP(B372,[2]Sheet1!$B:$C,2,0)</f>
        <v>Mohamed Saad Sedik</v>
      </c>
      <c r="D372" s="25" t="str">
        <f>VLOOKUP(B372,[2]Sheet1!$B:$H,7,0)</f>
        <v>MR</v>
      </c>
      <c r="E372" s="25">
        <f>VLOOKUP(C372,[2]Sheet1!$B:$M,12,0)</f>
        <v>348</v>
      </c>
      <c r="F372" s="29">
        <v>36620963</v>
      </c>
      <c r="G372" s="31">
        <f>VLOOKUP(A372,[2]Sheet1!$A:$J,10,0)</f>
        <v>1116563423</v>
      </c>
      <c r="H372" s="32">
        <f>VLOOKUP(A372,[2]Sheet1!$A:$K,11,0)</f>
        <v>45964</v>
      </c>
      <c r="I372" s="25" t="str">
        <f>VLOOKUP(A372,[2]Sheet1!$A:$F,6,0)</f>
        <v>CVM Line</v>
      </c>
      <c r="J372" s="25"/>
      <c r="K372" s="27" t="str">
        <f>VLOOKUP(A372,[2]Sheet1!$A:$N,14,0)</f>
        <v>Assiut city</v>
      </c>
    </row>
    <row r="373" spans="1:11">
      <c r="A373" s="28">
        <v>1802</v>
      </c>
      <c r="B373" s="34" t="s">
        <v>389</v>
      </c>
      <c r="C373" s="30" t="str">
        <f>VLOOKUP(B373,[2]Sheet1!$B:$C,2,0)</f>
        <v>Mohamed Saad Sedik</v>
      </c>
      <c r="D373" s="25" t="str">
        <f>VLOOKUP(B373,[2]Sheet1!$B:$H,7,0)</f>
        <v>MR</v>
      </c>
      <c r="E373" s="25">
        <f>VLOOKUP(C373,[2]Sheet1!$B:$M,12,0)</f>
        <v>348</v>
      </c>
      <c r="F373" s="29">
        <v>36620964</v>
      </c>
      <c r="G373" s="31">
        <f>VLOOKUP(A373,[2]Sheet1!$A:$J,10,0)</f>
        <v>1095037481</v>
      </c>
      <c r="H373" s="32">
        <f>VLOOKUP(A373,[2]Sheet1!$A:$K,11,0)</f>
        <v>45983</v>
      </c>
      <c r="I373" s="25" t="str">
        <f>VLOOKUP(A373,[2]Sheet1!$A:$F,6,0)</f>
        <v>CVM Line</v>
      </c>
      <c r="J373" s="25"/>
      <c r="K373" s="27" t="str">
        <f>VLOOKUP(A373,[2]Sheet1!$A:$N,14,0)</f>
        <v>Assiut city</v>
      </c>
    </row>
    <row r="374" spans="1:11">
      <c r="A374" s="28">
        <v>1659</v>
      </c>
      <c r="B374" s="34" t="s">
        <v>390</v>
      </c>
      <c r="C374" s="30" t="str">
        <f>VLOOKUP(B374,[2]Sheet1!$B:$D,3,0)</f>
        <v>Mostafa Maged Mohamed</v>
      </c>
      <c r="D374" s="25" t="str">
        <f>VLOOKUP(B374,[2]Sheet1!$B:$H,7,0)</f>
        <v>DM</v>
      </c>
      <c r="E374" s="25">
        <f>VLOOKUP(C374,[2]Sheet1!$B:$M,12,0)</f>
        <v>1290</v>
      </c>
      <c r="F374" s="29">
        <v>36620965</v>
      </c>
      <c r="G374" s="31">
        <f>VLOOKUP(A374,[2]Sheet1!$A:$J,10,0)</f>
        <v>1024670853</v>
      </c>
      <c r="H374" s="32">
        <f>VLOOKUP(A374,[2]Sheet1!$A:$K,11,0)</f>
        <v>45783</v>
      </c>
      <c r="I374" s="25" t="str">
        <f>VLOOKUP(A374,[2]Sheet1!$A:$F,6,0)</f>
        <v>DIA Line</v>
      </c>
      <c r="J374" s="25" t="str">
        <f>VLOOKUP(A374,[2]Sheet1!$A:$L,12,0)</f>
        <v>AbdelRahman.Ibrahim.Mahran@averroes-eg.com</v>
      </c>
      <c r="K374" s="27" t="str">
        <f>VLOOKUP(A374,[2]Sheet1!$A:$N,14,0)</f>
        <v>el minia city </v>
      </c>
    </row>
    <row r="375" spans="1:11">
      <c r="A375" s="28">
        <v>1694</v>
      </c>
      <c r="B375" s="34" t="s">
        <v>391</v>
      </c>
      <c r="C375" s="30" t="str">
        <f>VLOOKUP(B375,[2]Sheet1!$B:$C,2,0)</f>
        <v>AbdelRahman Ibrahim Mahran</v>
      </c>
      <c r="D375" s="25" t="str">
        <f>VLOOKUP(B375,[2]Sheet1!$B:$H,7,0)</f>
        <v>MR</v>
      </c>
      <c r="E375" s="25">
        <f>VLOOKUP(C375,[2]Sheet1!$B:$M,12,0)</f>
        <v>1659</v>
      </c>
      <c r="F375" s="29">
        <v>36620968</v>
      </c>
      <c r="G375" s="31">
        <f>VLOOKUP(A375,[2]Sheet1!$A:$J,10,0)</f>
        <v>1114976499</v>
      </c>
      <c r="H375" s="32">
        <f>VLOOKUP(A375,[2]Sheet1!$A:$K,11,0)</f>
        <v>45818</v>
      </c>
      <c r="I375" s="25" t="str">
        <f>VLOOKUP(A375,[2]Sheet1!$A:$F,6,0)</f>
        <v>DIA Line</v>
      </c>
      <c r="J375" s="25"/>
      <c r="K375" s="27" t="str">
        <f>VLOOKUP(A375,[2]Sheet1!$A:$N,14,0)</f>
        <v>El Menya</v>
      </c>
    </row>
    <row r="376" spans="1:11">
      <c r="A376" s="28">
        <v>1669</v>
      </c>
      <c r="B376" s="34" t="s">
        <v>392</v>
      </c>
      <c r="C376" s="30" t="str">
        <f>VLOOKUP(B376,[2]Sheet1!$B:$C,2,0)</f>
        <v>AbdelRahman Ibrahim Mahran</v>
      </c>
      <c r="D376" s="25" t="str">
        <f>VLOOKUP(B376,[2]Sheet1!$B:$H,7,0)</f>
        <v>MR</v>
      </c>
      <c r="E376" s="25">
        <f>VLOOKUP(C376,[2]Sheet1!$B:$M,12,0)</f>
        <v>1659</v>
      </c>
      <c r="F376" s="29">
        <v>36620970</v>
      </c>
      <c r="G376" s="31">
        <f>VLOOKUP(A376,[2]Sheet1!$A:$J,10,0)</f>
        <v>1229878146</v>
      </c>
      <c r="H376" s="32">
        <f>VLOOKUP(A376,[2]Sheet1!$A:$K,11,0)</f>
        <v>45778</v>
      </c>
      <c r="I376" s="25" t="str">
        <f>VLOOKUP(A376,[2]Sheet1!$A:$F,6,0)</f>
        <v>DIA Line</v>
      </c>
      <c r="J376" s="25"/>
      <c r="K376" s="27" t="str">
        <f>VLOOKUP(A376,[2]Sheet1!$A:$N,14,0)</f>
        <v>Assiut city</v>
      </c>
    </row>
    <row r="377" spans="1:11">
      <c r="A377" s="28">
        <v>1771</v>
      </c>
      <c r="B377" s="34" t="s">
        <v>393</v>
      </c>
      <c r="C377" s="30" t="str">
        <f>VLOOKUP(B377,[2]Sheet1!$B:$C,2,0)</f>
        <v>AbdelRahman Ibrahim Mahran</v>
      </c>
      <c r="D377" s="25" t="str">
        <f>VLOOKUP(B377,[2]Sheet1!$B:$H,7,0)</f>
        <v>MR</v>
      </c>
      <c r="E377" s="25">
        <f>VLOOKUP(C377,[2]Sheet1!$B:$M,12,0)</f>
        <v>1659</v>
      </c>
      <c r="F377" s="29">
        <v>36620971</v>
      </c>
      <c r="G377" s="31">
        <f>VLOOKUP(A377,[2]Sheet1!$A:$J,10,0)</f>
        <v>1010670188</v>
      </c>
      <c r="H377" s="32">
        <f>VLOOKUP(A377,[2]Sheet1!$A:$K,11,0)</f>
        <v>45950</v>
      </c>
      <c r="I377" s="25" t="str">
        <f>VLOOKUP(A377,[2]Sheet1!$A:$F,6,0)</f>
        <v>DIA Line</v>
      </c>
      <c r="J377" s="25"/>
      <c r="K377" s="27" t="str">
        <f>VLOOKUP(A377,[2]Sheet1!$A:$N,14,0)</f>
        <v>Dayrout</v>
      </c>
    </row>
    <row r="378" spans="1:11">
      <c r="A378" s="28">
        <v>1660</v>
      </c>
      <c r="B378" s="34" t="s">
        <v>394</v>
      </c>
      <c r="C378" s="30" t="str">
        <f>VLOOKUP(B378,[2]Sheet1!$B:$C,2,0)</f>
        <v>AbdelRahman Ibrahim Mahran</v>
      </c>
      <c r="D378" s="25" t="str">
        <f>VLOOKUP(B378,[2]Sheet1!$B:$H,7,0)</f>
        <v>MR</v>
      </c>
      <c r="E378" s="25">
        <f>VLOOKUP(C378,[2]Sheet1!$B:$M,12,0)</f>
        <v>1659</v>
      </c>
      <c r="F378" s="29">
        <v>36620972</v>
      </c>
      <c r="G378" s="31">
        <f>VLOOKUP(A378,[2]Sheet1!$A:$J,10,0)</f>
        <v>1222876437</v>
      </c>
      <c r="H378" s="32">
        <f>VLOOKUP(A378,[2]Sheet1!$A:$K,11,0)</f>
        <v>45778</v>
      </c>
      <c r="I378" s="25" t="str">
        <f>VLOOKUP(A378,[2]Sheet1!$A:$F,6,0)</f>
        <v>DIA Line</v>
      </c>
      <c r="J378" s="25"/>
      <c r="K378" s="27" t="str">
        <f>VLOOKUP(A378,[2]Sheet1!$A:$N,14,0)</f>
        <v>Malawy</v>
      </c>
    </row>
    <row r="379" spans="1:11">
      <c r="A379" s="28">
        <v>1525</v>
      </c>
      <c r="B379" s="34" t="s">
        <v>395</v>
      </c>
      <c r="C379" s="30" t="str">
        <f>VLOOKUP(B379,[2]Sheet1!$B:$C,2,0)</f>
        <v>AbdelRahman Ibrahim Mahran</v>
      </c>
      <c r="D379" s="25" t="str">
        <f>VLOOKUP(B379,[2]Sheet1!$B:$H,7,0)</f>
        <v>MR</v>
      </c>
      <c r="E379" s="25">
        <f>VLOOKUP(C379,[2]Sheet1!$B:$M,12,0)</f>
        <v>1659</v>
      </c>
      <c r="F379" s="29">
        <v>36620973</v>
      </c>
      <c r="G379" s="31">
        <f>VLOOKUP(A379,[2]Sheet1!$A:$J,10,0)</f>
        <v>109632335</v>
      </c>
      <c r="H379" s="32">
        <f>VLOOKUP(A379,[2]Sheet1!$A:$K,11,0)</f>
        <v>45689</v>
      </c>
      <c r="I379" s="25" t="str">
        <f>VLOOKUP(A379,[2]Sheet1!$A:$F,6,0)</f>
        <v>DIA Line</v>
      </c>
      <c r="J379" s="25"/>
      <c r="K379" s="27" t="str">
        <f>VLOOKUP(A379,[2]Sheet1!$A:$N,14,0)</f>
        <v>beba</v>
      </c>
    </row>
    <row r="380" spans="1:11">
      <c r="A380" s="28">
        <v>1661</v>
      </c>
      <c r="B380" s="34" t="s">
        <v>396</v>
      </c>
      <c r="C380" s="30" t="str">
        <f>VLOOKUP(B380,[2]Sheet1!$B:$C,2,0)</f>
        <v>AbdelRahman Ibrahim Mahran</v>
      </c>
      <c r="D380" s="25" t="str">
        <f>VLOOKUP(B380,[2]Sheet1!$B:$H,7,0)</f>
        <v>MR</v>
      </c>
      <c r="E380" s="25">
        <f>VLOOKUP(C380,[2]Sheet1!$B:$M,12,0)</f>
        <v>1659</v>
      </c>
      <c r="F380" s="29">
        <v>36620974</v>
      </c>
      <c r="G380" s="31">
        <f>VLOOKUP(A380,[2]Sheet1!$A:$J,10,0)</f>
        <v>1223895479</v>
      </c>
      <c r="H380" s="32">
        <f>VLOOKUP(A380,[2]Sheet1!$A:$K,11,0)</f>
        <v>45783</v>
      </c>
      <c r="I380" s="25" t="str">
        <f>VLOOKUP(A380,[2]Sheet1!$A:$F,6,0)</f>
        <v>DIA Line</v>
      </c>
      <c r="J380" s="25"/>
      <c r="K380" s="27" t="str">
        <f>VLOOKUP(A380,[2]Sheet1!$A:$N,14,0)</f>
        <v>Samalout</v>
      </c>
    </row>
    <row r="381" spans="1:11">
      <c r="A381" s="28">
        <v>1792</v>
      </c>
      <c r="B381" s="34" t="s">
        <v>397</v>
      </c>
      <c r="C381" s="30" t="str">
        <f>VLOOKUP(B381,[2]Sheet1!$B:$C,2,0)</f>
        <v>AbdelRahman Ibrahim Mahran</v>
      </c>
      <c r="D381" s="25" t="str">
        <f>VLOOKUP(B381,[2]Sheet1!$B:$H,7,0)</f>
        <v>MR</v>
      </c>
      <c r="E381" s="25">
        <f>VLOOKUP(C381,[2]Sheet1!$B:$M,12,0)</f>
        <v>1659</v>
      </c>
      <c r="F381" s="29">
        <v>36620975</v>
      </c>
      <c r="G381" s="31">
        <f>VLOOKUP(A381,[2]Sheet1!$A:$J,10,0)</f>
        <v>1276456348</v>
      </c>
      <c r="H381" s="32">
        <f>VLOOKUP(A381,[2]Sheet1!$A:$K,11,0)</f>
        <v>45963</v>
      </c>
      <c r="I381" s="25" t="str">
        <f>VLOOKUP(A381,[2]Sheet1!$A:$F,6,0)</f>
        <v>DIA Line</v>
      </c>
      <c r="J381" s="25"/>
      <c r="K381" s="27" t="str">
        <f>VLOOKUP(A381,[2]Sheet1!$A:$N,14,0)</f>
        <v>Assiut city</v>
      </c>
    </row>
    <row r="382" spans="1:11">
      <c r="A382" s="28">
        <v>941</v>
      </c>
      <c r="B382" s="34" t="s">
        <v>398</v>
      </c>
      <c r="C382" s="30" t="str">
        <f>VLOOKUP(B382,[2]Sheet1!$B:$D,3,0)</f>
        <v>Mostafa Maged Mohamed</v>
      </c>
      <c r="D382" s="25" t="str">
        <f>VLOOKUP(B382,[2]Sheet1!$B:$H,7,0)</f>
        <v>DM</v>
      </c>
      <c r="E382" s="25">
        <f>VLOOKUP(C382,[2]Sheet1!$B:$M,12,0)</f>
        <v>1290</v>
      </c>
      <c r="F382" s="29">
        <v>36620976</v>
      </c>
      <c r="G382" s="31" t="str">
        <f>VLOOKUP(A382,[2]Sheet1!$A:$J,10,0)</f>
        <v> 1203325561</v>
      </c>
      <c r="H382" s="32">
        <f>VLOOKUP(A382,[2]Sheet1!$A:$K,11,0)</f>
        <v>44621</v>
      </c>
      <c r="I382" s="25" t="str">
        <f>VLOOKUP(A382,[2]Sheet1!$A:$F,6,0)</f>
        <v>DIA Line</v>
      </c>
      <c r="J382" s="25" t="str">
        <f>VLOOKUP(A382,[2]Sheet1!$A:$L,12,0)</f>
        <v>Andrew.Joseph.boules@averroes-eg.com</v>
      </c>
      <c r="K382" s="27" t="str">
        <f>VLOOKUP(A382,[2]Sheet1!$A:$N,14,0)</f>
        <v>Quena City</v>
      </c>
    </row>
    <row r="383" spans="1:11">
      <c r="A383" s="28">
        <v>1665</v>
      </c>
      <c r="B383" s="34" t="s">
        <v>399</v>
      </c>
      <c r="C383" s="30" t="str">
        <f>VLOOKUP(B383,[2]Sheet1!$B:$C,2,0)</f>
        <v>Andrew Joseph boules</v>
      </c>
      <c r="D383" s="25" t="str">
        <f>VLOOKUP(B383,[2]Sheet1!$B:$H,7,0)</f>
        <v>MR</v>
      </c>
      <c r="E383" s="25">
        <f>VLOOKUP(C383,[2]Sheet1!$B:$M,12,0)</f>
        <v>941</v>
      </c>
      <c r="F383" s="29">
        <v>36620977</v>
      </c>
      <c r="G383" s="31">
        <f>VLOOKUP(A383,[2]Sheet1!$A:$J,10,0)</f>
        <v>1029279612</v>
      </c>
      <c r="H383" s="32">
        <f>VLOOKUP(A383,[2]Sheet1!$A:$K,11,0)</f>
        <v>45780</v>
      </c>
      <c r="I383" s="25" t="str">
        <f>VLOOKUP(A383,[2]Sheet1!$A:$F,6,0)</f>
        <v>DIA Line</v>
      </c>
      <c r="J383" s="25"/>
      <c r="K383" s="27" t="str">
        <f>VLOOKUP(A383,[2]Sheet1!$A:$N,14,0)</f>
        <v>Sohag City</v>
      </c>
    </row>
    <row r="384" spans="1:11">
      <c r="A384" s="28">
        <v>1666</v>
      </c>
      <c r="B384" s="34" t="s">
        <v>400</v>
      </c>
      <c r="C384" s="30" t="str">
        <f>VLOOKUP(B384,[2]Sheet1!$B:$C,2,0)</f>
        <v>Andrew Joseph boules</v>
      </c>
      <c r="D384" s="25" t="str">
        <f>VLOOKUP(B384,[2]Sheet1!$B:$H,7,0)</f>
        <v>MR</v>
      </c>
      <c r="E384" s="25">
        <f>VLOOKUP(C384,[2]Sheet1!$B:$M,12,0)</f>
        <v>941</v>
      </c>
      <c r="F384" s="29">
        <v>36620978</v>
      </c>
      <c r="G384" s="31">
        <f>VLOOKUP(A384,[2]Sheet1!$A:$J,10,0)</f>
        <v>1023720048</v>
      </c>
      <c r="H384" s="32">
        <f>VLOOKUP(A384,[2]Sheet1!$A:$K,11,0)</f>
        <v>45780</v>
      </c>
      <c r="I384" s="25" t="str">
        <f>VLOOKUP(A384,[2]Sheet1!$A:$F,6,0)</f>
        <v>DIA Line</v>
      </c>
      <c r="J384" s="25"/>
      <c r="K384" s="27" t="str">
        <f>VLOOKUP(A384,[2]Sheet1!$A:$N,14,0)</f>
        <v>Sohag City</v>
      </c>
    </row>
    <row r="385" spans="1:11">
      <c r="A385" s="28">
        <v>1667</v>
      </c>
      <c r="B385" s="34" t="s">
        <v>401</v>
      </c>
      <c r="C385" s="30" t="str">
        <f>VLOOKUP(B385,[2]Sheet1!$B:$C,2,0)</f>
        <v>Andrew Joseph boules</v>
      </c>
      <c r="D385" s="25" t="str">
        <f>VLOOKUP(B385,[2]Sheet1!$B:$H,7,0)</f>
        <v>MR</v>
      </c>
      <c r="E385" s="25">
        <f>VLOOKUP(C385,[2]Sheet1!$B:$M,12,0)</f>
        <v>941</v>
      </c>
      <c r="F385" s="29">
        <v>36620979</v>
      </c>
      <c r="G385" s="31">
        <f>VLOOKUP(A385,[2]Sheet1!$A:$J,10,0)</f>
        <v>1094639007</v>
      </c>
      <c r="H385" s="32">
        <f>VLOOKUP(A385,[2]Sheet1!$A:$K,11,0)</f>
        <v>45780</v>
      </c>
      <c r="I385" s="25" t="str">
        <f>VLOOKUP(A385,[2]Sheet1!$A:$F,6,0)</f>
        <v>DIA Line</v>
      </c>
      <c r="J385" s="25"/>
      <c r="K385" s="27" t="str">
        <f>VLOOKUP(A385,[2]Sheet1!$A:$N,14,0)</f>
        <v>Farshout</v>
      </c>
    </row>
    <row r="386" spans="1:11">
      <c r="A386" s="28">
        <v>1662</v>
      </c>
      <c r="B386" s="34" t="s">
        <v>402</v>
      </c>
      <c r="C386" s="30" t="str">
        <f>VLOOKUP(B386,[2]Sheet1!$B:$C,2,0)</f>
        <v>Andrew Joseph boules</v>
      </c>
      <c r="D386" s="25" t="str">
        <f>VLOOKUP(B386,[2]Sheet1!$B:$H,7,0)</f>
        <v>MR</v>
      </c>
      <c r="E386" s="25">
        <f>VLOOKUP(C386,[2]Sheet1!$B:$M,12,0)</f>
        <v>941</v>
      </c>
      <c r="F386" s="29">
        <v>36620980</v>
      </c>
      <c r="G386" s="31">
        <f>VLOOKUP(A386,[2]Sheet1!$A:$J,10,0)</f>
        <v>1026493259</v>
      </c>
      <c r="H386" s="32">
        <f>VLOOKUP(A386,[2]Sheet1!$A:$K,11,0)</f>
        <v>45780</v>
      </c>
      <c r="I386" s="25" t="str">
        <f>VLOOKUP(A386,[2]Sheet1!$A:$F,6,0)</f>
        <v>DIA Line</v>
      </c>
      <c r="J386" s="25"/>
      <c r="K386" s="27" t="str">
        <f>VLOOKUP(A386,[2]Sheet1!$A:$N,14,0)</f>
        <v>Quena City</v>
      </c>
    </row>
    <row r="387" spans="1:11">
      <c r="A387" s="28">
        <v>1695</v>
      </c>
      <c r="B387" s="34" t="s">
        <v>403</v>
      </c>
      <c r="C387" s="30" t="str">
        <f>VLOOKUP(B387,[2]Sheet1!$B:$C,2,0)</f>
        <v>Andrew Joseph boules</v>
      </c>
      <c r="D387" s="25" t="str">
        <f>VLOOKUP(B387,[2]Sheet1!$B:$H,7,0)</f>
        <v>MR</v>
      </c>
      <c r="E387" s="25">
        <f>VLOOKUP(C387,[2]Sheet1!$B:$M,12,0)</f>
        <v>941</v>
      </c>
      <c r="F387" s="29">
        <v>36620981</v>
      </c>
      <c r="G387" s="31" t="str">
        <f>VLOOKUP(A387,[2]Sheet1!$A:$J,10,0)</f>
        <v>1225161169‬</v>
      </c>
      <c r="H387" s="32">
        <f>VLOOKUP(A387,[2]Sheet1!$A:$K,11,0)</f>
        <v>45822</v>
      </c>
      <c r="I387" s="25" t="str">
        <f>VLOOKUP(A387,[2]Sheet1!$A:$F,6,0)</f>
        <v>DIA Line</v>
      </c>
      <c r="J387" s="25"/>
      <c r="K387" s="27" t="str">
        <f>VLOOKUP(A387,[2]Sheet1!$A:$N,14,0)</f>
        <v>Tahta</v>
      </c>
    </row>
    <row r="388" spans="1:11">
      <c r="A388" s="28">
        <v>1663</v>
      </c>
      <c r="B388" s="34" t="s">
        <v>404</v>
      </c>
      <c r="C388" s="30" t="str">
        <f>VLOOKUP(B388,[2]Sheet1!$B:$C,2,0)</f>
        <v>Andrew Joseph boules</v>
      </c>
      <c r="D388" s="25" t="str">
        <f>VLOOKUP(B388,[2]Sheet1!$B:$H,7,0)</f>
        <v>MR</v>
      </c>
      <c r="E388" s="25">
        <f>VLOOKUP(C388,[2]Sheet1!$B:$M,12,0)</f>
        <v>941</v>
      </c>
      <c r="F388" s="29">
        <v>36620982</v>
      </c>
      <c r="G388" s="31">
        <f>VLOOKUP(A388,[2]Sheet1!$A:$J,10,0)</f>
        <v>1128798543</v>
      </c>
      <c r="H388" s="32">
        <f>VLOOKUP(A388,[2]Sheet1!$A:$K,11,0)</f>
        <v>45780</v>
      </c>
      <c r="I388" s="25" t="str">
        <f>VLOOKUP(A388,[2]Sheet1!$A:$F,6,0)</f>
        <v>DIA Line</v>
      </c>
      <c r="J388" s="25"/>
      <c r="K388" s="27" t="str">
        <f>VLOOKUP(A388,[2]Sheet1!$A:$N,14,0)</f>
        <v>Aswan City</v>
      </c>
    </row>
    <row r="389" spans="1:11">
      <c r="A389" s="28">
        <v>1664</v>
      </c>
      <c r="B389" s="34" t="s">
        <v>405</v>
      </c>
      <c r="C389" s="30" t="str">
        <f>VLOOKUP(B389,[2]Sheet1!$B:$C,2,0)</f>
        <v>Andrew Joseph boules</v>
      </c>
      <c r="D389" s="25" t="str">
        <f>VLOOKUP(B389,[2]Sheet1!$B:$H,7,0)</f>
        <v>MR</v>
      </c>
      <c r="E389" s="25">
        <f>VLOOKUP(C389,[2]Sheet1!$B:$M,12,0)</f>
        <v>941</v>
      </c>
      <c r="F389" s="29">
        <v>36620983</v>
      </c>
      <c r="G389" s="31">
        <f>VLOOKUP(A389,[2]Sheet1!$A:$J,10,0)</f>
        <v>1064738945</v>
      </c>
      <c r="H389" s="32">
        <f>VLOOKUP(A389,[2]Sheet1!$A:$K,11,0)</f>
        <v>45780</v>
      </c>
      <c r="I389" s="25" t="str">
        <f>VLOOKUP(A389,[2]Sheet1!$A:$F,6,0)</f>
        <v>DIA Line</v>
      </c>
      <c r="J389" s="25"/>
      <c r="K389" s="27" t="str">
        <f>VLOOKUP(A389,[2]Sheet1!$A:$N,14,0)</f>
        <v>Luxor City</v>
      </c>
    </row>
    <row r="390" spans="1:11">
      <c r="A390" s="28">
        <v>91</v>
      </c>
      <c r="B390" s="34" t="s">
        <v>406</v>
      </c>
      <c r="C390" s="30" t="str">
        <f>VLOOKUP(B390,[2]Sheet1!$B:$E,4,0)</f>
        <v>Abo El Abbas Samir</v>
      </c>
      <c r="D390" s="25" t="str">
        <f>VLOOKUP(B390,[2]Sheet1!$B:$H,7,0)</f>
        <v>AM</v>
      </c>
      <c r="E390" s="25">
        <f>VLOOKUP(C390,[2]Sheet1!$B:$M,12,0)</f>
        <v>61</v>
      </c>
      <c r="F390" s="29">
        <v>36620984</v>
      </c>
      <c r="G390" s="31" t="str">
        <f>VLOOKUP(A390,[2]Sheet1!$A:$J,10,0)</f>
        <v> 1030826111</v>
      </c>
      <c r="H390" s="32">
        <f>VLOOKUP(A390,[2]Sheet1!$A:$K,11,0)</f>
        <v>42463</v>
      </c>
      <c r="I390" s="25" t="str">
        <f>VLOOKUP(A390,[2]Sheet1!$A:$F,6,0)</f>
        <v>CVM Line &amp; DIA Line</v>
      </c>
      <c r="J390" s="25" t="str">
        <f>VLOOKUP(A390,[2]Sheet1!$A:$L,12,0)</f>
        <v>ramyahmed@averroes-eg.com</v>
      </c>
      <c r="K390" s="27" t="str">
        <f>VLOOKUP(A390,[2]Sheet1!$A:$N,14,0)</f>
        <v>El Asafra</v>
      </c>
    </row>
    <row r="391" spans="1:11">
      <c r="A391" s="28">
        <v>854</v>
      </c>
      <c r="B391" s="34" t="s">
        <v>407</v>
      </c>
      <c r="C391" s="30" t="str">
        <f>VLOOKUP(B391,[2]Sheet1!$B:$D,3,0)</f>
        <v>Ramy Ahmed Mohamed</v>
      </c>
      <c r="D391" s="25" t="str">
        <f>VLOOKUP(B391,[2]Sheet1!$B:$H,7,0)</f>
        <v>DM</v>
      </c>
      <c r="E391" s="25">
        <f>VLOOKUP(C391,[2]Sheet1!$B:$M,12,0)</f>
        <v>91</v>
      </c>
      <c r="F391" s="29">
        <v>36620985</v>
      </c>
      <c r="G391" s="31">
        <f>VLOOKUP(A391,[2]Sheet1!$A:$J,10,0)</f>
        <v>1065737956</v>
      </c>
      <c r="H391" s="32">
        <f>VLOOKUP(A391,[2]Sheet1!$A:$K,11,0)</f>
        <v>44500</v>
      </c>
      <c r="I391" s="25" t="str">
        <f>VLOOKUP(A391,[2]Sheet1!$A:$F,6,0)</f>
        <v>CVM Line</v>
      </c>
      <c r="J391" s="25"/>
      <c r="K391" s="27" t="str">
        <f>VLOOKUP(A391,[2]Sheet1!$A:$N,14,0)</f>
        <v>Kom Hamada</v>
      </c>
    </row>
    <row r="392" spans="1:11">
      <c r="A392" s="28">
        <v>1476</v>
      </c>
      <c r="B392" s="34" t="s">
        <v>408</v>
      </c>
      <c r="C392" s="30" t="str">
        <f>VLOOKUP(B392,[2]Sheet1!$B:$C,2,0)</f>
        <v>Asmaa AbdElmonem Mohamed Zahran</v>
      </c>
      <c r="D392" s="25" t="str">
        <f>VLOOKUP(B392,[2]Sheet1!$B:$H,7,0)</f>
        <v>MR</v>
      </c>
      <c r="E392" s="25">
        <f>VLOOKUP(C392,[2]Sheet1!$B:$M,12,0)</f>
        <v>854</v>
      </c>
      <c r="F392" s="29">
        <v>36620986</v>
      </c>
      <c r="G392" s="31">
        <f>VLOOKUP(A392,[2]Sheet1!$A:$J,10,0)</f>
        <v>1060267938</v>
      </c>
      <c r="H392" s="32">
        <f>VLOOKUP(A392,[2]Sheet1!$A:$K,11,0)</f>
        <v>45640</v>
      </c>
      <c r="I392" s="25" t="str">
        <f>VLOOKUP(A392,[2]Sheet1!$A:$F,6,0)</f>
        <v>CVM Line</v>
      </c>
      <c r="J392" s="25"/>
      <c r="K392" s="27" t="str">
        <f>VLOOKUP(A392,[2]Sheet1!$A:$N,14,0)</f>
        <v>Kafr El Shiekh</v>
      </c>
    </row>
    <row r="393" spans="1:11">
      <c r="A393" s="28">
        <v>1198</v>
      </c>
      <c r="B393" s="34" t="s">
        <v>409</v>
      </c>
      <c r="C393" s="30" t="str">
        <f>VLOOKUP(B393,[2]Sheet1!$B:$C,2,0)</f>
        <v>Asmaa AbdElmonem Mohamed Zahran</v>
      </c>
      <c r="D393" s="25" t="str">
        <f>VLOOKUP(B393,[2]Sheet1!$B:$H,7,0)</f>
        <v>MR</v>
      </c>
      <c r="E393" s="25">
        <f>VLOOKUP(C393,[2]Sheet1!$B:$M,12,0)</f>
        <v>854</v>
      </c>
      <c r="F393" s="29">
        <v>36620987</v>
      </c>
      <c r="G393" s="31">
        <f>VLOOKUP(A393,[2]Sheet1!$A:$J,10,0)</f>
        <v>1030180007</v>
      </c>
      <c r="H393" s="32">
        <f>VLOOKUP(A393,[2]Sheet1!$A:$K,11,0)</f>
        <v>44983</v>
      </c>
      <c r="I393" s="25" t="str">
        <f>VLOOKUP(A393,[2]Sheet1!$A:$F,6,0)</f>
        <v>CVM Line</v>
      </c>
      <c r="J393" s="25"/>
      <c r="K393" s="27" t="str">
        <f>VLOOKUP(A393,[2]Sheet1!$A:$N,14,0)</f>
        <v>Housh Easa</v>
      </c>
    </row>
    <row r="394" spans="1:11">
      <c r="A394" s="28">
        <v>1848</v>
      </c>
      <c r="B394" s="34" t="s">
        <v>410</v>
      </c>
      <c r="C394" s="30" t="str">
        <f>VLOOKUP(B394,[2]Sheet1!$B:$C,2,0)</f>
        <v>Asmaa AbdElmonem Mohamed Zahran</v>
      </c>
      <c r="D394" s="25" t="str">
        <f>VLOOKUP(B394,[2]Sheet1!$B:$H,7,0)</f>
        <v>MR</v>
      </c>
      <c r="E394" s="25">
        <f>VLOOKUP(C394,[2]Sheet1!$B:$M,12,0)</f>
        <v>854</v>
      </c>
      <c r="F394" s="29">
        <v>36620989</v>
      </c>
      <c r="G394" s="31">
        <f>VLOOKUP(A394,[2]Sheet1!$A:$J,10,0)</f>
        <v>1010612709</v>
      </c>
      <c r="H394" s="32">
        <f>VLOOKUP(A394,[2]Sheet1!$A:$K,11,0)</f>
        <v>46054</v>
      </c>
      <c r="I394" s="25" t="str">
        <f>VLOOKUP(A394,[2]Sheet1!$A:$F,6,0)</f>
        <v>CVM Line</v>
      </c>
      <c r="J394" s="25"/>
      <c r="K394" s="27" t="str">
        <f>VLOOKUP(A394,[2]Sheet1!$A:$N,14,0)</f>
        <v>Kom Hamada</v>
      </c>
    </row>
    <row r="395" spans="1:11">
      <c r="A395" s="28">
        <v>1735</v>
      </c>
      <c r="B395" s="34" t="s">
        <v>411</v>
      </c>
      <c r="C395" s="30" t="str">
        <f>VLOOKUP(B395,[2]Sheet1!$B:$C,2,0)</f>
        <v>Asmaa AbdElmonem Mohamed Zahran</v>
      </c>
      <c r="D395" s="25" t="str">
        <f>VLOOKUP(B395,[2]Sheet1!$B:$H,7,0)</f>
        <v>MR</v>
      </c>
      <c r="E395" s="25">
        <f>VLOOKUP(C395,[2]Sheet1!$B:$M,12,0)</f>
        <v>854</v>
      </c>
      <c r="F395" s="29">
        <v>36620990</v>
      </c>
      <c r="G395" s="31">
        <f>VLOOKUP(A395,[2]Sheet1!$A:$J,10,0)</f>
        <v>1026755342</v>
      </c>
      <c r="H395" s="32">
        <f>VLOOKUP(A395,[2]Sheet1!$A:$K,11,0)</f>
        <v>45901</v>
      </c>
      <c r="I395" s="25" t="str">
        <f>VLOOKUP(A395,[2]Sheet1!$A:$F,6,0)</f>
        <v>CVM Line</v>
      </c>
      <c r="J395" s="25"/>
      <c r="K395" s="27" t="str">
        <f>VLOOKUP(A395,[2]Sheet1!$A:$N,14,0)</f>
        <v>Fowa</v>
      </c>
    </row>
    <row r="396" spans="1:11">
      <c r="A396" s="28">
        <v>894</v>
      </c>
      <c r="B396" s="34" t="s">
        <v>412</v>
      </c>
      <c r="C396" s="30" t="str">
        <f>VLOOKUP(B396,[2]Sheet1!$B:$C,2,0)</f>
        <v>Asmaa AbdElmonem Mohamed Zahran</v>
      </c>
      <c r="D396" s="25" t="str">
        <f>VLOOKUP(B396,[2]Sheet1!$B:$H,7,0)</f>
        <v>MR</v>
      </c>
      <c r="E396" s="25">
        <f>VLOOKUP(C396,[2]Sheet1!$B:$M,12,0)</f>
        <v>854</v>
      </c>
      <c r="F396" s="29">
        <v>36620991</v>
      </c>
      <c r="G396" s="31" t="str">
        <f>VLOOKUP(A396,[2]Sheet1!$A:$J,10,0)</f>
        <v> 1027473139</v>
      </c>
      <c r="H396" s="32">
        <f>VLOOKUP(A396,[2]Sheet1!$A:$K,11,0)</f>
        <v>44593</v>
      </c>
      <c r="I396" s="25" t="str">
        <f>VLOOKUP(A396,[2]Sheet1!$A:$F,6,0)</f>
        <v>CVM Line</v>
      </c>
      <c r="J396" s="25"/>
      <c r="K396" s="27" t="str">
        <f>VLOOKUP(A396,[2]Sheet1!$A:$N,14,0)</f>
        <v>Damanhour</v>
      </c>
    </row>
    <row r="397" spans="1:11">
      <c r="A397" s="28">
        <v>1686</v>
      </c>
      <c r="B397" s="34" t="s">
        <v>413</v>
      </c>
      <c r="C397" s="30" t="str">
        <f>VLOOKUP(B397,[2]Sheet1!$B:$C,2,0)</f>
        <v>Asmaa AbdElmonem Mohamed Zahran</v>
      </c>
      <c r="D397" s="25" t="str">
        <f>VLOOKUP(B397,[2]Sheet1!$B:$H,7,0)</f>
        <v>MR</v>
      </c>
      <c r="E397" s="25">
        <f>VLOOKUP(C397,[2]Sheet1!$B:$M,12,0)</f>
        <v>854</v>
      </c>
      <c r="F397" s="29">
        <v>36620992</v>
      </c>
      <c r="G397" s="31">
        <f>VLOOKUP(A397,[2]Sheet1!$A:$J,10,0)</f>
        <v>1024660751</v>
      </c>
      <c r="H397" s="32">
        <f>VLOOKUP(A397,[2]Sheet1!$A:$K,11,0)</f>
        <v>45809</v>
      </c>
      <c r="I397" s="25" t="str">
        <f>VLOOKUP(A397,[2]Sheet1!$A:$F,6,0)</f>
        <v>CVM Line</v>
      </c>
      <c r="J397" s="25"/>
      <c r="K397" s="27" t="str">
        <f>VLOOKUP(A397,[2]Sheet1!$A:$N,14,0)</f>
        <v>Kafr El Dawar</v>
      </c>
    </row>
    <row r="398" spans="1:11">
      <c r="A398" s="28">
        <v>1335</v>
      </c>
      <c r="B398" s="34" t="s">
        <v>414</v>
      </c>
      <c r="C398" s="30" t="str">
        <f>VLOOKUP(B398,[2]Sheet1!$B:$C,2,0)</f>
        <v>Asmaa AbdElmonem Mohamed Zahran</v>
      </c>
      <c r="D398" s="25" t="str">
        <f>VLOOKUP(B398,[2]Sheet1!$B:$H,7,0)</f>
        <v>MR</v>
      </c>
      <c r="E398" s="25">
        <f>VLOOKUP(C398,[2]Sheet1!$B:$M,12,0)</f>
        <v>854</v>
      </c>
      <c r="F398" s="29">
        <v>36620993</v>
      </c>
      <c r="G398" s="31">
        <f>VLOOKUP(A398,[2]Sheet1!$A:$J,10,0)</f>
        <v>1022565719</v>
      </c>
      <c r="H398" s="32">
        <f>VLOOKUP(A398,[2]Sheet1!$A:$K,11,0)</f>
        <v>45318</v>
      </c>
      <c r="I398" s="25" t="str">
        <f>VLOOKUP(A398,[2]Sheet1!$A:$F,6,0)</f>
        <v>CVM Line</v>
      </c>
      <c r="J398" s="25"/>
      <c r="K398" s="27" t="str">
        <f>VLOOKUP(A398,[2]Sheet1!$A:$N,14,0)</f>
        <v>Kafr El Shiekh</v>
      </c>
    </row>
    <row r="399" spans="1:11">
      <c r="A399" s="28">
        <v>841</v>
      </c>
      <c r="B399" s="34" t="s">
        <v>415</v>
      </c>
      <c r="C399" s="30" t="str">
        <f>VLOOKUP(B399,[2]Sheet1!$B:$D,3,0)</f>
        <v>Ramy Ahmed Mohamed</v>
      </c>
      <c r="D399" s="25" t="str">
        <f>VLOOKUP(B399,[2]Sheet1!$B:$H,7,0)</f>
        <v>DM</v>
      </c>
      <c r="E399" s="25">
        <f>VLOOKUP(C399,[2]Sheet1!$B:$M,12,0)</f>
        <v>91</v>
      </c>
      <c r="F399" s="29">
        <v>36620994</v>
      </c>
      <c r="G399" s="31">
        <f>VLOOKUP(A399,[2]Sheet1!$A:$J,10,0)</f>
        <v>1159806707</v>
      </c>
      <c r="H399" s="32">
        <f>VLOOKUP(A399,[2]Sheet1!$A:$K,11,0)</f>
        <v>44479</v>
      </c>
      <c r="I399" s="25" t="str">
        <f>VLOOKUP(A399,[2]Sheet1!$A:$F,6,0)</f>
        <v>CVM Line</v>
      </c>
      <c r="J399" s="25" t="str">
        <f>VLOOKUP(A399,[2]Sheet1!$A:$L,12,0)</f>
        <v>Esraa.Abdelkader.Ahmed.Rashwan@averroes-eg.com</v>
      </c>
      <c r="K399" s="27" t="str">
        <f>VLOOKUP(A399,[2]Sheet1!$A:$N,14,0)</f>
        <v>Smoha - Ezbet Saad</v>
      </c>
    </row>
    <row r="400" spans="1:11">
      <c r="A400" s="28">
        <v>1621</v>
      </c>
      <c r="B400" s="34" t="s">
        <v>416</v>
      </c>
      <c r="C400" s="30" t="str">
        <f>VLOOKUP(B400,[2]Sheet1!$B:$C,2,0)</f>
        <v>Esraa Abdelkader Ahmed Rashwan</v>
      </c>
      <c r="D400" s="25" t="str">
        <f>VLOOKUP(B400,[2]Sheet1!$B:$H,7,0)</f>
        <v>MR</v>
      </c>
      <c r="E400" s="25">
        <f>VLOOKUP(C400,[2]Sheet1!$B:$M,12,0)</f>
        <v>841</v>
      </c>
      <c r="F400" s="29">
        <v>36620995</v>
      </c>
      <c r="G400" s="31">
        <f>VLOOKUP(A400,[2]Sheet1!$A:$J,10,0)</f>
        <v>1277421599</v>
      </c>
      <c r="H400" s="32">
        <f>VLOOKUP(A400,[2]Sheet1!$A:$K,11,0)</f>
        <v>45780</v>
      </c>
      <c r="I400" s="25" t="str">
        <f>VLOOKUP(A400,[2]Sheet1!$A:$F,6,0)</f>
        <v>CVM Line</v>
      </c>
      <c r="J400" s="25"/>
      <c r="K400" s="27" t="str">
        <f>VLOOKUP(A400,[2]Sheet1!$A:$N,14,0)</f>
        <v>Betash</v>
      </c>
    </row>
    <row r="401" spans="1:11">
      <c r="A401" s="28">
        <v>1853</v>
      </c>
      <c r="B401" s="34" t="s">
        <v>417</v>
      </c>
      <c r="C401" s="30" t="str">
        <f>VLOOKUP(B401,[2]Sheet1!$B:$C,2,0)</f>
        <v>Esraa Abdelkader Ahmed Rashwan</v>
      </c>
      <c r="D401" s="25" t="str">
        <f>VLOOKUP(B401,[2]Sheet1!$B:$H,7,0)</f>
        <v>MR</v>
      </c>
      <c r="E401" s="25">
        <f>VLOOKUP(C401,[2]Sheet1!$B:$M,12,0)</f>
        <v>841</v>
      </c>
      <c r="F401" s="29">
        <v>36620996</v>
      </c>
      <c r="G401" s="31">
        <f>VLOOKUP(A401,[2]Sheet1!$A:$J,10,0)</f>
        <v>1032612671</v>
      </c>
      <c r="H401" s="32">
        <f>VLOOKUP(A401,[2]Sheet1!$A:$K,11,0)</f>
        <v>46054</v>
      </c>
      <c r="I401" s="25" t="str">
        <f>VLOOKUP(A401,[2]Sheet1!$A:$F,6,0)</f>
        <v>CVM Line</v>
      </c>
      <c r="J401" s="25"/>
      <c r="K401" s="27" t="str">
        <f>VLOOKUP(A401,[2]Sheet1!$A:$N,14,0)</f>
        <v>El Asafra</v>
      </c>
    </row>
    <row r="402" spans="1:11">
      <c r="A402" s="28">
        <v>1852</v>
      </c>
      <c r="B402" s="34" t="s">
        <v>418</v>
      </c>
      <c r="C402" s="30" t="str">
        <f>VLOOKUP(B402,[2]Sheet1!$B:$C,2,0)</f>
        <v>Esraa Abdelkader Ahmed Rashwan</v>
      </c>
      <c r="D402" s="25" t="str">
        <f>VLOOKUP(B402,[2]Sheet1!$B:$H,7,0)</f>
        <v>MR</v>
      </c>
      <c r="E402" s="25">
        <f>VLOOKUP(C402,[2]Sheet1!$B:$M,12,0)</f>
        <v>841</v>
      </c>
      <c r="F402" s="29">
        <v>36620997</v>
      </c>
      <c r="G402" s="31">
        <f>VLOOKUP(A402,[2]Sheet1!$A:$J,10,0)</f>
        <v>1271990569</v>
      </c>
      <c r="H402" s="32">
        <f>VLOOKUP(A402,[2]Sheet1!$A:$K,11,0)</f>
        <v>46054</v>
      </c>
      <c r="I402" s="25" t="str">
        <f>VLOOKUP(A402,[2]Sheet1!$A:$F,6,0)</f>
        <v>CVM Line</v>
      </c>
      <c r="J402" s="25"/>
      <c r="K402" s="27" t="str">
        <f>VLOOKUP(A402,[2]Sheet1!$A:$N,14,0)</f>
        <v>El Asafra</v>
      </c>
    </row>
    <row r="403" spans="1:11">
      <c r="A403" s="28">
        <v>1574</v>
      </c>
      <c r="B403" s="34" t="s">
        <v>419</v>
      </c>
      <c r="C403" s="30" t="str">
        <f>VLOOKUP(B403,[2]Sheet1!$B:$C,2,0)</f>
        <v>Esraa Abdelkader Ahmed Rashwan</v>
      </c>
      <c r="D403" s="25" t="str">
        <f>VLOOKUP(B403,[2]Sheet1!$B:$H,7,0)</f>
        <v>MR</v>
      </c>
      <c r="E403" s="25">
        <f>VLOOKUP(C403,[2]Sheet1!$B:$M,12,0)</f>
        <v>841</v>
      </c>
      <c r="F403" s="29">
        <v>36620999</v>
      </c>
      <c r="G403" s="31">
        <f>VLOOKUP(A403,[2]Sheet1!$A:$J,10,0)</f>
        <v>1102158457</v>
      </c>
      <c r="H403" s="32">
        <f>VLOOKUP(A403,[2]Sheet1!$A:$K,11,0)</f>
        <v>45718</v>
      </c>
      <c r="I403" s="25" t="str">
        <f>VLOOKUP(A403,[2]Sheet1!$A:$F,6,0)</f>
        <v>CVM Line</v>
      </c>
      <c r="J403" s="25"/>
      <c r="K403" s="27" t="str">
        <f>VLOOKUP(A403,[2]Sheet1!$A:$N,14,0)</f>
        <v>Moharam Bek</v>
      </c>
    </row>
    <row r="404" spans="1:11">
      <c r="A404" s="28">
        <v>1742</v>
      </c>
      <c r="B404" s="34" t="s">
        <v>420</v>
      </c>
      <c r="C404" s="30" t="str">
        <f>VLOOKUP(B404,[2]Sheet1!$B:$C,2,0)</f>
        <v>Esraa Abdelkader Ahmed Rashwan</v>
      </c>
      <c r="D404" s="25" t="str">
        <f>VLOOKUP(B404,[2]Sheet1!$B:$H,7,0)</f>
        <v>MR</v>
      </c>
      <c r="E404" s="25">
        <f>VLOOKUP(C404,[2]Sheet1!$B:$M,12,0)</f>
        <v>841</v>
      </c>
      <c r="F404" s="29">
        <v>36621000</v>
      </c>
      <c r="G404" s="31">
        <f>VLOOKUP(A404,[2]Sheet1!$A:$J,10,0)</f>
        <v>1205591081</v>
      </c>
      <c r="H404" s="32">
        <f>VLOOKUP(A404,[2]Sheet1!$A:$K,11,0)</f>
        <v>45907</v>
      </c>
      <c r="I404" s="25" t="str">
        <f>VLOOKUP(A404,[2]Sheet1!$A:$F,6,0)</f>
        <v>CVM Line</v>
      </c>
      <c r="J404" s="25"/>
      <c r="K404" s="27" t="str">
        <f>VLOOKUP(A404,[2]Sheet1!$A:$N,14,0)</f>
        <v>Hagar El Nwatia</v>
      </c>
    </row>
    <row r="405" spans="1:11">
      <c r="A405" s="28">
        <v>1680</v>
      </c>
      <c r="B405" s="34" t="s">
        <v>421</v>
      </c>
      <c r="C405" s="30" t="str">
        <f>VLOOKUP(B405,[2]Sheet1!$B:$C,2,0)</f>
        <v>Esraa Abdelkader Ahmed Rashwan</v>
      </c>
      <c r="D405" s="25" t="str">
        <f>VLOOKUP(B405,[2]Sheet1!$B:$H,7,0)</f>
        <v>MR</v>
      </c>
      <c r="E405" s="25">
        <f>VLOOKUP(C405,[2]Sheet1!$B:$M,12,0)</f>
        <v>841</v>
      </c>
      <c r="F405" s="29">
        <v>36621001</v>
      </c>
      <c r="G405" s="31">
        <f>VLOOKUP(A405,[2]Sheet1!$A:$J,10,0)</f>
        <v>1271765629</v>
      </c>
      <c r="H405" s="32">
        <f>VLOOKUP(A405,[2]Sheet1!$A:$K,11,0)</f>
        <v>45780</v>
      </c>
      <c r="I405" s="25" t="str">
        <f>VLOOKUP(A405,[2]Sheet1!$A:$F,6,0)</f>
        <v>CVM Line</v>
      </c>
      <c r="J405" s="25"/>
      <c r="K405" s="27" t="str">
        <f>VLOOKUP(A405,[2]Sheet1!$A:$N,14,0)</f>
        <v>Ragheb</v>
      </c>
    </row>
    <row r="406" spans="1:11">
      <c r="A406" s="28">
        <v>128</v>
      </c>
      <c r="B406" s="34" t="s">
        <v>422</v>
      </c>
      <c r="C406" s="30" t="str">
        <f>VLOOKUP(B406,[2]Sheet1!$B:$D,3,0)</f>
        <v>Ramy Ahmed Mohamed</v>
      </c>
      <c r="D406" s="25" t="str">
        <f>VLOOKUP(B406,[2]Sheet1!$B:$H,7,0)</f>
        <v>DM</v>
      </c>
      <c r="E406" s="25">
        <f>VLOOKUP(C406,[2]Sheet1!$B:$M,12,0)</f>
        <v>91</v>
      </c>
      <c r="F406" s="29">
        <v>36621002</v>
      </c>
      <c r="G406" s="31" t="str">
        <f>VLOOKUP(A406,[2]Sheet1!$A:$J,10,0)</f>
        <v> 01090039538</v>
      </c>
      <c r="H406" s="32">
        <f>VLOOKUP(A406,[2]Sheet1!$A:$K,11,0)</f>
        <v>42345</v>
      </c>
      <c r="I406" s="25" t="str">
        <f>VLOOKUP(A406,[2]Sheet1!$A:$F,6,0)</f>
        <v>DIA Line</v>
      </c>
      <c r="J406" s="25" t="str">
        <f>VLOOKUP(A406,[2]Sheet1!$A:$L,12,0)</f>
        <v>elhusseiny.kassem@averroes-eg.com</v>
      </c>
      <c r="K406" s="27" t="str">
        <f>VLOOKUP(A406,[2]Sheet1!$A:$N,14,0)</f>
        <v>Kafr El Shiekh</v>
      </c>
    </row>
    <row r="407" spans="1:11">
      <c r="A407" s="28">
        <v>1670</v>
      </c>
      <c r="B407" s="34" t="s">
        <v>423</v>
      </c>
      <c r="C407" s="30" t="str">
        <f>VLOOKUP(B407,[2]Sheet1!$B:$C,2,0)</f>
        <v>Elhoseny Kasem Mohamed</v>
      </c>
      <c r="D407" s="25" t="str">
        <f>VLOOKUP(B407,[2]Sheet1!$B:$H,7,0)</f>
        <v>MR</v>
      </c>
      <c r="E407" s="25">
        <f>VLOOKUP(C407,[2]Sheet1!$B:$M,12,0)</f>
        <v>128</v>
      </c>
      <c r="F407" s="29">
        <v>36621003</v>
      </c>
      <c r="G407" s="31">
        <f>VLOOKUP(A407,[2]Sheet1!$A:$J,10,0)</f>
        <v>1002525478</v>
      </c>
      <c r="H407" s="32">
        <f>VLOOKUP(A407,[2]Sheet1!$A:$K,11,0)</f>
        <v>45780</v>
      </c>
      <c r="I407" s="25" t="str">
        <f>VLOOKUP(A407,[2]Sheet1!$A:$F,6,0)</f>
        <v>DIA Line</v>
      </c>
      <c r="J407" s="25"/>
      <c r="K407" s="27" t="str">
        <f>VLOOKUP(A407,[2]Sheet1!$A:$N,14,0)</f>
        <v>Kafr El Dawar</v>
      </c>
    </row>
    <row r="408" spans="1:11">
      <c r="A408" s="28">
        <v>1674</v>
      </c>
      <c r="B408" s="34" t="s">
        <v>424</v>
      </c>
      <c r="C408" s="30" t="str">
        <f>VLOOKUP(B408,[2]Sheet1!$B:$C,2,0)</f>
        <v>Elhoseny Kasem Mohamed</v>
      </c>
      <c r="D408" s="25" t="str">
        <f>VLOOKUP(B408,[2]Sheet1!$B:$H,7,0)</f>
        <v>MR</v>
      </c>
      <c r="E408" s="25">
        <f>VLOOKUP(C408,[2]Sheet1!$B:$M,12,0)</f>
        <v>128</v>
      </c>
      <c r="F408" s="29">
        <v>36621004</v>
      </c>
      <c r="G408" s="31">
        <f>VLOOKUP(A408,[2]Sheet1!$A:$J,10,0)</f>
        <v>1281450546</v>
      </c>
      <c r="H408" s="32">
        <f>VLOOKUP(A408,[2]Sheet1!$A:$K,11,0)</f>
        <v>45780</v>
      </c>
      <c r="I408" s="25" t="str">
        <f>VLOOKUP(A408,[2]Sheet1!$A:$F,6,0)</f>
        <v>DIA Line</v>
      </c>
      <c r="J408" s="25"/>
      <c r="K408" s="27" t="str">
        <f>VLOOKUP(A408,[2]Sheet1!$A:$N,14,0)</f>
        <v>Itay elbaroud</v>
      </c>
    </row>
    <row r="409" spans="1:11">
      <c r="A409" s="28">
        <v>1675</v>
      </c>
      <c r="B409" s="34" t="s">
        <v>425</v>
      </c>
      <c r="C409" s="30" t="str">
        <f>VLOOKUP(B409,[2]Sheet1!$B:$C,2,0)</f>
        <v>Elhoseny Kasem Mohamed</v>
      </c>
      <c r="D409" s="25" t="str">
        <f>VLOOKUP(B409,[2]Sheet1!$B:$H,7,0)</f>
        <v>MR</v>
      </c>
      <c r="E409" s="25">
        <f>VLOOKUP(C409,[2]Sheet1!$B:$M,12,0)</f>
        <v>128</v>
      </c>
      <c r="F409" s="29">
        <v>36621005</v>
      </c>
      <c r="G409" s="31">
        <f>VLOOKUP(A409,[2]Sheet1!$A:$J,10,0)</f>
        <v>1061962082</v>
      </c>
      <c r="H409" s="32">
        <f>VLOOKUP(A409,[2]Sheet1!$A:$K,11,0)</f>
        <v>45780</v>
      </c>
      <c r="I409" s="25" t="str">
        <f>VLOOKUP(A409,[2]Sheet1!$A:$F,6,0)</f>
        <v>DIA Line</v>
      </c>
      <c r="J409" s="25"/>
      <c r="K409" s="27" t="str">
        <f>VLOOKUP(A409,[2]Sheet1!$A:$N,14,0)</f>
        <v>Fowa</v>
      </c>
    </row>
    <row r="410" spans="1:11">
      <c r="A410" s="28">
        <v>1676</v>
      </c>
      <c r="B410" s="34" t="s">
        <v>426</v>
      </c>
      <c r="C410" s="30" t="str">
        <f>VLOOKUP(B410,[2]Sheet1!$B:$C,2,0)</f>
        <v>Elhoseny Kasem Mohamed</v>
      </c>
      <c r="D410" s="25" t="str">
        <f>VLOOKUP(B410,[2]Sheet1!$B:$H,7,0)</f>
        <v>MR</v>
      </c>
      <c r="E410" s="25">
        <f>VLOOKUP(C410,[2]Sheet1!$B:$M,12,0)</f>
        <v>128</v>
      </c>
      <c r="F410" s="29">
        <v>36621006</v>
      </c>
      <c r="G410" s="31">
        <f>VLOOKUP(A410,[2]Sheet1!$A:$J,10,0)</f>
        <v>1093099282</v>
      </c>
      <c r="H410" s="32">
        <f>VLOOKUP(A410,[2]Sheet1!$A:$K,11,0)</f>
        <v>45780</v>
      </c>
      <c r="I410" s="25" t="str">
        <f>VLOOKUP(A410,[2]Sheet1!$A:$F,6,0)</f>
        <v>DIA Line</v>
      </c>
      <c r="J410" s="25"/>
      <c r="K410" s="27" t="str">
        <f>VLOOKUP(A410,[2]Sheet1!$A:$N,14,0)</f>
        <v>Kafr elsheikh</v>
      </c>
    </row>
    <row r="411" spans="1:11">
      <c r="A411" s="28">
        <v>1671</v>
      </c>
      <c r="B411" s="34" t="s">
        <v>427</v>
      </c>
      <c r="C411" s="30" t="str">
        <f>VLOOKUP(B411,[2]Sheet1!$B:$C,2,0)</f>
        <v>Elhoseny Kasem Mohamed</v>
      </c>
      <c r="D411" s="25" t="str">
        <f>VLOOKUP(B411,[2]Sheet1!$B:$H,7,0)</f>
        <v>MR</v>
      </c>
      <c r="E411" s="25">
        <f>VLOOKUP(C411,[2]Sheet1!$B:$M,12,0)</f>
        <v>128</v>
      </c>
      <c r="F411" s="29">
        <v>36621007</v>
      </c>
      <c r="G411" s="31">
        <f>VLOOKUP(A411,[2]Sheet1!$A:$J,10,0)</f>
        <v>1112336659</v>
      </c>
      <c r="H411" s="32">
        <f>VLOOKUP(A411,[2]Sheet1!$A:$K,11,0)</f>
        <v>45780</v>
      </c>
      <c r="I411" s="25" t="str">
        <f>VLOOKUP(A411,[2]Sheet1!$A:$F,6,0)</f>
        <v>DIA Line</v>
      </c>
      <c r="J411" s="25"/>
      <c r="K411" s="27" t="str">
        <f>VLOOKUP(A411,[2]Sheet1!$A:$N,14,0)</f>
        <v>Damanhour</v>
      </c>
    </row>
    <row r="412" spans="1:11">
      <c r="A412" s="28">
        <v>1858</v>
      </c>
      <c r="B412" s="34" t="s">
        <v>428</v>
      </c>
      <c r="C412" s="30" t="str">
        <f>VLOOKUP(B412,[2]Sheet1!$B:$C,2,0)</f>
        <v>Elhoseny Kasem Mohamed</v>
      </c>
      <c r="D412" s="25" t="str">
        <f>VLOOKUP(B412,[2]Sheet1!$B:$H,7,0)</f>
        <v>MR</v>
      </c>
      <c r="E412" s="25">
        <f>VLOOKUP(C412,[2]Sheet1!$B:$M,12,0)</f>
        <v>128</v>
      </c>
      <c r="F412" s="29">
        <v>36621009</v>
      </c>
      <c r="G412" s="31">
        <f>VLOOKUP(A412,[2]Sheet1!$A:$J,10,0)</f>
        <v>1555974405</v>
      </c>
      <c r="H412" s="32">
        <f>VLOOKUP(A412,[2]Sheet1!$A:$K,11,0)</f>
        <v>46060</v>
      </c>
      <c r="I412" s="25" t="str">
        <f>VLOOKUP(A412,[2]Sheet1!$A:$F,6,0)</f>
        <v>DIA Line</v>
      </c>
      <c r="J412" s="25"/>
      <c r="K412" s="27" t="str">
        <f>VLOOKUP(A412,[2]Sheet1!$A:$N,14,0)</f>
        <v>Kafr elsheikh</v>
      </c>
    </row>
    <row r="413" spans="1:11">
      <c r="A413" s="28">
        <v>1672</v>
      </c>
      <c r="B413" s="34" t="s">
        <v>429</v>
      </c>
      <c r="C413" s="30" t="str">
        <f>VLOOKUP(B413,[2]Sheet1!$B:$C,2,0)</f>
        <v>Elhoseny Kasem Mohamed</v>
      </c>
      <c r="D413" s="25" t="str">
        <f>VLOOKUP(B413,[2]Sheet1!$B:$H,7,0)</f>
        <v>MR</v>
      </c>
      <c r="E413" s="25">
        <f>VLOOKUP(C413,[2]Sheet1!$B:$M,12,0)</f>
        <v>128</v>
      </c>
      <c r="F413" s="29">
        <v>36621010</v>
      </c>
      <c r="G413" s="31">
        <f>VLOOKUP(A413,[2]Sheet1!$A:$J,10,0)</f>
        <v>1009150205</v>
      </c>
      <c r="H413" s="32">
        <f>VLOOKUP(A413,[2]Sheet1!$A:$K,11,0)</f>
        <v>45780</v>
      </c>
      <c r="I413" s="25" t="str">
        <f>VLOOKUP(A413,[2]Sheet1!$A:$F,6,0)</f>
        <v>DIA Line</v>
      </c>
      <c r="J413" s="25"/>
      <c r="K413" s="27" t="str">
        <f>VLOOKUP(A413,[2]Sheet1!$A:$N,14,0)</f>
        <v>Abou El Matameer</v>
      </c>
    </row>
    <row r="414" spans="1:11">
      <c r="A414" s="28">
        <v>1673</v>
      </c>
      <c r="B414" s="34" t="s">
        <v>430</v>
      </c>
      <c r="C414" s="30" t="str">
        <f>VLOOKUP(B414,[2]Sheet1!$B:$C,2,0)</f>
        <v>Elhoseny Kasem Mohamed</v>
      </c>
      <c r="D414" s="25" t="str">
        <f>VLOOKUP(B414,[2]Sheet1!$B:$H,7,0)</f>
        <v>MR</v>
      </c>
      <c r="E414" s="25">
        <f>VLOOKUP(C414,[2]Sheet1!$B:$M,12,0)</f>
        <v>128</v>
      </c>
      <c r="F414" s="29">
        <v>36621011</v>
      </c>
      <c r="G414" s="31">
        <f>VLOOKUP(A414,[2]Sheet1!$A:$J,10,0)</f>
        <v>1555784253</v>
      </c>
      <c r="H414" s="32">
        <f>VLOOKUP(A414,[2]Sheet1!$A:$K,11,0)</f>
        <v>45780</v>
      </c>
      <c r="I414" s="25" t="str">
        <f>VLOOKUP(A414,[2]Sheet1!$A:$F,6,0)</f>
        <v>DIA Line</v>
      </c>
      <c r="J414" s="25"/>
      <c r="K414" s="27" t="str">
        <f>VLOOKUP(A414,[2]Sheet1!$A:$N,14,0)</f>
        <v>Abou Homous</v>
      </c>
    </row>
    <row r="415" spans="1:11">
      <c r="A415" s="28">
        <v>1003</v>
      </c>
      <c r="B415" s="34" t="s">
        <v>431</v>
      </c>
      <c r="C415" s="30" t="str">
        <f>VLOOKUP(B415,[2]Sheet1!$B:$D,3,0)</f>
        <v>Ramy Ahmed Mohamed</v>
      </c>
      <c r="D415" s="25" t="str">
        <f>VLOOKUP(B415,[2]Sheet1!$B:$H,7,0)</f>
        <v>DM</v>
      </c>
      <c r="E415" s="25">
        <f>VLOOKUP(C415,[2]Sheet1!$B:$M,12,0)</f>
        <v>91</v>
      </c>
      <c r="F415" s="29">
        <v>36621012</v>
      </c>
      <c r="G415" s="31" t="str">
        <f>VLOOKUP(A415,[2]Sheet1!$A:$J,10,0)</f>
        <v> 01118583363</v>
      </c>
      <c r="H415" s="32">
        <f>VLOOKUP(A415,[2]Sheet1!$A:$K,11,0)</f>
        <v>44829</v>
      </c>
      <c r="I415" s="25" t="str">
        <f>VLOOKUP(A415,[2]Sheet1!$A:$F,6,0)</f>
        <v>DIA Line</v>
      </c>
      <c r="J415" s="25" t="str">
        <f>VLOOKUP(A415,[2]Sheet1!$A:$L,12,0)</f>
        <v>Youssef.Ashraf.Ismail@averroes-eg.com</v>
      </c>
      <c r="K415" s="27" t="str">
        <f>VLOOKUP(A415,[2]Sheet1!$A:$N,14,0)</f>
        <v>Moharam Bek</v>
      </c>
    </row>
    <row r="416" spans="1:11">
      <c r="A416" s="28">
        <v>1145</v>
      </c>
      <c r="B416" s="34" t="s">
        <v>432</v>
      </c>
      <c r="C416" s="30" t="str">
        <f>VLOOKUP(B416,[2]Sheet1!$B:$C,2,0)</f>
        <v>Youssef Ashraf Ismail</v>
      </c>
      <c r="D416" s="25" t="str">
        <f>VLOOKUP(B416,[2]Sheet1!$B:$H,7,0)</f>
        <v>MR</v>
      </c>
      <c r="E416" s="25">
        <f>VLOOKUP(C416,[2]Sheet1!$B:$M,12,0)</f>
        <v>1003</v>
      </c>
      <c r="F416" s="29">
        <v>36621013</v>
      </c>
      <c r="G416" s="31">
        <f>VLOOKUP(A416,[2]Sheet1!$A:$J,10,0)</f>
        <v>1026130303</v>
      </c>
      <c r="H416" s="32">
        <f>VLOOKUP(A416,[2]Sheet1!$A:$K,11,0)</f>
        <v>44968</v>
      </c>
      <c r="I416" s="25" t="str">
        <f>VLOOKUP(A416,[2]Sheet1!$A:$F,6,0)</f>
        <v>DIA Line</v>
      </c>
      <c r="J416" s="25"/>
      <c r="K416" s="27" t="str">
        <f>VLOOKUP(A416,[2]Sheet1!$A:$N,14,0)</f>
        <v>el Asafra</v>
      </c>
    </row>
    <row r="417" spans="1:11">
      <c r="A417" s="28">
        <v>1677</v>
      </c>
      <c r="B417" s="34" t="s">
        <v>433</v>
      </c>
      <c r="C417" s="30" t="str">
        <f>VLOOKUP(B417,[2]Sheet1!$B:$C,2,0)</f>
        <v>Youssef Ashraf Ismail</v>
      </c>
      <c r="D417" s="25" t="str">
        <f>VLOOKUP(B417,[2]Sheet1!$B:$H,7,0)</f>
        <v>MR</v>
      </c>
      <c r="E417" s="25">
        <f>VLOOKUP(C417,[2]Sheet1!$B:$M,12,0)</f>
        <v>1003</v>
      </c>
      <c r="F417" s="29">
        <v>36621014</v>
      </c>
      <c r="G417" s="31">
        <f>VLOOKUP(A417,[2]Sheet1!$A:$J,10,0)</f>
        <v>1008928549</v>
      </c>
      <c r="H417" s="32">
        <f>VLOOKUP(A417,[2]Sheet1!$A:$K,11,0)</f>
        <v>45780</v>
      </c>
      <c r="I417" s="25" t="str">
        <f>VLOOKUP(A417,[2]Sheet1!$A:$F,6,0)</f>
        <v>DIA Line</v>
      </c>
      <c r="J417" s="25"/>
      <c r="K417" s="27" t="str">
        <f>VLOOKUP(A417,[2]Sheet1!$A:$N,14,0)</f>
        <v>Awaied</v>
      </c>
    </row>
    <row r="418" spans="1:11">
      <c r="A418" s="28">
        <v>1720</v>
      </c>
      <c r="B418" s="34" t="s">
        <v>434</v>
      </c>
      <c r="C418" s="30" t="str">
        <f>VLOOKUP(B418,[2]Sheet1!$B:$C,2,0)</f>
        <v>Youssef Ashraf Ismail</v>
      </c>
      <c r="D418" s="25" t="str">
        <f>VLOOKUP(B418,[2]Sheet1!$B:$H,7,0)</f>
        <v>MR</v>
      </c>
      <c r="E418" s="25">
        <f>VLOOKUP(C418,[2]Sheet1!$B:$M,12,0)</f>
        <v>1003</v>
      </c>
      <c r="F418" s="29">
        <v>36621015</v>
      </c>
      <c r="G418" s="31">
        <f>VLOOKUP(A418,[2]Sheet1!$A:$J,10,0)</f>
        <v>1063296618</v>
      </c>
      <c r="H418" s="32">
        <f>VLOOKUP(A418,[2]Sheet1!$A:$K,11,0)</f>
        <v>45871</v>
      </c>
      <c r="I418" s="25" t="str">
        <f>VLOOKUP(A418,[2]Sheet1!$A:$F,6,0)</f>
        <v>DIA Line</v>
      </c>
      <c r="J418" s="25"/>
      <c r="K418" s="27" t="str">
        <f>VLOOKUP(A418,[2]Sheet1!$A:$N,14,0)</f>
        <v>Sidi Beshr</v>
      </c>
    </row>
    <row r="419" spans="1:11">
      <c r="A419" s="28">
        <v>1678</v>
      </c>
      <c r="B419" s="34" t="s">
        <v>435</v>
      </c>
      <c r="C419" s="30" t="str">
        <f>VLOOKUP(B419,[2]Sheet1!$B:$C,2,0)</f>
        <v>Youssef Ashraf Ismail</v>
      </c>
      <c r="D419" s="25" t="str">
        <f>VLOOKUP(B419,[2]Sheet1!$B:$H,7,0)</f>
        <v>MR</v>
      </c>
      <c r="E419" s="25">
        <f>VLOOKUP(C419,[2]Sheet1!$B:$M,12,0)</f>
        <v>1003</v>
      </c>
      <c r="F419" s="29">
        <v>36621016</v>
      </c>
      <c r="G419" s="31">
        <f>VLOOKUP(A419,[2]Sheet1!$A:$J,10,0)</f>
        <v>1200849672</v>
      </c>
      <c r="H419" s="32">
        <f>VLOOKUP(A419,[2]Sheet1!$A:$K,11,0)</f>
        <v>45782</v>
      </c>
      <c r="I419" s="25" t="str">
        <f>VLOOKUP(A419,[2]Sheet1!$A:$F,6,0)</f>
        <v>DIA Line</v>
      </c>
      <c r="J419" s="25"/>
      <c r="K419" s="27" t="str">
        <f>VLOOKUP(A419,[2]Sheet1!$A:$N,14,0)</f>
        <v>Toson</v>
      </c>
    </row>
    <row r="420" spans="1:11">
      <c r="A420" s="28">
        <v>1776</v>
      </c>
      <c r="B420" s="34" t="s">
        <v>436</v>
      </c>
      <c r="C420" s="30" t="str">
        <f>VLOOKUP(B420,[2]Sheet1!$B:$C,2,0)</f>
        <v>Youssef Ashraf Ismail</v>
      </c>
      <c r="D420" s="25" t="str">
        <f>VLOOKUP(B420,[2]Sheet1!$B:$H,7,0)</f>
        <v>MR</v>
      </c>
      <c r="E420" s="25">
        <f>VLOOKUP(C420,[2]Sheet1!$B:$M,12,0)</f>
        <v>1003</v>
      </c>
      <c r="F420" s="29">
        <v>36621017</v>
      </c>
      <c r="G420" s="31">
        <f>VLOOKUP(A420,[2]Sheet1!$A:$J,10,0)</f>
        <v>1096453095</v>
      </c>
      <c r="H420" s="32">
        <f>VLOOKUP(A420,[2]Sheet1!$A:$K,11,0)</f>
        <v>45962</v>
      </c>
      <c r="I420" s="25" t="str">
        <f>VLOOKUP(A420,[2]Sheet1!$A:$F,6,0)</f>
        <v>DIA Line</v>
      </c>
      <c r="J420" s="25"/>
      <c r="K420" s="27" t="str">
        <f>VLOOKUP(A420,[2]Sheet1!$A:$N,14,0)</f>
        <v>El Werdian</v>
      </c>
    </row>
    <row r="421" spans="1:11">
      <c r="A421" s="28">
        <v>1146</v>
      </c>
      <c r="B421" s="34" t="s">
        <v>437</v>
      </c>
      <c r="C421" s="30" t="str">
        <f>VLOOKUP(B421,[2]Sheet1!$B:$C,2,0)</f>
        <v>Youssef Ashraf Ismail</v>
      </c>
      <c r="D421" s="25" t="str">
        <f>VLOOKUP(B421,[2]Sheet1!$B:$H,7,0)</f>
        <v>MR</v>
      </c>
      <c r="E421" s="25">
        <f>VLOOKUP(C421,[2]Sheet1!$B:$M,12,0)</f>
        <v>1003</v>
      </c>
      <c r="F421" s="29">
        <v>36621018</v>
      </c>
      <c r="G421" s="31">
        <f>VLOOKUP(A421,[2]Sheet1!$A:$J,10,0)</f>
        <v>1285989706</v>
      </c>
      <c r="H421" s="32">
        <f>VLOOKUP(A421,[2]Sheet1!$A:$K,11,0)</f>
        <v>44968</v>
      </c>
      <c r="I421" s="25" t="str">
        <f>VLOOKUP(A421,[2]Sheet1!$A:$F,6,0)</f>
        <v>DIA Line</v>
      </c>
      <c r="J421" s="25"/>
      <c r="K421" s="27" t="str">
        <f>VLOOKUP(A421,[2]Sheet1!$A:$N,14,0)</f>
        <v>Moharam Bek</v>
      </c>
    </row>
    <row r="422" spans="1:11">
      <c r="A422" s="28">
        <v>812</v>
      </c>
      <c r="B422" s="34" t="s">
        <v>438</v>
      </c>
      <c r="C422" s="30" t="str">
        <f>VLOOKUP(B422,[2]Sheet1!$B:$E,4,0)</f>
        <v>Abdallah Gamal Elsayed</v>
      </c>
      <c r="D422" s="25" t="str">
        <f>VLOOKUP(B422,[2]Sheet1!$B:$H,7,0)</f>
        <v>AM</v>
      </c>
      <c r="E422" s="25">
        <f>VLOOKUP(C422,[2]Sheet1!$B:$M,12,0)</f>
        <v>160</v>
      </c>
      <c r="F422" s="29">
        <v>36621019</v>
      </c>
      <c r="G422" s="31">
        <f>VLOOKUP(A422,[2]Sheet1!$A:$J,10,0)</f>
        <v>1285858177</v>
      </c>
      <c r="H422" s="32">
        <f>VLOOKUP(A422,[2]Sheet1!$A:$K,11,0)</f>
        <v>44422</v>
      </c>
      <c r="I422" s="25" t="str">
        <f>VLOOKUP(A422,[2]Sheet1!$A:$F,6,0)</f>
        <v>P&amp;G Line</v>
      </c>
      <c r="J422" s="25" t="str">
        <f>VLOOKUP(A422,[2]Sheet1!$A:$L,12,0)</f>
        <v>Ahmed.Nashaat.Mohamed@averroes-eg.com</v>
      </c>
      <c r="K422" s="27" t="str">
        <f>VLOOKUP(A422,[2]Sheet1!$A:$N,14,0)</f>
        <v>Samanoud</v>
      </c>
    </row>
    <row r="423" spans="1:11">
      <c r="A423" s="28">
        <v>755</v>
      </c>
      <c r="B423" s="34" t="s">
        <v>439</v>
      </c>
      <c r="C423" s="30" t="str">
        <f>VLOOKUP(B423,[2]Sheet1!$B:$D,3,0)</f>
        <v>Ahmed Nashaat Mohamed</v>
      </c>
      <c r="D423" s="25" t="str">
        <f>VLOOKUP(B423,[2]Sheet1!$B:$H,7,0)</f>
        <v>DM</v>
      </c>
      <c r="E423" s="25">
        <f>VLOOKUP(C423,[2]Sheet1!$B:$M,12,0)</f>
        <v>812</v>
      </c>
      <c r="F423" s="29">
        <v>36621021</v>
      </c>
      <c r="G423" s="31"/>
      <c r="H423" s="32">
        <f>VLOOKUP(A423,[2]Sheet1!$A:$K,11,0)</f>
        <v>44258</v>
      </c>
      <c r="I423" s="25" t="str">
        <f>VLOOKUP(A423,[2]Sheet1!$A:$F,6,0)</f>
        <v>P&amp;G Line</v>
      </c>
      <c r="J423" s="25" t="str">
        <f>VLOOKUP(A423,[2]Sheet1!$A:$L,12,0)</f>
        <v>Aya.Yasser.Mohamed@averroes-eg.com</v>
      </c>
      <c r="K423" s="27" t="str">
        <f>VLOOKUP(A423,[2]Sheet1!$A:$N,14,0)</f>
        <v>El Mahala El Kobra</v>
      </c>
    </row>
    <row r="424" spans="1:11">
      <c r="A424" s="28">
        <v>1327</v>
      </c>
      <c r="B424" s="34" t="s">
        <v>440</v>
      </c>
      <c r="C424" s="30" t="str">
        <f>VLOOKUP(B424,[2]Sheet1!$B:$C,2,0)</f>
        <v>Aya Yasser Mohamed</v>
      </c>
      <c r="D424" s="25" t="str">
        <f>VLOOKUP(B424,[2]Sheet1!$B:$H,7,0)</f>
        <v>MR</v>
      </c>
      <c r="E424" s="25">
        <f>VLOOKUP(C424,[2]Sheet1!$B:$M,12,0)</f>
        <v>755</v>
      </c>
      <c r="F424" s="29">
        <v>36621022</v>
      </c>
      <c r="G424" s="31">
        <f>VLOOKUP(A424,[2]Sheet1!$A:$J,10,0)</f>
        <v>1007169205</v>
      </c>
      <c r="H424" s="32">
        <f>VLOOKUP(A424,[2]Sheet1!$A:$K,11,0)</f>
        <v>45314</v>
      </c>
      <c r="I424" s="25" t="str">
        <f>VLOOKUP(A424,[2]Sheet1!$A:$F,6,0)</f>
        <v>P&amp;G Line</v>
      </c>
      <c r="J424" s="25"/>
      <c r="K424" s="27" t="str">
        <f>VLOOKUP(A424,[2]Sheet1!$A:$N,14,0)</f>
        <v>Zefta</v>
      </c>
    </row>
    <row r="425" spans="1:11">
      <c r="A425" s="28">
        <v>1493</v>
      </c>
      <c r="B425" s="34" t="s">
        <v>441</v>
      </c>
      <c r="C425" s="30" t="str">
        <f>VLOOKUP(B425,[2]Sheet1!$B:$C,2,0)</f>
        <v>Aya Yasser Mohamed</v>
      </c>
      <c r="D425" s="25" t="str">
        <f>VLOOKUP(B425,[2]Sheet1!$B:$H,7,0)</f>
        <v>MR</v>
      </c>
      <c r="E425" s="25">
        <f>VLOOKUP(C425,[2]Sheet1!$B:$M,12,0)</f>
        <v>755</v>
      </c>
      <c r="F425" s="29">
        <v>36621023</v>
      </c>
      <c r="G425" s="31">
        <f>VLOOKUP(A425,[2]Sheet1!$A:$J,10,0)</f>
        <v>1015378062</v>
      </c>
      <c r="H425" s="32">
        <f>VLOOKUP(A425,[2]Sheet1!$A:$K,11,0)</f>
        <v>45659</v>
      </c>
      <c r="I425" s="25" t="str">
        <f>VLOOKUP(A425,[2]Sheet1!$A:$F,6,0)</f>
        <v>P&amp;G Line</v>
      </c>
      <c r="J425" s="25"/>
      <c r="K425" s="27" t="str">
        <f>VLOOKUP(A425,[2]Sheet1!$A:$N,14,0)</f>
        <v>Tookh</v>
      </c>
    </row>
    <row r="426" spans="1:11">
      <c r="A426" s="28">
        <v>1467</v>
      </c>
      <c r="B426" s="34" t="s">
        <v>442</v>
      </c>
      <c r="C426" s="30" t="str">
        <f>VLOOKUP(B426,[2]Sheet1!$B:$C,2,0)</f>
        <v>Aya Yasser Mohamed</v>
      </c>
      <c r="D426" s="25" t="str">
        <f>VLOOKUP(B426,[2]Sheet1!$B:$H,7,0)</f>
        <v>MR</v>
      </c>
      <c r="E426" s="25">
        <f>VLOOKUP(C426,[2]Sheet1!$B:$M,12,0)</f>
        <v>755</v>
      </c>
      <c r="F426" s="29">
        <v>36621024</v>
      </c>
      <c r="G426" s="31">
        <f>VLOOKUP(A426,[2]Sheet1!$A:$J,10,0)</f>
        <v>1016697195</v>
      </c>
      <c r="H426" s="32">
        <f>VLOOKUP(A426,[2]Sheet1!$A:$K,11,0)</f>
        <v>45629</v>
      </c>
      <c r="I426" s="25" t="str">
        <f>VLOOKUP(A426,[2]Sheet1!$A:$F,6,0)</f>
        <v>P&amp;G Line</v>
      </c>
      <c r="J426" s="25"/>
      <c r="K426" s="27" t="str">
        <f>VLOOKUP(A426,[2]Sheet1!$A:$N,14,0)</f>
        <v>Banha - Atreeb</v>
      </c>
    </row>
    <row r="427" spans="1:11">
      <c r="A427" s="28">
        <v>1531</v>
      </c>
      <c r="B427" s="34" t="s">
        <v>443</v>
      </c>
      <c r="C427" s="30" t="str">
        <f>VLOOKUP(B427,[2]Sheet1!$B:$C,2,0)</f>
        <v>Aya Yasser Mohamed</v>
      </c>
      <c r="D427" s="25" t="str">
        <f>VLOOKUP(B427,[2]Sheet1!$B:$H,7,0)</f>
        <v>MR</v>
      </c>
      <c r="E427" s="25">
        <f>VLOOKUP(C427,[2]Sheet1!$B:$M,12,0)</f>
        <v>755</v>
      </c>
      <c r="F427" s="29">
        <v>36621025</v>
      </c>
      <c r="G427" s="31">
        <f>VLOOKUP(A427,[2]Sheet1!$A:$J,10,0)</f>
        <v>1014176582</v>
      </c>
      <c r="H427" s="32">
        <f>VLOOKUP(A427,[2]Sheet1!$A:$K,11,0)</f>
        <v>45696</v>
      </c>
      <c r="I427" s="25" t="str">
        <f>VLOOKUP(A427,[2]Sheet1!$A:$F,6,0)</f>
        <v>P&amp;G Line</v>
      </c>
      <c r="J427" s="25"/>
      <c r="K427" s="27" t="str">
        <f>VLOOKUP(A427,[2]Sheet1!$A:$N,14,0)</f>
        <v>Tanta</v>
      </c>
    </row>
    <row r="428" spans="1:11">
      <c r="A428" s="28">
        <v>1369</v>
      </c>
      <c r="B428" s="34" t="s">
        <v>444</v>
      </c>
      <c r="C428" s="30" t="str">
        <f>VLOOKUP(B428,[2]Sheet1!$B:$C,2,0)</f>
        <v>Aya Yasser Mohamed</v>
      </c>
      <c r="D428" s="25" t="str">
        <f>VLOOKUP(B428,[2]Sheet1!$B:$H,7,0)</f>
        <v>MR</v>
      </c>
      <c r="E428" s="25">
        <f>VLOOKUP(C428,[2]Sheet1!$B:$M,12,0)</f>
        <v>755</v>
      </c>
      <c r="F428" s="29">
        <v>36621026</v>
      </c>
      <c r="G428" s="31">
        <f>VLOOKUP(A428,[2]Sheet1!$A:$J,10,0)</f>
        <v>1028339438</v>
      </c>
      <c r="H428" s="32">
        <f>VLOOKUP(A428,[2]Sheet1!$A:$K,11,0)</f>
        <v>45444</v>
      </c>
      <c r="I428" s="25" t="str">
        <f>VLOOKUP(A428,[2]Sheet1!$A:$F,6,0)</f>
        <v>P&amp;G Line</v>
      </c>
      <c r="J428" s="25"/>
      <c r="K428" s="27" t="str">
        <f>VLOOKUP(A428,[2]Sheet1!$A:$N,14,0)</f>
        <v>Kafr El zayat</v>
      </c>
    </row>
    <row r="429" spans="1:11">
      <c r="A429" s="28">
        <v>1861</v>
      </c>
      <c r="B429" s="34" t="s">
        <v>445</v>
      </c>
      <c r="C429" s="30" t="str">
        <f>VLOOKUP(B429,[2]Sheet1!$B:$C,2,0)</f>
        <v>Aya Yasser Mohamed</v>
      </c>
      <c r="D429" s="25" t="str">
        <f>VLOOKUP(B429,[2]Sheet1!$B:$H,7,0)</f>
        <v>MR</v>
      </c>
      <c r="E429" s="25">
        <f>VLOOKUP(C429,[2]Sheet1!$B:$M,12,0)</f>
        <v>755</v>
      </c>
      <c r="F429" s="29">
        <v>36621027</v>
      </c>
      <c r="G429" s="31">
        <f>VLOOKUP(A429,[2]Sheet1!$A:$J,10,0)</f>
        <v>1003500827</v>
      </c>
      <c r="H429" s="32">
        <f>VLOOKUP(A429,[2]Sheet1!$A:$K,11,0)</f>
        <v>46062</v>
      </c>
      <c r="I429" s="25" t="str">
        <f>VLOOKUP(A429,[2]Sheet1!$A:$F,6,0)</f>
        <v>P&amp;G Line</v>
      </c>
      <c r="J429" s="25"/>
      <c r="K429" s="27" t="str">
        <f>VLOOKUP(A429,[2]Sheet1!$A:$N,14,0)</f>
        <v>Shebien El Kom</v>
      </c>
    </row>
    <row r="430" spans="1:11">
      <c r="A430" s="28">
        <v>1734</v>
      </c>
      <c r="B430" s="34" t="s">
        <v>446</v>
      </c>
      <c r="C430" s="30" t="str">
        <f>VLOOKUP(B430,[2]Sheet1!$B:$C,2,0)</f>
        <v>Aya Yasser Mohamed</v>
      </c>
      <c r="D430" s="25" t="str">
        <f>VLOOKUP(B430,[2]Sheet1!$B:$H,7,0)</f>
        <v>MR</v>
      </c>
      <c r="E430" s="25">
        <f>VLOOKUP(C430,[2]Sheet1!$B:$M,12,0)</f>
        <v>755</v>
      </c>
      <c r="F430" s="29">
        <v>36621028</v>
      </c>
      <c r="G430" s="31">
        <f>VLOOKUP(A430,[2]Sheet1!$A:$J,10,0)</f>
        <v>1096116715</v>
      </c>
      <c r="H430" s="32">
        <f>VLOOKUP(A430,[2]Sheet1!$A:$K,11,0)</f>
        <v>45892</v>
      </c>
      <c r="I430" s="25" t="str">
        <f>VLOOKUP(A430,[2]Sheet1!$A:$F,6,0)</f>
        <v>P&amp;G Line</v>
      </c>
      <c r="J430" s="25"/>
      <c r="K430" s="27" t="str">
        <f>VLOOKUP(A430,[2]Sheet1!$A:$N,14,0)</f>
        <v>El Bagour</v>
      </c>
    </row>
    <row r="431" spans="1:11">
      <c r="A431" s="28">
        <v>1521</v>
      </c>
      <c r="B431" s="34" t="s">
        <v>447</v>
      </c>
      <c r="C431" s="30" t="str">
        <f>VLOOKUP(B431,[2]Sheet1!$B:$C,2,0)</f>
        <v>Aya Yasser Mohamed</v>
      </c>
      <c r="D431" s="25" t="str">
        <f>VLOOKUP(B431,[2]Sheet1!$B:$H,7,0)</f>
        <v>MR</v>
      </c>
      <c r="E431" s="25">
        <f>VLOOKUP(C431,[2]Sheet1!$B:$M,12,0)</f>
        <v>755</v>
      </c>
      <c r="F431" s="29">
        <v>36621029</v>
      </c>
      <c r="G431" s="31">
        <f>VLOOKUP(A431,[2]Sheet1!$A:$J,10,0)</f>
        <v>1003121669</v>
      </c>
      <c r="H431" s="32">
        <f>VLOOKUP(A431,[2]Sheet1!$A:$K,11,0)</f>
        <v>45691</v>
      </c>
      <c r="I431" s="25" t="str">
        <f>VLOOKUP(A431,[2]Sheet1!$A:$F,6,0)</f>
        <v>P&amp;G Line</v>
      </c>
      <c r="J431" s="25"/>
      <c r="K431" s="27" t="str">
        <f>VLOOKUP(A431,[2]Sheet1!$A:$N,14,0)</f>
        <v>Beket ElSabaa</v>
      </c>
    </row>
    <row r="432" spans="1:11">
      <c r="A432" s="28">
        <v>1626</v>
      </c>
      <c r="B432" s="34" t="s">
        <v>448</v>
      </c>
      <c r="C432" s="30" t="str">
        <f>VLOOKUP(B432,[2]Sheet1!$B:$C,2,0)</f>
        <v>Aya Yasser Mohamed</v>
      </c>
      <c r="D432" s="25" t="str">
        <f>VLOOKUP(B432,[2]Sheet1!$B:$H,7,0)</f>
        <v>MR</v>
      </c>
      <c r="E432" s="25">
        <f>VLOOKUP(C432,[2]Sheet1!$B:$M,12,0)</f>
        <v>755</v>
      </c>
      <c r="F432" s="29">
        <v>36621030</v>
      </c>
      <c r="G432" s="31">
        <f>VLOOKUP(A432,[2]Sheet1!$A:$J,10,0)</f>
        <v>1206361691</v>
      </c>
      <c r="H432" s="32">
        <f>VLOOKUP(A432,[2]Sheet1!$A:$K,11,0)</f>
        <v>45780</v>
      </c>
      <c r="I432" s="25" t="str">
        <f>VLOOKUP(A432,[2]Sheet1!$A:$F,6,0)</f>
        <v>P&amp;G Line</v>
      </c>
      <c r="J432" s="25"/>
      <c r="K432" s="27" t="str">
        <f>VLOOKUP(A432,[2]Sheet1!$A:$N,14,0)</f>
        <v>El Mahala El Kobra</v>
      </c>
    </row>
    <row r="433" spans="1:11">
      <c r="A433" s="28">
        <v>899</v>
      </c>
      <c r="B433" s="34" t="s">
        <v>449</v>
      </c>
      <c r="C433" s="30" t="str">
        <f>VLOOKUP(B433,[2]Sheet1!$B:$D,3,0)</f>
        <v>Ahmed Nashaat Mohamed</v>
      </c>
      <c r="D433" s="25" t="str">
        <f>VLOOKUP(B433,[2]Sheet1!$B:$H,7,0)</f>
        <v>DM</v>
      </c>
      <c r="E433" s="25">
        <f>VLOOKUP(C433,[2]Sheet1!$B:$M,12,0)</f>
        <v>812</v>
      </c>
      <c r="F433" s="29">
        <v>36621031</v>
      </c>
      <c r="G433" s="31" t="str">
        <f>VLOOKUP(A433,[2]Sheet1!$A:$J,10,0)</f>
        <v> 1212871778</v>
      </c>
      <c r="H433" s="32">
        <f>VLOOKUP(A433,[2]Sheet1!$A:$K,11,0)</f>
        <v>44593</v>
      </c>
      <c r="I433" s="25" t="str">
        <f>VLOOKUP(A433,[2]Sheet1!$A:$F,6,0)</f>
        <v>P&amp;G Line</v>
      </c>
      <c r="J433" s="25"/>
      <c r="K433" s="27" t="str">
        <f>VLOOKUP(A433,[2]Sheet1!$A:$N,14,0)</f>
        <v>Hehya</v>
      </c>
    </row>
    <row r="434" spans="1:11">
      <c r="A434" s="28">
        <v>1028</v>
      </c>
      <c r="B434" s="34" t="s">
        <v>450</v>
      </c>
      <c r="C434" s="30" t="str">
        <f>VLOOKUP(B434,[2]Sheet1!$B:$C,2,0)</f>
        <v>Sara Ibrahim Mohamed</v>
      </c>
      <c r="D434" s="25" t="str">
        <f>VLOOKUP(B434,[2]Sheet1!$B:$H,7,0)</f>
        <v>MR</v>
      </c>
      <c r="E434" s="25">
        <f>VLOOKUP(C434,[2]Sheet1!$B:$M,12,0)</f>
        <v>899</v>
      </c>
      <c r="F434" s="29">
        <v>36621032</v>
      </c>
      <c r="G434" s="31">
        <f>VLOOKUP(A434,[2]Sheet1!$A:$J,10,0)</f>
        <v>1275119082</v>
      </c>
      <c r="H434" s="32">
        <f>VLOOKUP(A434,[2]Sheet1!$A:$K,11,0)</f>
        <v>44891</v>
      </c>
      <c r="I434" s="25" t="str">
        <f>VLOOKUP(A434,[2]Sheet1!$A:$F,6,0)</f>
        <v>P&amp;G Line</v>
      </c>
      <c r="J434" s="25"/>
      <c r="K434" s="27" t="str">
        <f>VLOOKUP(A434,[2]Sheet1!$A:$N,14,0)</f>
        <v>Hehya</v>
      </c>
    </row>
    <row r="435" spans="1:11">
      <c r="A435" s="28">
        <v>1488</v>
      </c>
      <c r="B435" s="34" t="s">
        <v>451</v>
      </c>
      <c r="C435" s="30" t="str">
        <f>VLOOKUP(B435,[2]Sheet1!$B:$C,2,0)</f>
        <v>Sara Ibrahim Mohamed</v>
      </c>
      <c r="D435" s="25" t="str">
        <f>VLOOKUP(B435,[2]Sheet1!$B:$H,7,0)</f>
        <v>MR</v>
      </c>
      <c r="E435" s="25">
        <f>VLOOKUP(C435,[2]Sheet1!$B:$M,12,0)</f>
        <v>899</v>
      </c>
      <c r="F435" s="29">
        <v>36621033</v>
      </c>
      <c r="G435" s="31">
        <f>VLOOKUP(A435,[2]Sheet1!$A:$J,10,0)</f>
        <v>1018925400</v>
      </c>
      <c r="H435" s="32">
        <f>VLOOKUP(A435,[2]Sheet1!$A:$K,11,0)</f>
        <v>45658</v>
      </c>
      <c r="I435" s="25" t="str">
        <f>VLOOKUP(A435,[2]Sheet1!$A:$F,6,0)</f>
        <v>P&amp;G Line</v>
      </c>
      <c r="J435" s="25"/>
      <c r="K435" s="27" t="str">
        <f>VLOOKUP(A435,[2]Sheet1!$A:$I,9,0)</f>
        <v>Delta</v>
      </c>
    </row>
    <row r="436" spans="1:11">
      <c r="A436" s="28">
        <v>1632</v>
      </c>
      <c r="B436" s="34" t="s">
        <v>452</v>
      </c>
      <c r="C436" s="30" t="str">
        <f>VLOOKUP(B436,[2]Sheet1!$B:$C,2,0)</f>
        <v>Sara Ibrahim Mohamed</v>
      </c>
      <c r="D436" s="25" t="str">
        <f>VLOOKUP(B436,[2]Sheet1!$B:$H,7,0)</f>
        <v>MR</v>
      </c>
      <c r="E436" s="25">
        <f>VLOOKUP(C436,[2]Sheet1!$B:$M,12,0)</f>
        <v>899</v>
      </c>
      <c r="F436" s="29">
        <v>36621034</v>
      </c>
      <c r="G436" s="31">
        <f>VLOOKUP(A436,[2]Sheet1!$A:$J,10,0)</f>
        <v>1093268228</v>
      </c>
      <c r="H436" s="32">
        <f>VLOOKUP(A436,[2]Sheet1!$A:$K,11,0)</f>
        <v>45787</v>
      </c>
      <c r="I436" s="25" t="str">
        <f>VLOOKUP(A436,[2]Sheet1!$A:$F,6,0)</f>
        <v>P&amp;G Line</v>
      </c>
      <c r="J436" s="25"/>
      <c r="K436" s="27" t="str">
        <f>VLOOKUP(A436,[2]Sheet1!$A:$N,14,0)</f>
        <v>Dekernes</v>
      </c>
    </row>
    <row r="437" spans="1:11">
      <c r="A437" s="28">
        <v>1334</v>
      </c>
      <c r="B437" s="34" t="s">
        <v>453</v>
      </c>
      <c r="C437" s="30" t="str">
        <f>VLOOKUP(B437,[2]Sheet1!$B:$C,2,0)</f>
        <v>Sara Ibrahim Mohamed</v>
      </c>
      <c r="D437" s="25" t="str">
        <f>VLOOKUP(B437,[2]Sheet1!$B:$H,7,0)</f>
        <v>MR</v>
      </c>
      <c r="E437" s="25">
        <f>VLOOKUP(C437,[2]Sheet1!$B:$M,12,0)</f>
        <v>899</v>
      </c>
      <c r="F437" s="29">
        <v>36621035</v>
      </c>
      <c r="G437" s="31">
        <f>VLOOKUP(A437,[2]Sheet1!$A:$J,10,0)</f>
        <v>1206232566</v>
      </c>
      <c r="H437" s="32">
        <f>VLOOKUP(A437,[2]Sheet1!$A:$K,11,0)</f>
        <v>45325</v>
      </c>
      <c r="I437" s="25" t="str">
        <f>VLOOKUP(A437,[2]Sheet1!$A:$F,6,0)</f>
        <v>P&amp;G Line</v>
      </c>
      <c r="J437" s="25"/>
      <c r="K437" s="27" t="str">
        <f>VLOOKUP(A437,[2]Sheet1!$A:$N,14,0)</f>
        <v>Meet Ghamr</v>
      </c>
    </row>
    <row r="438" spans="1:11">
      <c r="A438" s="28">
        <v>1709</v>
      </c>
      <c r="B438" s="34" t="s">
        <v>454</v>
      </c>
      <c r="C438" s="30" t="str">
        <f>VLOOKUP(B438,[2]Sheet1!$B:$C,2,0)</f>
        <v>Sara Ibrahim Mohamed</v>
      </c>
      <c r="D438" s="25" t="str">
        <f>VLOOKUP(B438,[2]Sheet1!$B:$H,7,0)</f>
        <v>MR</v>
      </c>
      <c r="E438" s="25">
        <f>VLOOKUP(C438,[2]Sheet1!$B:$M,12,0)</f>
        <v>899</v>
      </c>
      <c r="F438" s="29">
        <v>36621036</v>
      </c>
      <c r="G438" s="31">
        <f>VLOOKUP(A438,[2]Sheet1!$A:$J,10,0)</f>
        <v>1200562181</v>
      </c>
      <c r="H438" s="32">
        <f>VLOOKUP(A438,[2]Sheet1!$A:$K,11,0)</f>
        <v>45850</v>
      </c>
      <c r="I438" s="25" t="str">
        <f>VLOOKUP(A438,[2]Sheet1!$A:$F,6,0)</f>
        <v>P&amp;G Line</v>
      </c>
      <c r="J438" s="25"/>
      <c r="K438" s="27" t="str">
        <f>VLOOKUP(A438,[2]Sheet1!$A:$N,14,0)</f>
        <v>El Mansoura</v>
      </c>
    </row>
    <row r="439" spans="1:11">
      <c r="A439" s="28">
        <v>1860</v>
      </c>
      <c r="B439" s="34" t="s">
        <v>455</v>
      </c>
      <c r="C439" s="30" t="str">
        <f>VLOOKUP(B439,[2]Sheet1!$B:$C,2,0)</f>
        <v>Sara Ibrahim Mohamed</v>
      </c>
      <c r="D439" s="25" t="str">
        <f>VLOOKUP(B439,[2]Sheet1!$B:$H,7,0)</f>
        <v>MR</v>
      </c>
      <c r="E439" s="25">
        <f>VLOOKUP(C439,[2]Sheet1!$B:$M,12,0)</f>
        <v>899</v>
      </c>
      <c r="F439" s="29">
        <v>36621037</v>
      </c>
      <c r="G439" s="31">
        <f>VLOOKUP(A439,[2]Sheet1!$A:$J,10,0)</f>
        <v>1281864556</v>
      </c>
      <c r="H439" s="32">
        <f>VLOOKUP(A439,[2]Sheet1!$A:$K,11,0)</f>
        <v>46054</v>
      </c>
      <c r="I439" s="25" t="str">
        <f>VLOOKUP(A439,[2]Sheet1!$A:$F,6,0)</f>
        <v>P&amp;G Line</v>
      </c>
      <c r="J439" s="25"/>
      <c r="K439" s="27" t="str">
        <f>VLOOKUP(A439,[2]Sheet1!$A:$N,14,0)</f>
        <v>Belbais</v>
      </c>
    </row>
    <row r="440" spans="1:11">
      <c r="A440" s="28">
        <v>1528</v>
      </c>
      <c r="B440" s="34" t="s">
        <v>456</v>
      </c>
      <c r="C440" s="30" t="str">
        <f>VLOOKUP(B440,[2]Sheet1!$B:$C,2,0)</f>
        <v>Sara Ibrahim Mohamed</v>
      </c>
      <c r="D440" s="25" t="str">
        <f>VLOOKUP(B440,[2]Sheet1!$B:$H,7,0)</f>
        <v>MR</v>
      </c>
      <c r="E440" s="25">
        <f>VLOOKUP(C440,[2]Sheet1!$B:$M,12,0)</f>
        <v>899</v>
      </c>
      <c r="F440" s="29">
        <v>36621038</v>
      </c>
      <c r="G440" s="31">
        <f>VLOOKUP(A440,[2]Sheet1!$A:$J,10,0)</f>
        <v>1278746991</v>
      </c>
      <c r="H440" s="32">
        <f>VLOOKUP(A440,[2]Sheet1!$A:$K,11,0)</f>
        <v>45696</v>
      </c>
      <c r="I440" s="25" t="str">
        <f>VLOOKUP(A440,[2]Sheet1!$A:$F,6,0)</f>
        <v>P&amp;G Line</v>
      </c>
      <c r="J440" s="25"/>
      <c r="K440" s="27" t="str">
        <f>VLOOKUP(A440,[2]Sheet1!$A:$N,14,0)</f>
        <v>Suiz</v>
      </c>
    </row>
    <row r="441" spans="1:11">
      <c r="A441" s="28">
        <v>1449</v>
      </c>
      <c r="B441" s="34" t="s">
        <v>457</v>
      </c>
      <c r="C441" s="30" t="str">
        <f>VLOOKUP(B441,[2]Sheet1!$B:$C,2,0)</f>
        <v>Sara Ibrahim Mohamed</v>
      </c>
      <c r="D441" s="25" t="str">
        <f>VLOOKUP(B441,[2]Sheet1!$B:$H,7,0)</f>
        <v>MR</v>
      </c>
      <c r="E441" s="25">
        <f>VLOOKUP(C441,[2]Sheet1!$B:$M,12,0)</f>
        <v>899</v>
      </c>
      <c r="F441" s="29">
        <v>36621039</v>
      </c>
      <c r="G441" s="31">
        <f>VLOOKUP(A441,[2]Sheet1!$A:$J,10,0)</f>
        <v>1016775394</v>
      </c>
      <c r="H441" s="32">
        <f>VLOOKUP(A441,[2]Sheet1!$A:$K,11,0)</f>
        <v>45566</v>
      </c>
      <c r="I441" s="25" t="str">
        <f>VLOOKUP(A441,[2]Sheet1!$A:$F,6,0)</f>
        <v>P&amp;G Line</v>
      </c>
      <c r="J441" s="25"/>
      <c r="K441" s="27" t="str">
        <f>VLOOKUP(A441,[2]Sheet1!$A:$N,14,0)</f>
        <v>El Zakazik City</v>
      </c>
    </row>
    <row r="442" spans="1:11">
      <c r="A442" s="28">
        <v>1494</v>
      </c>
      <c r="B442" s="34" t="s">
        <v>458</v>
      </c>
      <c r="C442" s="30" t="str">
        <f>VLOOKUP(B442,[2]Sheet1!$B:$C,2,0)</f>
        <v>Sara Ibrahim Mohamed</v>
      </c>
      <c r="D442" s="25" t="str">
        <f>VLOOKUP(B442,[2]Sheet1!$B:$H,7,0)</f>
        <v>MR</v>
      </c>
      <c r="E442" s="25">
        <f>VLOOKUP(C442,[2]Sheet1!$B:$M,12,0)</f>
        <v>899</v>
      </c>
      <c r="F442" s="29">
        <v>36621040</v>
      </c>
      <c r="G442" s="31">
        <f>VLOOKUP(A442,[2]Sheet1!$A:$J,10,0)</f>
        <v>1096051829</v>
      </c>
      <c r="H442" s="32">
        <f>VLOOKUP(A442,[2]Sheet1!$A:$K,11,0)</f>
        <v>45658</v>
      </c>
      <c r="I442" s="25" t="str">
        <f>VLOOKUP(A442,[2]Sheet1!$A:$F,6,0)</f>
        <v>P&amp;G Line</v>
      </c>
      <c r="J442" s="25"/>
      <c r="K442" s="27" t="str">
        <f>VLOOKUP(A442,[2]Sheet1!$A:$N,14,0)</f>
        <v>Fakoos</v>
      </c>
    </row>
    <row r="443" spans="1:11">
      <c r="A443" s="28">
        <v>1490</v>
      </c>
      <c r="B443" s="34" t="s">
        <v>459</v>
      </c>
      <c r="C443" s="30" t="str">
        <f>VLOOKUP(B443,[2]Sheet1!$B:$C,2,0)</f>
        <v>L4_Vacant_Alex</v>
      </c>
      <c r="D443" s="25" t="str">
        <f>VLOOKUP(B443,[2]Sheet1!$B:$H,7,0)</f>
        <v>MR</v>
      </c>
      <c r="E443" s="25"/>
      <c r="F443" s="29">
        <v>36621041</v>
      </c>
      <c r="G443" s="31">
        <f>VLOOKUP(A443,[2]Sheet1!$A:$J,10,0)</f>
        <v>1002078972</v>
      </c>
      <c r="H443" s="32">
        <f>VLOOKUP(A443,[2]Sheet1!$A:$K,11,0)</f>
        <v>45661</v>
      </c>
      <c r="I443" s="25" t="str">
        <f>VLOOKUP(A443,[2]Sheet1!$A:$F,6,0)</f>
        <v>P&amp;G Line</v>
      </c>
      <c r="J443" s="25"/>
      <c r="K443" s="27" t="str">
        <f>VLOOKUP(A443,[2]Sheet1!$A:$I,9,0)</f>
        <v>Alex</v>
      </c>
    </row>
    <row r="444" spans="1:11">
      <c r="A444" s="28">
        <v>1462</v>
      </c>
      <c r="B444" s="34" t="s">
        <v>460</v>
      </c>
      <c r="C444" s="30" t="str">
        <f>VLOOKUP(B444,[2]Sheet1!$B:$C,2,0)</f>
        <v>L4_Vacant_Alex</v>
      </c>
      <c r="D444" s="25" t="str">
        <f>VLOOKUP(B444,[2]Sheet1!$B:$H,7,0)</f>
        <v>MR</v>
      </c>
      <c r="E444" s="25"/>
      <c r="F444" s="29">
        <v>36621042</v>
      </c>
      <c r="G444" s="31">
        <f>VLOOKUP(A444,[2]Sheet1!$A:$J,10,0)</f>
        <v>1094959623</v>
      </c>
      <c r="H444" s="32">
        <f>VLOOKUP(A444,[2]Sheet1!$A:$K,11,0)</f>
        <v>45627</v>
      </c>
      <c r="I444" s="25" t="str">
        <f>VLOOKUP(A444,[2]Sheet1!$A:$F,6,0)</f>
        <v>P&amp;G Line</v>
      </c>
      <c r="J444" s="25"/>
      <c r="K444" s="27" t="str">
        <f>VLOOKUP(A444,[2]Sheet1!$A:$I,9,0)</f>
        <v>Alex</v>
      </c>
    </row>
    <row r="445" spans="1:11">
      <c r="A445" s="28">
        <v>1583</v>
      </c>
      <c r="B445" s="34" t="s">
        <v>461</v>
      </c>
      <c r="C445" s="30" t="str">
        <f>VLOOKUP(B445,[2]Sheet1!$B:$C,2,0)</f>
        <v>L4_Vacant_Alex</v>
      </c>
      <c r="D445" s="25" t="str">
        <f>VLOOKUP(B445,[2]Sheet1!$B:$H,7,0)</f>
        <v>MR</v>
      </c>
      <c r="E445" s="25"/>
      <c r="F445" s="29">
        <v>36621043</v>
      </c>
      <c r="G445" s="31">
        <f>VLOOKUP(A445,[2]Sheet1!$A:$J,10,0)</f>
        <v>1203516434</v>
      </c>
      <c r="H445" s="32">
        <f>VLOOKUP(A445,[2]Sheet1!$A:$K,11,0)</f>
        <v>45724</v>
      </c>
      <c r="I445" s="25" t="str">
        <f>VLOOKUP(A445,[2]Sheet1!$A:$F,6,0)</f>
        <v>P&amp;G Line</v>
      </c>
      <c r="J445" s="25"/>
      <c r="K445" s="27" t="str">
        <f>VLOOKUP(A445,[2]Sheet1!$A:$N,14,0)</f>
        <v>Moharam Bek</v>
      </c>
    </row>
    <row r="446" spans="1:11">
      <c r="A446" s="28">
        <v>1862</v>
      </c>
      <c r="B446" s="34" t="s">
        <v>462</v>
      </c>
      <c r="C446" s="30" t="str">
        <f>VLOOKUP(B446,[2]Sheet1!$B:$C,2,0)</f>
        <v>L4_Vacant_Alex</v>
      </c>
      <c r="D446" s="25" t="str">
        <f>VLOOKUP(B446,[2]Sheet1!$B:$H,7,0)</f>
        <v>MR</v>
      </c>
      <c r="E446" s="25"/>
      <c r="F446" s="29">
        <v>36621044</v>
      </c>
      <c r="G446" s="31">
        <f>VLOOKUP(A446,[2]Sheet1!$A:$J,10,0)</f>
        <v>1287376818</v>
      </c>
      <c r="H446" s="32">
        <f>VLOOKUP(A446,[2]Sheet1!$A:$K,11,0)</f>
        <v>46060</v>
      </c>
      <c r="I446" s="25" t="str">
        <f>VLOOKUP(A446,[2]Sheet1!$A:$F,6,0)</f>
        <v>P&amp;G Line</v>
      </c>
      <c r="J446" s="25"/>
      <c r="K446" s="27" t="str">
        <f>VLOOKUP(A446,[2]Sheet1!$A:$N,14,0)</f>
        <v>Abo Yousef</v>
      </c>
    </row>
    <row r="447" spans="1:11">
      <c r="A447" s="28">
        <v>983</v>
      </c>
      <c r="B447" s="34" t="s">
        <v>463</v>
      </c>
      <c r="C447" s="30" t="str">
        <f>VLOOKUP(B447,[2]Sheet1!$B:$C,2,0)</f>
        <v>L4_Vacant_Alex</v>
      </c>
      <c r="D447" s="25" t="str">
        <f>VLOOKUP(B447,[2]Sheet1!$B:$H,7,0)</f>
        <v>MR</v>
      </c>
      <c r="E447" s="25"/>
      <c r="F447" s="29">
        <v>36621045</v>
      </c>
      <c r="G447" s="31" t="str">
        <f>VLOOKUP(A447,[2]Sheet1!$A:$J,10,0)</f>
        <v> 1210047610</v>
      </c>
      <c r="H447" s="32">
        <f>VLOOKUP(A447,[2]Sheet1!$A:$K,11,0)</f>
        <v>44779</v>
      </c>
      <c r="I447" s="25" t="str">
        <f>VLOOKUP(A447,[2]Sheet1!$A:$F,6,0)</f>
        <v>P&amp;G Line</v>
      </c>
      <c r="J447" s="25"/>
      <c r="K447" s="27" t="str">
        <f>VLOOKUP(A447,[2]Sheet1!$A:$N,14,0)</f>
        <v>El Awaied</v>
      </c>
    </row>
    <row r="448" spans="1:11">
      <c r="A448" s="28">
        <v>88</v>
      </c>
      <c r="B448" s="34" t="s">
        <v>464</v>
      </c>
      <c r="C448" s="30" t="str">
        <f>VLOOKUP(B448,[2]Sheet1!$B:$D,3,0)</f>
        <v>L4_Vacant_Alex &amp; Beheira &amp; Kafr ElSheikh</v>
      </c>
      <c r="D448" s="25" t="str">
        <f>VLOOKUP(B448,[2]Sheet1!$B:$H,7,0)</f>
        <v>DM</v>
      </c>
      <c r="E448" s="25"/>
      <c r="F448" s="29">
        <v>36621046</v>
      </c>
      <c r="G448" s="31" t="str">
        <f>VLOOKUP(A448,[2]Sheet1!$A:$J,10,0)</f>
        <v> 01117908271</v>
      </c>
      <c r="H448" s="32">
        <f>VLOOKUP(A448,[2]Sheet1!$A:$K,11,0)</f>
        <v>41856</v>
      </c>
      <c r="I448" s="25" t="str">
        <f>VLOOKUP(A448,[2]Sheet1!$A:$F,6,0)</f>
        <v>P&amp;G Line</v>
      </c>
      <c r="J448" s="25" t="str">
        <f>VLOOKUP(A448,[2]Sheet1!$A:$L,12,0)</f>
        <v>Omnia.Sobhy.Elgamal@averroes-eg.com</v>
      </c>
      <c r="K448" s="27" t="str">
        <f>VLOOKUP(A448,[2]Sheet1!$A:$N,14,0)</f>
        <v>Fowa</v>
      </c>
    </row>
    <row r="449" spans="1:11">
      <c r="A449" s="28">
        <v>518</v>
      </c>
      <c r="B449" s="34" t="s">
        <v>465</v>
      </c>
      <c r="C449" s="30" t="str">
        <f>VLOOKUP(B449,[2]Sheet1!$B:$C,2,0)</f>
        <v>Omnia Sobhy Elgamal</v>
      </c>
      <c r="D449" s="25" t="str">
        <f>VLOOKUP(B449,[2]Sheet1!$B:$H,7,0)</f>
        <v>MR</v>
      </c>
      <c r="E449" s="25">
        <f>VLOOKUP(C449,[2]Sheet1!$B:$M,12,0)</f>
        <v>88</v>
      </c>
      <c r="F449" s="29">
        <v>36621047</v>
      </c>
      <c r="G449" s="31" t="str">
        <f>VLOOKUP(A449,[2]Sheet1!$A:$J,10,0)</f>
        <v> 1050111226</v>
      </c>
      <c r="H449" s="32">
        <f>VLOOKUP(A449,[2]Sheet1!$A:$K,11,0)</f>
        <v>43841</v>
      </c>
      <c r="I449" s="25" t="str">
        <f>VLOOKUP(A449,[2]Sheet1!$A:$F,6,0)</f>
        <v>P&amp;G Line</v>
      </c>
      <c r="J449" s="25"/>
      <c r="K449" s="27" t="str">
        <f>VLOOKUP(A449,[2]Sheet1!$A:$N,14,0)</f>
        <v>Desouk</v>
      </c>
    </row>
    <row r="450" spans="1:11">
      <c r="A450" s="28">
        <v>1623</v>
      </c>
      <c r="B450" s="34" t="s">
        <v>466</v>
      </c>
      <c r="C450" s="30" t="str">
        <f>VLOOKUP(B450,[2]Sheet1!$B:$C,2,0)</f>
        <v>Omnia Sobhy Elgamal</v>
      </c>
      <c r="D450" s="25" t="str">
        <f>VLOOKUP(B450,[2]Sheet1!$B:$H,7,0)</f>
        <v>MR</v>
      </c>
      <c r="E450" s="25">
        <f>VLOOKUP(C450,[2]Sheet1!$B:$M,12,0)</f>
        <v>88</v>
      </c>
      <c r="F450" s="29">
        <v>36621048</v>
      </c>
      <c r="G450" s="31">
        <f>VLOOKUP(A450,[2]Sheet1!$A:$J,10,0)</f>
        <v>1096544705</v>
      </c>
      <c r="H450" s="32">
        <f>VLOOKUP(A450,[2]Sheet1!$A:$K,11,0)</f>
        <v>45780</v>
      </c>
      <c r="I450" s="25" t="str">
        <f>VLOOKUP(A450,[2]Sheet1!$A:$F,6,0)</f>
        <v>P&amp;G Line</v>
      </c>
      <c r="J450" s="25"/>
      <c r="K450" s="27" t="str">
        <f>VLOOKUP(A450,[2]Sheet1!$A:$N,14,0)</f>
        <v>Kafr Saad</v>
      </c>
    </row>
    <row r="451" spans="1:11">
      <c r="A451" s="28">
        <v>1487</v>
      </c>
      <c r="B451" s="34" t="s">
        <v>467</v>
      </c>
      <c r="C451" s="30" t="str">
        <f>VLOOKUP(B451,[2]Sheet1!$B:$C,2,0)</f>
        <v>Omnia Sobhy Elgamal</v>
      </c>
      <c r="D451" s="25" t="str">
        <f>VLOOKUP(B451,[2]Sheet1!$B:$H,7,0)</f>
        <v>MR</v>
      </c>
      <c r="E451" s="25">
        <f>VLOOKUP(C451,[2]Sheet1!$B:$M,12,0)</f>
        <v>88</v>
      </c>
      <c r="F451" s="29">
        <v>36621049</v>
      </c>
      <c r="G451" s="31">
        <f>VLOOKUP(A451,[2]Sheet1!$A:$J,10,0)</f>
        <v>1556084070</v>
      </c>
      <c r="H451" s="32">
        <f>VLOOKUP(A451,[2]Sheet1!$A:$K,11,0)</f>
        <v>45658</v>
      </c>
      <c r="I451" s="25" t="str">
        <f>VLOOKUP(A451,[2]Sheet1!$A:$F,6,0)</f>
        <v>P&amp;G Line</v>
      </c>
      <c r="J451" s="25"/>
      <c r="K451" s="27" t="str">
        <f>VLOOKUP(A451,[2]Sheet1!$A:$I,9,0)</f>
        <v>Alex</v>
      </c>
    </row>
    <row r="452" spans="1:11">
      <c r="A452" s="28">
        <v>1006</v>
      </c>
      <c r="B452" s="34" t="s">
        <v>468</v>
      </c>
      <c r="C452" s="30" t="str">
        <f>VLOOKUP(B452,[2]Sheet1!$B:$C,2,0)</f>
        <v>Omnia Sobhy Elgamal</v>
      </c>
      <c r="D452" s="25" t="str">
        <f>VLOOKUP(B452,[2]Sheet1!$B:$H,7,0)</f>
        <v>MR</v>
      </c>
      <c r="E452" s="25">
        <f>VLOOKUP(C452,[2]Sheet1!$B:$M,12,0)</f>
        <v>88</v>
      </c>
      <c r="F452" s="29">
        <v>36621050</v>
      </c>
      <c r="G452" s="31" t="str">
        <f>VLOOKUP(A452,[2]Sheet1!$A:$J,10,0)</f>
        <v> 1013457529</v>
      </c>
      <c r="H452" s="32">
        <f>VLOOKUP(A452,[2]Sheet1!$A:$K,11,0)</f>
        <v>44835</v>
      </c>
      <c r="I452" s="25" t="str">
        <f>VLOOKUP(A452,[2]Sheet1!$A:$F,6,0)</f>
        <v>P&amp;G Line</v>
      </c>
      <c r="J452" s="25"/>
      <c r="K452" s="27" t="str">
        <f>VLOOKUP(A452,[2]Sheet1!$A:$N,14,0)</f>
        <v>Etay El Baroud</v>
      </c>
    </row>
    <row r="453" spans="1:11">
      <c r="A453" s="28">
        <v>1761</v>
      </c>
      <c r="B453" s="34" t="s">
        <v>469</v>
      </c>
      <c r="C453" s="30" t="str">
        <f>VLOOKUP(B453,[2]Sheet1!$B:$C,2,0)</f>
        <v>Omnia Sobhy Elgamal</v>
      </c>
      <c r="D453" s="25" t="str">
        <f>VLOOKUP(B453,[2]Sheet1!$B:$H,7,0)</f>
        <v>MR</v>
      </c>
      <c r="E453" s="25">
        <f>VLOOKUP(C453,[2]Sheet1!$B:$M,12,0)</f>
        <v>88</v>
      </c>
      <c r="F453" s="29">
        <v>36621053</v>
      </c>
      <c r="G453" s="31">
        <f>VLOOKUP(A453,[2]Sheet1!$A:$J,10,0)</f>
        <v>1061109157</v>
      </c>
      <c r="H453" s="32">
        <f>VLOOKUP(A453,[2]Sheet1!$A:$K,11,0)</f>
        <v>45934</v>
      </c>
      <c r="I453" s="25" t="str">
        <f>VLOOKUP(A453,[2]Sheet1!$A:$F,6,0)</f>
        <v>P&amp;G Line</v>
      </c>
      <c r="J453" s="25"/>
      <c r="K453" s="27" t="str">
        <f>VLOOKUP(A453,[2]Sheet1!$A:$N,14,0)</f>
        <v>Kafr ELSheikh</v>
      </c>
    </row>
    <row r="454" spans="1:11">
      <c r="A454" s="28">
        <v>1571</v>
      </c>
      <c r="B454" s="34" t="s">
        <v>470</v>
      </c>
      <c r="C454" s="30" t="str">
        <f>VLOOKUP(B454,[2]Sheet1!$B:$C,2,0)</f>
        <v>Omnia Sobhy Elgamal</v>
      </c>
      <c r="D454" s="25" t="str">
        <f>VLOOKUP(B454,[2]Sheet1!$B:$H,7,0)</f>
        <v>MR</v>
      </c>
      <c r="E454" s="25">
        <f>VLOOKUP(C454,[2]Sheet1!$B:$M,12,0)</f>
        <v>88</v>
      </c>
      <c r="F454" s="29">
        <v>36621054</v>
      </c>
      <c r="G454" s="31">
        <f>VLOOKUP(A454,[2]Sheet1!$A:$J,10,0)</f>
        <v>1012533711</v>
      </c>
      <c r="H454" s="32">
        <f>VLOOKUP(A454,[2]Sheet1!$A:$K,11,0)</f>
        <v>45715</v>
      </c>
      <c r="I454" s="25" t="str">
        <f>VLOOKUP(A454,[2]Sheet1!$A:$F,6,0)</f>
        <v>P&amp;G Line</v>
      </c>
      <c r="J454" s="25"/>
      <c r="K454" s="27" t="str">
        <f>VLOOKUP(A454,[2]Sheet1!$A:$N,14,0)</f>
        <v>Damnhour</v>
      </c>
    </row>
    <row r="455" spans="1:11">
      <c r="A455" s="28">
        <v>1746</v>
      </c>
      <c r="B455" s="34" t="s">
        <v>471</v>
      </c>
      <c r="C455" s="30" t="str">
        <f>VLOOKUP(B455,[2]Sheet1!$B:$C,2,0)</f>
        <v>Omnia Sobhy Elgamal</v>
      </c>
      <c r="D455" s="25" t="str">
        <f>VLOOKUP(B455,[2]Sheet1!$B:$H,7,0)</f>
        <v>MR</v>
      </c>
      <c r="E455" s="25">
        <f>VLOOKUP(C455,[2]Sheet1!$B:$M,12,0)</f>
        <v>88</v>
      </c>
      <c r="F455" s="29">
        <v>36621056</v>
      </c>
      <c r="G455" s="31">
        <f>VLOOKUP(A455,[2]Sheet1!$A:$J,10,0)</f>
        <v>1004209490</v>
      </c>
      <c r="H455" s="32">
        <f>VLOOKUP(A455,[2]Sheet1!$A:$K,11,0)</f>
        <v>45913</v>
      </c>
      <c r="I455" s="25" t="str">
        <f>VLOOKUP(A455,[2]Sheet1!$A:$F,6,0)</f>
        <v>P&amp;G Line</v>
      </c>
      <c r="J455" s="25"/>
      <c r="K455" s="27" t="str">
        <f>VLOOKUP(A455,[2]Sheet1!$A:$N,14,0)</f>
        <v>Kafr ELSheikh</v>
      </c>
    </row>
    <row r="456" spans="1:11">
      <c r="A456" s="28">
        <v>1741</v>
      </c>
      <c r="B456" s="34" t="s">
        <v>472</v>
      </c>
      <c r="C456" s="30" t="str">
        <f>VLOOKUP(B456,[2]Sheet1!$B:$D,3,0)</f>
        <v>L4_Vacant_Cairo/Giza</v>
      </c>
      <c r="D456" s="25" t="str">
        <f>VLOOKUP(B456,[2]Sheet1!$B:$H,7,0)</f>
        <v>DM</v>
      </c>
      <c r="E456" s="25"/>
      <c r="F456" s="29">
        <v>36621057</v>
      </c>
      <c r="G456" s="31">
        <f>VLOOKUP(A456,[2]Sheet1!$A:$J,10,0)</f>
        <v>1033889221</v>
      </c>
      <c r="H456" s="32">
        <f>VLOOKUP(A456,[2]Sheet1!$A:$K,11,0)</f>
        <v>45901</v>
      </c>
      <c r="I456" s="25" t="str">
        <f>VLOOKUP(A456,[2]Sheet1!$A:$F,6,0)</f>
        <v>P&amp;G Line</v>
      </c>
      <c r="J456" s="25" t="str">
        <f>VLOOKUP(A456,[2]Sheet1!$A:$L,12,0)</f>
        <v>Abanoub.Samy@averroes-eg.com</v>
      </c>
      <c r="K456" s="27" t="str">
        <f>VLOOKUP(A456,[2]Sheet1!$A:$N,14,0)</f>
        <v>NASR CITY II</v>
      </c>
    </row>
    <row r="457" spans="1:11">
      <c r="A457" s="28">
        <v>1760</v>
      </c>
      <c r="B457" s="34" t="s">
        <v>473</v>
      </c>
      <c r="C457" s="30" t="str">
        <f>VLOOKUP(B457,[2]Sheet1!$B:$C,2,0)</f>
        <v>Abanoub Samy Mounir</v>
      </c>
      <c r="D457" s="25" t="str">
        <f>VLOOKUP(B457,[2]Sheet1!$B:$H,7,0)</f>
        <v>MR</v>
      </c>
      <c r="E457" s="25">
        <f>VLOOKUP(C457,[2]Sheet1!$B:$M,12,0)</f>
        <v>1741</v>
      </c>
      <c r="F457" s="29">
        <v>36621058</v>
      </c>
      <c r="G457" s="31">
        <f>VLOOKUP(A457,[2]Sheet1!$A:$J,10,0)</f>
        <v>1090275490</v>
      </c>
      <c r="H457" s="32">
        <f>VLOOKUP(A457,[2]Sheet1!$A:$K,11,0)</f>
        <v>45931</v>
      </c>
      <c r="I457" s="25" t="str">
        <f>VLOOKUP(A457,[2]Sheet1!$A:$F,6,0)</f>
        <v>P&amp;G Line</v>
      </c>
      <c r="J457" s="25"/>
      <c r="K457" s="27" t="str">
        <f>VLOOKUP(A457,[2]Sheet1!$A:$N,14,0)</f>
        <v>el marg</v>
      </c>
    </row>
    <row r="458" spans="1:11">
      <c r="A458" s="28">
        <v>1757</v>
      </c>
      <c r="B458" s="34" t="s">
        <v>474</v>
      </c>
      <c r="C458" s="30" t="str">
        <f>VLOOKUP(B458,[2]Sheet1!$B:$C,2,0)</f>
        <v>Abanoub Samy Mounir</v>
      </c>
      <c r="D458" s="25" t="str">
        <f>VLOOKUP(B458,[2]Sheet1!$B:$H,7,0)</f>
        <v>MR</v>
      </c>
      <c r="E458" s="25">
        <f>VLOOKUP(C458,[2]Sheet1!$B:$M,12,0)</f>
        <v>1741</v>
      </c>
      <c r="F458" s="29">
        <v>36621060</v>
      </c>
      <c r="G458" s="31" t="str">
        <f>VLOOKUP(A458,[2]Sheet1!$A:$J,10,0)</f>
        <v>0114 8631822</v>
      </c>
      <c r="H458" s="32">
        <f>VLOOKUP(A458,[2]Sheet1!$A:$K,11,0)</f>
        <v>45931</v>
      </c>
      <c r="I458" s="25" t="str">
        <f>VLOOKUP(A458,[2]Sheet1!$A:$F,6,0)</f>
        <v>P&amp;G Line</v>
      </c>
      <c r="J458" s="25"/>
      <c r="K458" s="27" t="str">
        <f>VLOOKUP(A458,[2]Sheet1!$A:$N,14,0)</f>
        <v>Abbaseya</v>
      </c>
    </row>
    <row r="459" spans="1:11">
      <c r="A459" s="28">
        <v>1465</v>
      </c>
      <c r="B459" s="34" t="s">
        <v>475</v>
      </c>
      <c r="C459" s="30" t="str">
        <f>VLOOKUP(B459,[2]Sheet1!$B:$C,2,0)</f>
        <v>Abanoub Samy Mounir</v>
      </c>
      <c r="D459" s="25" t="str">
        <f>VLOOKUP(B459,[2]Sheet1!$B:$H,7,0)</f>
        <v>MR</v>
      </c>
      <c r="E459" s="25">
        <f>VLOOKUP(C459,[2]Sheet1!$B:$M,12,0)</f>
        <v>1741</v>
      </c>
      <c r="F459" s="29">
        <v>36621061</v>
      </c>
      <c r="G459" s="31">
        <f>VLOOKUP(A459,[2]Sheet1!$A:$J,10,0)</f>
        <v>1004601149</v>
      </c>
      <c r="H459" s="32">
        <f>VLOOKUP(A459,[2]Sheet1!$A:$K,11,0)</f>
        <v>45627</v>
      </c>
      <c r="I459" s="25" t="str">
        <f>VLOOKUP(A459,[2]Sheet1!$A:$F,6,0)</f>
        <v>P&amp;G Line</v>
      </c>
      <c r="J459" s="25"/>
      <c r="K459" s="27" t="str">
        <f>VLOOKUP(A459,[2]Sheet1!$A:$N,14,0)</f>
        <v>ELMATARIA - CAIRO</v>
      </c>
    </row>
    <row r="460" spans="1:11">
      <c r="A460" s="28">
        <v>1625</v>
      </c>
      <c r="B460" s="34" t="s">
        <v>476</v>
      </c>
      <c r="C460" s="30" t="str">
        <f>VLOOKUP(B460,[2]Sheet1!$B:$C,2,0)</f>
        <v>Abanoub Samy Mounir</v>
      </c>
      <c r="D460" s="25" t="str">
        <f>VLOOKUP(B460,[2]Sheet1!$B:$H,7,0)</f>
        <v>MR</v>
      </c>
      <c r="E460" s="25">
        <f>VLOOKUP(C460,[2]Sheet1!$B:$M,12,0)</f>
        <v>1741</v>
      </c>
      <c r="F460" s="29">
        <v>36621063</v>
      </c>
      <c r="G460" s="31">
        <f>VLOOKUP(A460,[2]Sheet1!$A:$J,10,0)</f>
        <v>1020545018</v>
      </c>
      <c r="H460" s="32">
        <f>VLOOKUP(A460,[2]Sheet1!$A:$K,11,0)</f>
        <v>45780</v>
      </c>
      <c r="I460" s="25" t="str">
        <f>VLOOKUP(A460,[2]Sheet1!$A:$F,6,0)</f>
        <v>P&amp;G Line</v>
      </c>
      <c r="J460" s="25"/>
      <c r="K460" s="27" t="str">
        <f>VLOOKUP(A460,[2]Sheet1!$A:$N,14,0)</f>
        <v>Madenet El Salam</v>
      </c>
    </row>
    <row r="461" spans="1:11">
      <c r="A461" s="28">
        <v>1819</v>
      </c>
      <c r="B461" s="34" t="s">
        <v>477</v>
      </c>
      <c r="C461" s="30" t="str">
        <f>VLOOKUP(B461,[2]Sheet1!$B:$C,2,0)</f>
        <v>Abanoub Samy Mounir</v>
      </c>
      <c r="D461" s="25" t="str">
        <f>VLOOKUP(B461,[2]Sheet1!$B:$H,7,0)</f>
        <v>MR</v>
      </c>
      <c r="E461" s="25">
        <f>VLOOKUP(C461,[2]Sheet1!$B:$M,12,0)</f>
        <v>1741</v>
      </c>
      <c r="F461" s="29">
        <v>36621065</v>
      </c>
      <c r="G461" s="31">
        <f>VLOOKUP(A461,[2]Sheet1!$A:$J,10,0)</f>
        <v>1080692926</v>
      </c>
      <c r="H461" s="32">
        <f>VLOOKUP(A461,[2]Sheet1!$A:$K,11,0)</f>
        <v>46025</v>
      </c>
      <c r="I461" s="25" t="str">
        <f>VLOOKUP(A461,[2]Sheet1!$A:$F,6,0)</f>
        <v>P&amp;G Line</v>
      </c>
      <c r="J461" s="25"/>
      <c r="K461" s="27" t="str">
        <f>VLOOKUP(A461,[2]Sheet1!$A:$N,14,0)</f>
        <v>Roksi</v>
      </c>
    </row>
    <row r="462" spans="1:11">
      <c r="A462" s="28">
        <v>595</v>
      </c>
      <c r="B462" s="34" t="s">
        <v>478</v>
      </c>
      <c r="C462" s="30" t="str">
        <f>VLOOKUP(B462,[2]Sheet1!$B:$D,3,0)</f>
        <v>L4_Vacant_Cairo/Giza</v>
      </c>
      <c r="D462" s="25" t="str">
        <f>VLOOKUP(B462,[2]Sheet1!$B:$H,7,0)</f>
        <v>DM</v>
      </c>
      <c r="E462" s="25"/>
      <c r="F462" s="29">
        <v>36621066</v>
      </c>
      <c r="G462" s="31" t="str">
        <f>VLOOKUP(A462,[2]Sheet1!$A:$J,10,0)</f>
        <v> 01030098100</v>
      </c>
      <c r="H462" s="32">
        <f>VLOOKUP(A462,[2]Sheet1!$A:$K,11,0)</f>
        <v>43864</v>
      </c>
      <c r="I462" s="25" t="str">
        <f>VLOOKUP(A462,[2]Sheet1!$A:$F,6,0)</f>
        <v>P&amp;G Line</v>
      </c>
      <c r="J462" s="25" t="str">
        <f>VLOOKUP(A462,[2]Sheet1!$A:$L,12,0)</f>
        <v>mohamed.ezat@averroes-eg.com</v>
      </c>
      <c r="K462" s="27" t="str">
        <f>VLOOKUP(A462,[2]Sheet1!$A:$N,14,0)</f>
        <v>El Sheikh Zayed</v>
      </c>
    </row>
    <row r="463" spans="1:11">
      <c r="A463" s="28">
        <v>1865</v>
      </c>
      <c r="B463" s="34" t="s">
        <v>479</v>
      </c>
      <c r="C463" s="30" t="str">
        <f>VLOOKUP(B463,[2]Sheet1!$B:$C,2,0)</f>
        <v>Mohamed Ezzat Hassan</v>
      </c>
      <c r="D463" s="25" t="str">
        <f>VLOOKUP(B463,[2]Sheet1!$B:$H,7,0)</f>
        <v>MR</v>
      </c>
      <c r="E463" s="25">
        <f>VLOOKUP(C463,[2]Sheet1!$B:$M,12,0)</f>
        <v>595</v>
      </c>
      <c r="F463" s="29">
        <v>36621067</v>
      </c>
      <c r="G463" s="31">
        <f>VLOOKUP(A463,[2]Sheet1!$A:$J,10,0)</f>
        <v>1273953409</v>
      </c>
      <c r="H463" s="32">
        <f>VLOOKUP(A463,[2]Sheet1!$A:$K,11,0)</f>
        <v>46057</v>
      </c>
      <c r="I463" s="25" t="str">
        <f>VLOOKUP(A463,[2]Sheet1!$A:$F,6,0)</f>
        <v>P&amp;G Line</v>
      </c>
      <c r="J463" s="25"/>
      <c r="K463" s="27" t="str">
        <f>VLOOKUP(A463,[2]Sheet1!$A:$N,14,0)</f>
        <v>Dokki</v>
      </c>
    </row>
    <row r="464" spans="1:11">
      <c r="A464" s="28">
        <v>1519</v>
      </c>
      <c r="B464" s="34" t="s">
        <v>480</v>
      </c>
      <c r="C464" s="30" t="str">
        <f>VLOOKUP(B464,[2]Sheet1!$B:$C,2,0)</f>
        <v>Mohamed Ezzat Hassan</v>
      </c>
      <c r="D464" s="25" t="str">
        <f>VLOOKUP(B464,[2]Sheet1!$B:$H,7,0)</f>
        <v>MR</v>
      </c>
      <c r="E464" s="25">
        <f>VLOOKUP(C464,[2]Sheet1!$B:$M,12,0)</f>
        <v>595</v>
      </c>
      <c r="F464" s="29">
        <v>36621068</v>
      </c>
      <c r="G464" s="31">
        <f>VLOOKUP(A464,[2]Sheet1!$A:$J,10,0)</f>
        <v>1090567380</v>
      </c>
      <c r="H464" s="32">
        <f>VLOOKUP(A464,[2]Sheet1!$A:$K,11,0)</f>
        <v>45690</v>
      </c>
      <c r="I464" s="25" t="str">
        <f>VLOOKUP(A464,[2]Sheet1!$A:$F,6,0)</f>
        <v>P&amp;G Line</v>
      </c>
      <c r="J464" s="25"/>
      <c r="K464" s="27" t="str">
        <f>VLOOKUP(A464,[2]Sheet1!$A:$N,14,0)</f>
        <v>6th of October City</v>
      </c>
    </row>
    <row r="465" spans="1:11">
      <c r="A465" s="28">
        <v>792</v>
      </c>
      <c r="B465" s="34" t="s">
        <v>481</v>
      </c>
      <c r="C465" s="30" t="str">
        <f>VLOOKUP(B465,[2]Sheet1!$B:$D,3,0)</f>
        <v>L4_Vacant_Cairo/Giza</v>
      </c>
      <c r="D465" s="25" t="str">
        <f>VLOOKUP(B465,[2]Sheet1!$B:$H,7,0)</f>
        <v>DM</v>
      </c>
      <c r="E465" s="25"/>
      <c r="F465" s="29">
        <v>36621070</v>
      </c>
      <c r="G465" s="31">
        <f>VLOOKUP(A465,[2]Sheet1!$A:$J,10,0)</f>
        <v>1118607892</v>
      </c>
      <c r="H465" s="32">
        <f>VLOOKUP(A465,[2]Sheet1!$A:$K,11,0)</f>
        <v>44362</v>
      </c>
      <c r="I465" s="25" t="str">
        <f>VLOOKUP(A465,[2]Sheet1!$A:$F,6,0)</f>
        <v>P&amp;G Line</v>
      </c>
      <c r="J465" s="25" t="str">
        <f>VLOOKUP(A465,[2]Sheet1!$A:$L,12,0)</f>
        <v>Waleed.Nageh.AboZeid@averroes-eg.com</v>
      </c>
      <c r="K465" s="27" t="str">
        <f>VLOOKUP(A465,[2]Sheet1!$A:$N,14,0)</f>
        <v>DAR ELSALAM - CAIRO</v>
      </c>
    </row>
    <row r="466" spans="1:11">
      <c r="A466" s="28">
        <v>1754</v>
      </c>
      <c r="B466" s="34" t="s">
        <v>482</v>
      </c>
      <c r="C466" s="30" t="str">
        <f>VLOOKUP(B466,[2]Sheet1!$B:$C,2,0)</f>
        <v>Waleed Nageh AboZeid</v>
      </c>
      <c r="D466" s="25" t="str">
        <f>VLOOKUP(B466,[2]Sheet1!$B:$H,7,0)</f>
        <v>MR</v>
      </c>
      <c r="E466" s="25">
        <f>VLOOKUP(C466,[2]Sheet1!$B:$M,12,0)</f>
        <v>792</v>
      </c>
      <c r="F466" s="29">
        <v>36621071</v>
      </c>
      <c r="G466" s="31">
        <f>VLOOKUP(A466,[2]Sheet1!$A:$J,10,0)</f>
        <v>1020424012</v>
      </c>
      <c r="H466" s="32">
        <f>VLOOKUP(A466,[2]Sheet1!$A:$K,11,0)</f>
        <v>45901</v>
      </c>
      <c r="I466" s="25" t="str">
        <f>VLOOKUP(A466,[2]Sheet1!$A:$F,6,0)</f>
        <v>P&amp;G Line</v>
      </c>
      <c r="J466" s="25"/>
      <c r="K466" s="27" t="str">
        <f>VLOOKUP(A466,[2]Sheet1!$A:$N,14,0)</f>
        <v>Helwan</v>
      </c>
    </row>
    <row r="467" spans="1:11">
      <c r="A467" s="28">
        <v>736</v>
      </c>
      <c r="B467" s="34" t="s">
        <v>483</v>
      </c>
      <c r="C467" s="30" t="str">
        <f>VLOOKUP(B467,[2]Sheet1!$B:$C,2,0)</f>
        <v>Waleed Nageh AboZeid</v>
      </c>
      <c r="D467" s="25" t="str">
        <f>VLOOKUP(B467,[2]Sheet1!$B:$H,7,0)</f>
        <v>MR</v>
      </c>
      <c r="E467" s="25">
        <f>VLOOKUP(C467,[2]Sheet1!$B:$M,12,0)</f>
        <v>792</v>
      </c>
      <c r="F467" s="29">
        <v>36621072</v>
      </c>
      <c r="G467" s="31" t="str">
        <f>VLOOKUP(A467,[2]Sheet1!$A:$J,10,0)</f>
        <v> 1030480507</v>
      </c>
      <c r="H467" s="32">
        <f>VLOOKUP(A467,[2]Sheet1!$A:$K,11,0)</f>
        <v>44228</v>
      </c>
      <c r="I467" s="25" t="str">
        <f>VLOOKUP(A467,[2]Sheet1!$A:$F,6,0)</f>
        <v>P&amp;G Line</v>
      </c>
      <c r="J467" s="25"/>
      <c r="K467" s="27" t="str">
        <f>VLOOKUP(A467,[2]Sheet1!$A:$N,14,0)</f>
        <v>DAR ELSALAM - CAIRO</v>
      </c>
    </row>
    <row r="468" spans="1:11">
      <c r="A468" s="28">
        <v>1529</v>
      </c>
      <c r="B468" s="34" t="s">
        <v>484</v>
      </c>
      <c r="C468" s="30" t="str">
        <f>VLOOKUP(B468,[2]Sheet1!$B:$C,2,0)</f>
        <v>Waleed Nageh AboZeid</v>
      </c>
      <c r="D468" s="25" t="str">
        <f>VLOOKUP(B468,[2]Sheet1!$B:$H,7,0)</f>
        <v>MR</v>
      </c>
      <c r="E468" s="25">
        <f>VLOOKUP(C468,[2]Sheet1!$B:$M,12,0)</f>
        <v>792</v>
      </c>
      <c r="F468" s="29">
        <v>36621073</v>
      </c>
      <c r="G468" s="31">
        <f>VLOOKUP(A468,[2]Sheet1!$A:$J,10,0)</f>
        <v>1102372504</v>
      </c>
      <c r="H468" s="32">
        <f>VLOOKUP(A468,[2]Sheet1!$A:$K,11,0)</f>
        <v>45696</v>
      </c>
      <c r="I468" s="25" t="str">
        <f>VLOOKUP(A468,[2]Sheet1!$A:$F,6,0)</f>
        <v>P&amp;G Line</v>
      </c>
      <c r="J468" s="25"/>
      <c r="K468" s="27" t="str">
        <f>VLOOKUP(A468,[2]Sheet1!$A:$N,14,0)</f>
        <v>Shobra El Khiema</v>
      </c>
    </row>
    <row r="469" spans="1:11">
      <c r="A469" s="28">
        <v>1839</v>
      </c>
      <c r="B469" s="34" t="s">
        <v>485</v>
      </c>
      <c r="C469" s="30" t="str">
        <f>VLOOKUP(B469,[2]Sheet1!$B:$C,2,0)</f>
        <v>Waleed Nageh AboZeid</v>
      </c>
      <c r="D469" s="25" t="str">
        <f>VLOOKUP(B469,[2]Sheet1!$B:$H,7,0)</f>
        <v>MR</v>
      </c>
      <c r="E469" s="25">
        <f>VLOOKUP(C469,[2]Sheet1!$B:$M,12,0)</f>
        <v>792</v>
      </c>
      <c r="F469" s="29">
        <v>36621074</v>
      </c>
      <c r="G469" s="31">
        <f>VLOOKUP(A469,[2]Sheet1!$A:$J,10,0)</f>
        <v>1276895847</v>
      </c>
      <c r="H469" s="32">
        <f>VLOOKUP(A469,[2]Sheet1!$A:$K,11,0)</f>
        <v>46023</v>
      </c>
      <c r="I469" s="25" t="str">
        <f>VLOOKUP(A469,[2]Sheet1!$A:$F,6,0)</f>
        <v>P&amp;G Line</v>
      </c>
      <c r="J469" s="25"/>
      <c r="K469" s="27" t="str">
        <f>VLOOKUP(A469,[2]Sheet1!$A:$N,14,0)</f>
        <v>Shobra El Khiema</v>
      </c>
    </row>
    <row r="470" spans="1:11">
      <c r="A470" s="28">
        <v>1450</v>
      </c>
      <c r="B470" s="34" t="s">
        <v>486</v>
      </c>
      <c r="C470" s="30" t="str">
        <f>VLOOKUP(B470,[2]Sheet1!$B:$C,2,0)</f>
        <v>Waleed Nageh AboZeid</v>
      </c>
      <c r="D470" s="25" t="str">
        <f>VLOOKUP(B470,[2]Sheet1!$B:$H,7,0)</f>
        <v>MR</v>
      </c>
      <c r="E470" s="25">
        <f>VLOOKUP(C470,[2]Sheet1!$B:$M,12,0)</f>
        <v>792</v>
      </c>
      <c r="F470" s="29">
        <v>36621075</v>
      </c>
      <c r="G470" s="31">
        <f>VLOOKUP(A470,[2]Sheet1!$A:$J,10,0)</f>
        <v>1552588806</v>
      </c>
      <c r="H470" s="32">
        <f>VLOOKUP(A470,[2]Sheet1!$A:$K,11,0)</f>
        <v>45566</v>
      </c>
      <c r="I470" s="25" t="str">
        <f>VLOOKUP(A470,[2]Sheet1!$A:$F,6,0)</f>
        <v>P&amp;G Line</v>
      </c>
      <c r="J470" s="25"/>
      <c r="K470" s="27" t="str">
        <f>VLOOKUP(A470,[2]Sheet1!$A:$N,14,0)</f>
        <v>Embaba</v>
      </c>
    </row>
    <row r="471" spans="1:11">
      <c r="A471" s="28">
        <v>1113</v>
      </c>
      <c r="B471" s="34" t="s">
        <v>487</v>
      </c>
      <c r="C471" s="30" t="str">
        <f>VLOOKUP(B471,[2]Sheet1!$B:$E,4,0)</f>
        <v>Abdallah Gamal Elsayed</v>
      </c>
      <c r="D471" s="25" t="str">
        <f>VLOOKUP(B471,[2]Sheet1!$B:$H,7,0)</f>
        <v>AM</v>
      </c>
      <c r="E471" s="25">
        <f>VLOOKUP(C471,[2]Sheet1!$B:$M,12,0)</f>
        <v>160</v>
      </c>
      <c r="F471" s="29">
        <v>36621077</v>
      </c>
      <c r="G471" s="31">
        <f>VLOOKUP(A471,[2]Sheet1!$A:$J,10,0)</f>
        <v>1091332030</v>
      </c>
      <c r="H471" s="32">
        <f>VLOOKUP(A471,[2]Sheet1!$A:$K,11,0)</f>
        <v>44958</v>
      </c>
      <c r="I471" s="25" t="str">
        <f>VLOOKUP(A471,[2]Sheet1!$A:$F,6,0)</f>
        <v>P&amp;G Line</v>
      </c>
      <c r="J471" s="25" t="str">
        <f>VLOOKUP(A471,[2]Sheet1!$A:$L,12,0)</f>
        <v>Mohamed.AbdelSabor.Medany@averroes-eg.com</v>
      </c>
      <c r="K471" s="27" t="str">
        <f>VLOOKUP(A471,[2]Sheet1!$A:$N,14,0)</f>
        <v>Quena City</v>
      </c>
    </row>
    <row r="472" spans="1:11">
      <c r="A472" s="28">
        <v>1082</v>
      </c>
      <c r="B472" s="34" t="s">
        <v>488</v>
      </c>
      <c r="C472" s="30" t="str">
        <f>VLOOKUP(B472,[2]Sheet1!$B:$D,3,0)</f>
        <v>Mohamed AbdelSabor Madany</v>
      </c>
      <c r="D472" s="25" t="str">
        <f>VLOOKUP(B472,[2]Sheet1!$B:$H,7,0)</f>
        <v>DM</v>
      </c>
      <c r="E472" s="25">
        <f>VLOOKUP(C472,[2]Sheet1!$B:$M,12,0)</f>
        <v>1113</v>
      </c>
      <c r="F472" s="29">
        <v>36621078</v>
      </c>
      <c r="G472" s="31" t="str">
        <f>VLOOKUP(A472,[2]Sheet1!$A:$J,10,0)</f>
        <v> 01554629292</v>
      </c>
      <c r="H472" s="32">
        <f>VLOOKUP(A472,[2]Sheet1!$A:$K,11,0)</f>
        <v>44942</v>
      </c>
      <c r="I472" s="25" t="str">
        <f>VLOOKUP(A472,[2]Sheet1!$A:$F,6,0)</f>
        <v>P&amp;G Line</v>
      </c>
      <c r="J472" s="25" t="str">
        <f>VLOOKUP(A472,[2]Sheet1!$A:$L,12,0)</f>
        <v>David.Thabet.Mehanni@averroes-eg.com</v>
      </c>
      <c r="K472" s="27" t="str">
        <f>VLOOKUP(A472,[2]Sheet1!$A:$N,14,0)</f>
        <v>Malawy</v>
      </c>
    </row>
    <row r="473" spans="1:11">
      <c r="A473" s="28">
        <v>470</v>
      </c>
      <c r="B473" s="34" t="s">
        <v>489</v>
      </c>
      <c r="C473" s="30" t="str">
        <f>VLOOKUP(B473,[2]Sheet1!$B:$C,2,0)</f>
        <v>David Thabet Mehanni</v>
      </c>
      <c r="D473" s="25" t="str">
        <f>VLOOKUP(B473,[2]Sheet1!$B:$H,7,0)</f>
        <v>MR</v>
      </c>
      <c r="E473" s="25">
        <f>VLOOKUP(C473,[2]Sheet1!$B:$M,12,0)</f>
        <v>1082</v>
      </c>
      <c r="F473" s="29">
        <v>36621079</v>
      </c>
      <c r="G473" s="31" t="str">
        <f>VLOOKUP(A473,[2]Sheet1!$A:$J,10,0)</f>
        <v> 1030814111</v>
      </c>
      <c r="H473" s="32">
        <f>VLOOKUP(A473,[2]Sheet1!$A:$K,11,0)</f>
        <v>43694</v>
      </c>
      <c r="I473" s="25" t="str">
        <f>VLOOKUP(A473,[2]Sheet1!$A:$F,6,0)</f>
        <v>P&amp;G Line</v>
      </c>
      <c r="J473" s="25"/>
      <c r="K473" s="27" t="str">
        <f>VLOOKUP(A473,[2]Sheet1!$A:$N,14,0)</f>
        <v>El Menia City</v>
      </c>
    </row>
    <row r="474" spans="1:11">
      <c r="A474" s="28">
        <v>1503</v>
      </c>
      <c r="B474" s="34" t="s">
        <v>490</v>
      </c>
      <c r="C474" s="30" t="str">
        <f>VLOOKUP(B474,[2]Sheet1!$B:$C,2,0)</f>
        <v>David Thabet Mehanni</v>
      </c>
      <c r="D474" s="25" t="str">
        <f>VLOOKUP(B474,[2]Sheet1!$B:$H,7,0)</f>
        <v>MR</v>
      </c>
      <c r="E474" s="25">
        <f>VLOOKUP(C474,[2]Sheet1!$B:$M,12,0)</f>
        <v>1082</v>
      </c>
      <c r="F474" s="29">
        <v>36621080</v>
      </c>
      <c r="G474" s="31">
        <f>VLOOKUP(A474,[2]Sheet1!$A:$J,10,0)</f>
        <v>1067219806</v>
      </c>
      <c r="H474" s="32">
        <f>VLOOKUP(A474,[2]Sheet1!$A:$K,11,0)</f>
        <v>45676</v>
      </c>
      <c r="I474" s="25" t="str">
        <f>VLOOKUP(A474,[2]Sheet1!$A:$F,6,0)</f>
        <v>P&amp;G Line</v>
      </c>
      <c r="J474" s="25"/>
      <c r="K474" s="27" t="str">
        <f>VLOOKUP(A474,[2]Sheet1!$A:$N,14,0)</f>
        <v>El Menia City</v>
      </c>
    </row>
    <row r="475" spans="1:11">
      <c r="A475" s="28">
        <v>1768</v>
      </c>
      <c r="B475" s="34" t="s">
        <v>491</v>
      </c>
      <c r="C475" s="30" t="str">
        <f>VLOOKUP(B475,[2]Sheet1!$B:$C,2,0)</f>
        <v>David Thabet Mehanni</v>
      </c>
      <c r="D475" s="25" t="str">
        <f>VLOOKUP(B475,[2]Sheet1!$B:$H,7,0)</f>
        <v>MR</v>
      </c>
      <c r="E475" s="25">
        <f>VLOOKUP(C475,[2]Sheet1!$B:$M,12,0)</f>
        <v>1082</v>
      </c>
      <c r="F475" s="29">
        <v>36621081</v>
      </c>
      <c r="G475" s="31">
        <f>VLOOKUP(A475,[2]Sheet1!$A:$J,10,0)</f>
        <v>1221100717</v>
      </c>
      <c r="H475" s="32">
        <f>VLOOKUP(A475,[2]Sheet1!$A:$K,11,0)</f>
        <v>45941</v>
      </c>
      <c r="I475" s="25" t="str">
        <f>VLOOKUP(A475,[2]Sheet1!$A:$F,6,0)</f>
        <v>P&amp;G Line</v>
      </c>
      <c r="J475" s="25"/>
      <c r="K475" s="27" t="str">
        <f>VLOOKUP(A475,[2]Sheet1!$A:$N,14,0)</f>
        <v>Bani Swaif City</v>
      </c>
    </row>
    <row r="476" spans="1:11">
      <c r="A476" s="28">
        <v>1022</v>
      </c>
      <c r="B476" s="34" t="s">
        <v>492</v>
      </c>
      <c r="C476" s="30" t="str">
        <f>VLOOKUP(B476,[2]Sheet1!$B:$C,2,0)</f>
        <v>David Thabet Mehanni</v>
      </c>
      <c r="D476" s="25" t="str">
        <f>VLOOKUP(B476,[2]Sheet1!$B:$H,7,0)</f>
        <v>MR</v>
      </c>
      <c r="E476" s="25">
        <f>VLOOKUP(C476,[2]Sheet1!$B:$M,12,0)</f>
        <v>1082</v>
      </c>
      <c r="F476" s="29">
        <v>36621082</v>
      </c>
      <c r="G476" s="31" t="str">
        <f>VLOOKUP(A476,[2]Sheet1!$A:$J,10,0)</f>
        <v> 01200919670</v>
      </c>
      <c r="H476" s="32">
        <f>VLOOKUP(A476,[2]Sheet1!$A:$K,11,0)</f>
        <v>44877</v>
      </c>
      <c r="I476" s="25" t="str">
        <f>VLOOKUP(A476,[2]Sheet1!$A:$F,6,0)</f>
        <v>P&amp;G Line</v>
      </c>
      <c r="J476" s="25"/>
      <c r="K476" s="27" t="str">
        <f>VLOOKUP(A476,[2]Sheet1!$A:$N,14,0)</f>
        <v>Assuit City</v>
      </c>
    </row>
    <row r="477" spans="1:11">
      <c r="A477" s="28">
        <v>1401</v>
      </c>
      <c r="B477" s="34" t="s">
        <v>493</v>
      </c>
      <c r="C477" s="30" t="str">
        <f>VLOOKUP(B477,[2]Sheet1!$B:$C,2,0)</f>
        <v>David Thabet Mehanni</v>
      </c>
      <c r="D477" s="25" t="str">
        <f>VLOOKUP(B477,[2]Sheet1!$B:$H,7,0)</f>
        <v>MR</v>
      </c>
      <c r="E477" s="25">
        <f>VLOOKUP(C477,[2]Sheet1!$B:$M,12,0)</f>
        <v>1082</v>
      </c>
      <c r="F477" s="29">
        <v>36621083</v>
      </c>
      <c r="G477" s="31">
        <f>VLOOKUP(A477,[2]Sheet1!$A:$J,10,0)</f>
        <v>1032454210</v>
      </c>
      <c r="H477" s="32">
        <f>VLOOKUP(A477,[2]Sheet1!$A:$K,11,0)</f>
        <v>45467</v>
      </c>
      <c r="I477" s="25" t="str">
        <f>VLOOKUP(A477,[2]Sheet1!$A:$F,6,0)</f>
        <v>P&amp;G Line</v>
      </c>
      <c r="J477" s="25"/>
      <c r="K477" s="27" t="str">
        <f>VLOOKUP(A477,[2]Sheet1!$A:$N,14,0)</f>
        <v>Fayoum City</v>
      </c>
    </row>
    <row r="478" spans="1:11">
      <c r="A478" s="28">
        <v>1023</v>
      </c>
      <c r="B478" s="34" t="s">
        <v>494</v>
      </c>
      <c r="C478" s="30" t="str">
        <f>VLOOKUP(B478,[2]Sheet1!$B:$C,2,0)</f>
        <v>David Thabet Mehanni</v>
      </c>
      <c r="D478" s="25" t="str">
        <f>VLOOKUP(B478,[2]Sheet1!$B:$H,7,0)</f>
        <v>MR</v>
      </c>
      <c r="E478" s="25">
        <f>VLOOKUP(C478,[2]Sheet1!$B:$M,12,0)</f>
        <v>1082</v>
      </c>
      <c r="F478" s="29">
        <v>36621085</v>
      </c>
      <c r="G478" s="31" t="str">
        <f>VLOOKUP(A478,[2]Sheet1!$A:$J,10,0)</f>
        <v> 01090936290</v>
      </c>
      <c r="H478" s="32">
        <f>VLOOKUP(A478,[2]Sheet1!$A:$K,11,0)</f>
        <v>44878</v>
      </c>
      <c r="I478" s="25" t="str">
        <f>VLOOKUP(A478,[2]Sheet1!$A:$F,6,0)</f>
        <v>P&amp;G Line</v>
      </c>
      <c r="J478" s="25"/>
      <c r="K478" s="27" t="str">
        <f>VLOOKUP(A478,[2]Sheet1!$A:$N,14,0)</f>
        <v>Assuit City</v>
      </c>
    </row>
    <row r="479" spans="1:11">
      <c r="A479" s="28">
        <v>1504</v>
      </c>
      <c r="B479" s="34" t="s">
        <v>495</v>
      </c>
      <c r="C479" s="30" t="str">
        <f>VLOOKUP(B479,[2]Sheet1!$B:$C,2,0)</f>
        <v>David Thabet Mehanni</v>
      </c>
      <c r="D479" s="25" t="str">
        <f>VLOOKUP(B479,[2]Sheet1!$B:$H,7,0)</f>
        <v>MR</v>
      </c>
      <c r="E479" s="25">
        <f>VLOOKUP(C479,[2]Sheet1!$B:$M,12,0)</f>
        <v>1082</v>
      </c>
      <c r="F479" s="29">
        <v>36621086</v>
      </c>
      <c r="G479" s="31">
        <f>VLOOKUP(A479,[2]Sheet1!$A:$J,10,0)</f>
        <v>1228718121</v>
      </c>
      <c r="H479" s="32">
        <f>VLOOKUP(A479,[2]Sheet1!$A:$K,11,0)</f>
        <v>45676</v>
      </c>
      <c r="I479" s="25" t="str">
        <f>VLOOKUP(A479,[2]Sheet1!$A:$F,6,0)</f>
        <v>P&amp;G Line</v>
      </c>
      <c r="J479" s="25"/>
      <c r="K479" s="27" t="str">
        <f>VLOOKUP(A479,[2]Sheet1!$A:$N,14,0)</f>
        <v>Assuit City</v>
      </c>
    </row>
    <row r="480" spans="1:11">
      <c r="A480" s="28">
        <v>1722</v>
      </c>
      <c r="B480" s="34" t="s">
        <v>496</v>
      </c>
      <c r="C480" s="30" t="str">
        <f>VLOOKUP(B480,[2]Sheet1!$B:$C,2,0)</f>
        <v>David Thabet Mehanni</v>
      </c>
      <c r="D480" s="25" t="str">
        <f>VLOOKUP(B480,[2]Sheet1!$B:$H,7,0)</f>
        <v>MR</v>
      </c>
      <c r="E480" s="25">
        <f>VLOOKUP(C480,[2]Sheet1!$B:$M,12,0)</f>
        <v>1082</v>
      </c>
      <c r="F480" s="29">
        <v>36621087</v>
      </c>
      <c r="G480" s="31">
        <f>VLOOKUP(A480,[2]Sheet1!$A:$J,10,0)</f>
        <v>1551050502</v>
      </c>
      <c r="H480" s="32">
        <f>VLOOKUP(A480,[2]Sheet1!$A:$K,11,0)</f>
        <v>45871</v>
      </c>
      <c r="I480" s="25" t="str">
        <f>VLOOKUP(A480,[2]Sheet1!$A:$F,6,0)</f>
        <v>P&amp;G Line</v>
      </c>
      <c r="J480" s="25"/>
      <c r="K480" s="27" t="str">
        <f>VLOOKUP(A480,[2]Sheet1!$A:$N,14,0)</f>
        <v>Bani Swaif City</v>
      </c>
    </row>
    <row r="481" spans="1:11">
      <c r="A481" s="28">
        <v>1413</v>
      </c>
      <c r="B481" s="34" t="s">
        <v>497</v>
      </c>
      <c r="C481" s="30" t="str">
        <f>VLOOKUP(B481,[2]Sheet1!$B:$C,2,0)</f>
        <v>David Thabet Mehanni</v>
      </c>
      <c r="D481" s="25" t="str">
        <f>VLOOKUP(B481,[2]Sheet1!$B:$H,7,0)</f>
        <v>MR</v>
      </c>
      <c r="E481" s="25">
        <f>VLOOKUP(C481,[2]Sheet1!$B:$M,12,0)</f>
        <v>1082</v>
      </c>
      <c r="F481" s="29">
        <v>36621088</v>
      </c>
      <c r="G481" s="31">
        <f>VLOOKUP(A481,[2]Sheet1!$A:$J,10,0)</f>
        <v>1281263048</v>
      </c>
      <c r="H481" s="32">
        <f>VLOOKUP(A481,[2]Sheet1!$A:$K,11,0)</f>
        <v>45509</v>
      </c>
      <c r="I481" s="25" t="str">
        <f>VLOOKUP(A481,[2]Sheet1!$A:$F,6,0)</f>
        <v>P&amp;G Line</v>
      </c>
      <c r="J481" s="25"/>
      <c r="K481" s="27" t="str">
        <f>VLOOKUP(A481,[2]Sheet1!$A:$N,14,0)</f>
        <v>Samalout</v>
      </c>
    </row>
    <row r="482" spans="1:11">
      <c r="A482" s="28">
        <v>1448</v>
      </c>
      <c r="B482" s="34" t="s">
        <v>498</v>
      </c>
      <c r="C482" s="30" t="str">
        <f>VLOOKUP(B482,[2]Sheet1!$B:$C,2,0)</f>
        <v>L4_Vacant_Upper Egypt 2</v>
      </c>
      <c r="D482" s="25" t="str">
        <f>VLOOKUP(B482,[2]Sheet1!$B:$H,7,0)</f>
        <v>MR</v>
      </c>
      <c r="E482" s="25"/>
      <c r="F482" s="29">
        <v>36621090</v>
      </c>
      <c r="G482" s="31">
        <f>VLOOKUP(A482,[2]Sheet1!$A:$J,10,0)</f>
        <v>1061048527</v>
      </c>
      <c r="H482" s="32">
        <f>VLOOKUP(A482,[2]Sheet1!$A:$K,11,0)</f>
        <v>45566</v>
      </c>
      <c r="I482" s="25" t="str">
        <f>VLOOKUP(A482,[2]Sheet1!$A:$F,6,0)</f>
        <v>P&amp;G Line</v>
      </c>
      <c r="J482" s="25"/>
      <c r="K482" s="27" t="str">
        <f>VLOOKUP(A482,[2]Sheet1!$A:$N,14,0)</f>
        <v>Quena City</v>
      </c>
    </row>
    <row r="483" spans="1:11">
      <c r="A483" s="28">
        <v>1770</v>
      </c>
      <c r="B483" s="34" t="s">
        <v>499</v>
      </c>
      <c r="C483" s="30" t="str">
        <f>VLOOKUP(B483,[2]Sheet1!$B:$C,2,0)</f>
        <v>L4_Vacant_Upper Egypt 2</v>
      </c>
      <c r="D483" s="25" t="str">
        <f>VLOOKUP(B483,[2]Sheet1!$B:$H,7,0)</f>
        <v>MR</v>
      </c>
      <c r="E483" s="25"/>
      <c r="F483" s="29">
        <v>36621091</v>
      </c>
      <c r="G483" s="31">
        <f>VLOOKUP(A483,[2]Sheet1!$A:$J,10,0)</f>
        <v>1095167489</v>
      </c>
      <c r="H483" s="32">
        <f>VLOOKUP(A483,[2]Sheet1!$A:$K,11,0)</f>
        <v>45941</v>
      </c>
      <c r="I483" s="25" t="str">
        <f>VLOOKUP(A483,[2]Sheet1!$A:$F,6,0)</f>
        <v>P&amp;G Line</v>
      </c>
      <c r="J483" s="25"/>
      <c r="K483" s="27" t="str">
        <f>VLOOKUP(A483,[2]Sheet1!$A:$N,14,0)</f>
        <v>Sohag City</v>
      </c>
    </row>
    <row r="484" spans="1:11">
      <c r="A484" s="28">
        <v>1409</v>
      </c>
      <c r="B484" s="34" t="s">
        <v>500</v>
      </c>
      <c r="C484" s="30" t="str">
        <f>VLOOKUP(B484,[2]Sheet1!$B:$C,2,0)</f>
        <v>L4_Vacant_Upper Egypt 2</v>
      </c>
      <c r="D484" s="25" t="str">
        <f>VLOOKUP(B484,[2]Sheet1!$B:$H,7,0)</f>
        <v>MR</v>
      </c>
      <c r="E484" s="25"/>
      <c r="F484" s="29">
        <v>36621092</v>
      </c>
      <c r="G484" s="31">
        <f>VLOOKUP(A484,[2]Sheet1!$A:$J,10,0)</f>
        <v>1011260873</v>
      </c>
      <c r="H484" s="32">
        <f>VLOOKUP(A484,[2]Sheet1!$A:$K,11,0)</f>
        <v>45493</v>
      </c>
      <c r="I484" s="25" t="str">
        <f>VLOOKUP(A484,[2]Sheet1!$A:$F,6,0)</f>
        <v>P&amp;G Line</v>
      </c>
      <c r="J484" s="25"/>
      <c r="K484" s="27" t="str">
        <f>VLOOKUP(A484,[2]Sheet1!$A:$N,14,0)</f>
        <v>Luxor City</v>
      </c>
    </row>
    <row r="485" spans="1:11">
      <c r="A485" s="36">
        <v>1414</v>
      </c>
      <c r="B485" s="30" t="s">
        <v>501</v>
      </c>
      <c r="C485" s="30" t="str">
        <f>VLOOKUP(B485,[2]Sheet1!$B:$C,2,0)</f>
        <v>L4_Vacant_Upper Egypt 2</v>
      </c>
      <c r="D485" s="25" t="str">
        <f>VLOOKUP(B485,[2]Sheet1!$B:$H,7,0)</f>
        <v>MR</v>
      </c>
      <c r="E485" s="25"/>
      <c r="F485" s="29">
        <v>36621093</v>
      </c>
      <c r="G485" s="31">
        <f>VLOOKUP(A485,[2]Sheet1!$A:$J,10,0)</f>
        <v>1282084773</v>
      </c>
      <c r="H485" s="32">
        <f>VLOOKUP(A485,[2]Sheet1!$A:$K,11,0)</f>
        <v>45505</v>
      </c>
      <c r="I485" s="25" t="str">
        <f>VLOOKUP(A485,[2]Sheet1!$A:$F,6,0)</f>
        <v>P&amp;G Line</v>
      </c>
      <c r="J485" s="25"/>
      <c r="K485" s="27" t="str">
        <f>VLOOKUP(A485,[2]Sheet1!$A:$N,14,0)</f>
        <v>Aswan City</v>
      </c>
    </row>
    <row r="486" spans="1:11">
      <c r="A486" s="36">
        <v>1500</v>
      </c>
      <c r="B486" s="30" t="s">
        <v>502</v>
      </c>
      <c r="C486" s="30" t="str">
        <f>VLOOKUP(B486,[2]Sheet1!$B:$C,2,0)</f>
        <v>L4_Vacant_Upper Egypt 2</v>
      </c>
      <c r="D486" s="25" t="str">
        <f>VLOOKUP(B486,[2]Sheet1!$B:$H,7,0)</f>
        <v>MR</v>
      </c>
      <c r="E486" s="25"/>
      <c r="F486" s="29">
        <v>36621094</v>
      </c>
      <c r="G486" s="31">
        <f>VLOOKUP(A486,[2]Sheet1!$A:$J,10,0)</f>
        <v>1552992067</v>
      </c>
      <c r="H486" s="32">
        <f>VLOOKUP(A486,[2]Sheet1!$A:$K,11,0)</f>
        <v>45675</v>
      </c>
      <c r="I486" s="25" t="str">
        <f>VLOOKUP(A486,[2]Sheet1!$A:$F,6,0)</f>
        <v>P&amp;G Line</v>
      </c>
      <c r="J486" s="25"/>
      <c r="K486" s="27" t="str">
        <f>VLOOKUP(A486,[2]Sheet1!$A:$N,14,0)</f>
        <v>Gerga</v>
      </c>
    </row>
    <row r="487" spans="1:11">
      <c r="A487" s="37">
        <v>1333</v>
      </c>
      <c r="B487" s="25" t="s">
        <v>503</v>
      </c>
      <c r="C487" s="30" t="str">
        <f>VLOOKUP(B487,[2]Sheet1!$B:$C,2,0)</f>
        <v>L4_Vacant_Upper Egypt 2</v>
      </c>
      <c r="D487" s="25" t="str">
        <f>VLOOKUP(B487,[2]Sheet1!$B:$H,7,0)</f>
        <v>MR</v>
      </c>
      <c r="E487" s="25"/>
      <c r="F487" s="29">
        <v>36621095</v>
      </c>
      <c r="G487" s="31">
        <f>VLOOKUP(A487,[2]Sheet1!$A:$J,10,0)</f>
        <v>1281967548</v>
      </c>
      <c r="H487" s="32">
        <f>VLOOKUP(A487,[2]Sheet1!$A:$K,11,0)</f>
        <v>45318</v>
      </c>
      <c r="I487" s="25" t="str">
        <f>VLOOKUP(A487,[2]Sheet1!$A:$F,6,0)</f>
        <v>P&amp;G Line</v>
      </c>
      <c r="J487" s="25"/>
      <c r="K487" s="27" t="str">
        <f>VLOOKUP(A487,[2]Sheet1!$A:$N,14,0)</f>
        <v>Nagaa Hamady</v>
      </c>
    </row>
    <row r="488" spans="1:11">
      <c r="A488" s="37">
        <v>120</v>
      </c>
      <c r="B488" s="25" t="s">
        <v>504</v>
      </c>
      <c r="C488" s="25"/>
      <c r="D488" s="25" t="str">
        <f>VLOOKUP(B488,[2]Sheet1!$B:$H,7,0)</f>
        <v>Market Access Manager</v>
      </c>
      <c r="E488" s="25"/>
      <c r="F488" s="29">
        <v>36621096</v>
      </c>
      <c r="G488" s="31"/>
      <c r="H488" s="32">
        <f>VLOOKUP(A488,[2]Sheet1!$A:$K,11,0)</f>
        <v>42345</v>
      </c>
      <c r="I488" s="25" t="str">
        <f>VLOOKUP(A488,[2]Sheet1!$A:$F,6,0)</f>
        <v>Mega Account Line</v>
      </c>
      <c r="J488" s="25" t="str">
        <f>VLOOKUP(A488,[2]Sheet1!$A:$L,12,0)</f>
        <v>mohamed.elgendy@averroes-eg.com</v>
      </c>
      <c r="K488" s="27" t="str">
        <f>VLOOKUP(A488,[2]Sheet1!$A:$N,14,0)</f>
        <v>Badr City</v>
      </c>
    </row>
    <row r="489" spans="1:11">
      <c r="A489" s="37">
        <v>1273</v>
      </c>
      <c r="B489" s="25" t="s">
        <v>505</v>
      </c>
      <c r="C489" s="25" t="str">
        <f>VLOOKUP(B489,[2]Sheet1!$B:$D,3,0)</f>
        <v>Mohamed Sayed Elgendy</v>
      </c>
      <c r="D489" s="25" t="str">
        <f>VLOOKUP(B489,[2]Sheet1!$B:$H,7,0)</f>
        <v>Key Account Specialist </v>
      </c>
      <c r="E489" s="25">
        <f>VLOOKUP(C489,[2]Sheet1!$B:$M,12,0)</f>
        <v>120</v>
      </c>
      <c r="F489" s="29">
        <v>36621097</v>
      </c>
      <c r="G489" s="31">
        <f>VLOOKUP(A489,[2]Sheet1!$A:$J,10,0)</f>
        <v>1553333935</v>
      </c>
      <c r="H489" s="32">
        <f>VLOOKUP(A489,[2]Sheet1!$A:$K,11,0)</f>
        <v>45187</v>
      </c>
      <c r="I489" s="25" t="str">
        <f>VLOOKUP(A489,[2]Sheet1!$A:$F,6,0)</f>
        <v>Mega Account Line</v>
      </c>
      <c r="J489" s="25"/>
      <c r="K489" s="27">
        <f>VLOOKUP(A489,[2]Sheet1!$A:$I,9,0)</f>
        <v>0</v>
      </c>
    </row>
    <row r="490" spans="1:11">
      <c r="A490" s="37">
        <v>334</v>
      </c>
      <c r="B490" s="25" t="s">
        <v>506</v>
      </c>
      <c r="C490" s="25" t="str">
        <f>VLOOKUP(B490,[2]Sheet1!$B:$D,3,0)</f>
        <v>Mohamed Sayed Elgendy</v>
      </c>
      <c r="D490" s="25" t="str">
        <f>VLOOKUP(B490,[2]Sheet1!$B:$H,7,0)</f>
        <v>Key Account Specialist </v>
      </c>
      <c r="E490" s="25">
        <f>VLOOKUP(C490,[2]Sheet1!$B:$M,12,0)</f>
        <v>120</v>
      </c>
      <c r="F490" s="29">
        <v>36621098</v>
      </c>
      <c r="G490" s="31" t="str">
        <f>VLOOKUP(A490,[2]Sheet1!$A:$J,10,0)</f>
        <v> 1030814333</v>
      </c>
      <c r="H490" s="32">
        <f>VLOOKUP(A490,[2]Sheet1!$A:$K,11,0)</f>
        <v>43326</v>
      </c>
      <c r="I490" s="25" t="str">
        <f>VLOOKUP(A490,[2]Sheet1!$A:$F,6,0)</f>
        <v>Mega Account Line</v>
      </c>
      <c r="J490" s="25"/>
      <c r="K490" s="27" t="str">
        <f>VLOOKUP(A490,[2]Sheet1!$A:$N,14,0)</f>
        <v>El Qabary</v>
      </c>
    </row>
    <row r="491" spans="1:11">
      <c r="A491" s="37">
        <v>1710</v>
      </c>
      <c r="B491" s="25" t="s">
        <v>507</v>
      </c>
      <c r="C491" s="25" t="str">
        <f>VLOOKUP(B491,[2]Sheet1!$B:$D,3,0)</f>
        <v>Mohamed Sayed Elgendy</v>
      </c>
      <c r="D491" s="25" t="str">
        <f>VLOOKUP(B491,[2]Sheet1!$B:$H,7,0)</f>
        <v>Key Account Specialist </v>
      </c>
      <c r="E491" s="25">
        <f>VLOOKUP(C491,[2]Sheet1!$B:$M,12,0)</f>
        <v>120</v>
      </c>
      <c r="F491" s="29">
        <v>36621099</v>
      </c>
      <c r="G491" s="31">
        <f>VLOOKUP(A491,[2]Sheet1!$A:$J,10,0)</f>
        <v>1116696270</v>
      </c>
      <c r="H491" s="32">
        <f>VLOOKUP(A491,[2]Sheet1!$A:$K,11,0)</f>
        <v>45852</v>
      </c>
      <c r="I491" s="25" t="str">
        <f>VLOOKUP(A491,[2]Sheet1!$A:$F,6,0)</f>
        <v>Mega Account Line</v>
      </c>
      <c r="J491" s="25"/>
      <c r="K491" s="27" t="str">
        <f>VLOOKUP(A491,[2]Sheet1!$A:$N,14,0)</f>
        <v>El Sheikh Zayed</v>
      </c>
    </row>
    <row r="492" spans="1:11">
      <c r="A492" s="37">
        <v>1817</v>
      </c>
      <c r="B492" s="25" t="s">
        <v>508</v>
      </c>
      <c r="C492" s="25" t="str">
        <f>VLOOKUP(B492,[2]Sheet1!$B:$D,3,0)</f>
        <v>Mohamed Sayed Elgendy</v>
      </c>
      <c r="D492" s="25" t="str">
        <f>VLOOKUP(B492,[2]Sheet1!$B:$H,7,0)</f>
        <v>Key Account Specialist </v>
      </c>
      <c r="E492" s="25">
        <f>VLOOKUP(C492,[2]Sheet1!$B:$M,12,0)</f>
        <v>120</v>
      </c>
      <c r="F492" s="29">
        <v>36621100</v>
      </c>
      <c r="G492" s="31">
        <f>VLOOKUP(A492,[2]Sheet1!$A:$J,10,0)</f>
        <v>1121462985</v>
      </c>
      <c r="H492" s="32">
        <f>VLOOKUP(A492,[2]Sheet1!$A:$K,11,0)</f>
        <v>45992</v>
      </c>
      <c r="I492" s="25" t="str">
        <f>VLOOKUP(A492,[2]Sheet1!$A:$F,6,0)</f>
        <v>Mega Account Line</v>
      </c>
      <c r="J492" s="25"/>
      <c r="K492" s="27" t="str">
        <f>VLOOKUP(A492,[2]Sheet1!$A:$N,14,0)</f>
        <v>El marg</v>
      </c>
    </row>
    <row r="493" spans="1:11">
      <c r="A493" s="37">
        <v>1556</v>
      </c>
      <c r="B493" s="25" t="s">
        <v>509</v>
      </c>
      <c r="C493" s="25" t="str">
        <f>VLOOKUP(B493,[2]Sheet1!$B:$D,3,0)</f>
        <v>Mohamed Sayed Elgendy</v>
      </c>
      <c r="D493" s="25" t="str">
        <f>VLOOKUP(B493,[2]Sheet1!$B:$H,7,0)</f>
        <v>Key Account Specialist </v>
      </c>
      <c r="E493" s="25">
        <f>VLOOKUP(C493,[2]Sheet1!$B:$M,12,0)</f>
        <v>120</v>
      </c>
      <c r="F493" s="29">
        <v>36621101</v>
      </c>
      <c r="G493" s="31">
        <f>VLOOKUP(A493,[2]Sheet1!$A:$J,10,0)</f>
        <v>1221908617</v>
      </c>
      <c r="H493" s="32">
        <f>VLOOKUP(A493,[2]Sheet1!$A:$K,11,0)</f>
        <v>45675</v>
      </c>
      <c r="I493" s="25" t="str">
        <f>VLOOKUP(A493,[2]Sheet1!$A:$F,6,0)</f>
        <v>Mega Account Line</v>
      </c>
      <c r="J493" s="25"/>
      <c r="K493" s="27" t="str">
        <f>VLOOKUP(A493,[2]Sheet1!$A:$N,14,0)</f>
        <v>Hadaek El Kobbah</v>
      </c>
    </row>
    <row r="494" spans="1:11">
      <c r="A494" s="37">
        <v>1772</v>
      </c>
      <c r="B494" s="25" t="s">
        <v>510</v>
      </c>
      <c r="C494" s="25" t="str">
        <f>VLOOKUP(B494,[2]Sheet1!$B:$E,4,0)</f>
        <v>Islam Mohamed Elsayed</v>
      </c>
      <c r="D494" s="25" t="str">
        <f>VLOOKUP(B494,[2]Sheet1!$B:$H,7,0)</f>
        <v>Sales Rep</v>
      </c>
      <c r="E494" s="25">
        <v>884</v>
      </c>
      <c r="F494" s="29">
        <v>36621103</v>
      </c>
      <c r="G494" s="31">
        <f>VLOOKUP(A494,[2]Sheet1!$A:$J,10,0)</f>
        <v>1505491311</v>
      </c>
      <c r="H494" s="32">
        <f>VLOOKUP(A494,[2]Sheet1!$A:$K,11,0)</f>
        <v>45944</v>
      </c>
      <c r="I494" s="25" t="str">
        <f>VLOOKUP(A494,[2]Sheet1!$A:$F,6,0)</f>
        <v>Distribution Line</v>
      </c>
      <c r="J494" s="25"/>
      <c r="K494" s="27">
        <f>VLOOKUP(A494,[2]Sheet1!$A:$I,9,0)</f>
        <v>0</v>
      </c>
    </row>
    <row r="495" spans="1:11">
      <c r="A495" s="37">
        <v>1192</v>
      </c>
      <c r="B495" s="25" t="s">
        <v>511</v>
      </c>
      <c r="C495" s="25" t="str">
        <f>VLOOKUP(B495,[2]Sheet1!$B:$E,4,0)</f>
        <v>Islam Mohamed Elsayed</v>
      </c>
      <c r="D495" s="25" t="str">
        <f>VLOOKUP(B495,[2]Sheet1!$B:$H,7,0)</f>
        <v>Sales Rep</v>
      </c>
      <c r="E495" s="25">
        <v>884</v>
      </c>
      <c r="F495" s="29">
        <v>36621104</v>
      </c>
      <c r="G495" s="31" t="str">
        <f>VLOOKUP(A495,[2]Sheet1!$A:$J,10,0)</f>
        <v> 01224741224</v>
      </c>
      <c r="H495" s="32">
        <f>VLOOKUP(A495,[2]Sheet1!$A:$K,11,0)</f>
        <v>44966</v>
      </c>
      <c r="I495" s="25" t="str">
        <f>VLOOKUP(A495,[2]Sheet1!$A:$F,6,0)</f>
        <v>Distribution Line</v>
      </c>
      <c r="J495" s="25"/>
      <c r="K495" s="27">
        <f>VLOOKUP(A495,[2]Sheet1!$A:$I,9,0)</f>
        <v>0</v>
      </c>
    </row>
    <row r="496" spans="1:11">
      <c r="A496" s="37">
        <v>1831</v>
      </c>
      <c r="B496" s="25" t="s">
        <v>512</v>
      </c>
      <c r="C496" s="25" t="str">
        <f>VLOOKUP(B496,[2]Sheet1!$B:$E,4,0)</f>
        <v>Islam Mohamed Elsayed</v>
      </c>
      <c r="D496" s="25" t="str">
        <f>VLOOKUP(B496,[2]Sheet1!$B:$H,7,0)</f>
        <v>Sales Rep</v>
      </c>
      <c r="E496" s="25">
        <v>884</v>
      </c>
      <c r="F496" s="29">
        <v>36621105</v>
      </c>
      <c r="G496" s="31">
        <f>VLOOKUP(A496,[2]Sheet1!$A:$J,10,0)</f>
        <v>1094331617</v>
      </c>
      <c r="H496" s="32">
        <f>VLOOKUP(A496,[2]Sheet1!$A:$K,11,0)</f>
        <v>46026</v>
      </c>
      <c r="I496" s="25" t="str">
        <f>VLOOKUP(A496,[2]Sheet1!$A:$F,6,0)</f>
        <v>Distribution Line</v>
      </c>
      <c r="J496" s="25"/>
      <c r="K496" s="27" t="str">
        <f>VLOOKUP(A496,[2]Sheet1!$A:$N,14,0)</f>
        <v>Domiat</v>
      </c>
    </row>
    <row r="497" spans="1:11">
      <c r="A497" s="37">
        <v>1774</v>
      </c>
      <c r="B497" s="25" t="s">
        <v>513</v>
      </c>
      <c r="C497" s="25" t="str">
        <f>VLOOKUP(B497,[2]Sheet1!$B:$E,4,0)</f>
        <v>Islam Mohamed Elsayed</v>
      </c>
      <c r="D497" s="25" t="str">
        <f>VLOOKUP(B497,[2]Sheet1!$B:$H,7,0)</f>
        <v>Sales Rep</v>
      </c>
      <c r="E497" s="25">
        <v>884</v>
      </c>
      <c r="F497" s="29">
        <v>36621106</v>
      </c>
      <c r="G497" s="31">
        <f>VLOOKUP(A497,[2]Sheet1!$A:$J,10,0)</f>
        <v>1283454778</v>
      </c>
      <c r="H497" s="32">
        <f>VLOOKUP(A497,[2]Sheet1!$A:$K,11,0)</f>
        <v>45944</v>
      </c>
      <c r="I497" s="25" t="str">
        <f>VLOOKUP(A497,[2]Sheet1!$A:$F,6,0)</f>
        <v>Distribution Line</v>
      </c>
      <c r="J497" s="25"/>
      <c r="K497" s="27">
        <f>VLOOKUP(A497,[2]Sheet1!$A:$I,9,0)</f>
        <v>0</v>
      </c>
    </row>
    <row r="498" spans="1:11">
      <c r="A498" s="37">
        <v>1773</v>
      </c>
      <c r="B498" s="25" t="s">
        <v>514</v>
      </c>
      <c r="C498" s="25" t="str">
        <f>VLOOKUP(B498,[2]Sheet1!$B:$E,4,0)</f>
        <v>Islam Mohamed Elsayed</v>
      </c>
      <c r="D498" s="25" t="str">
        <f>VLOOKUP(B498,[2]Sheet1!$B:$H,7,0)</f>
        <v>Sales SV</v>
      </c>
      <c r="E498" s="25">
        <v>884</v>
      </c>
      <c r="F498" s="29">
        <v>36621107</v>
      </c>
      <c r="G498" s="31">
        <f>VLOOKUP(A498,[2]Sheet1!$A:$J,10,0)</f>
        <v>1069606665</v>
      </c>
      <c r="H498" s="32">
        <f>VLOOKUP(A498,[2]Sheet1!$A:$K,11,0)</f>
        <v>45943</v>
      </c>
      <c r="I498" s="25" t="str">
        <f>VLOOKUP(A498,[2]Sheet1!$A:$F,6,0)</f>
        <v>Distribution Line</v>
      </c>
      <c r="J498" s="25"/>
      <c r="K498" s="27">
        <f>VLOOKUP(A498,[2]Sheet1!$A:$I,9,0)</f>
        <v>0</v>
      </c>
    </row>
    <row r="499" spans="1:11">
      <c r="A499" s="37">
        <v>1830</v>
      </c>
      <c r="B499" s="25" t="s">
        <v>515</v>
      </c>
      <c r="C499" s="25" t="str">
        <f>VLOOKUP(B499,[2]Sheet1!$B:$E,4,0)</f>
        <v>Islam Mohamed Elsayed</v>
      </c>
      <c r="D499" s="25" t="str">
        <f>VLOOKUP(B499,[2]Sheet1!$B:$H,7,0)</f>
        <v>Sales Rep</v>
      </c>
      <c r="E499" s="25">
        <v>884</v>
      </c>
      <c r="F499" s="29">
        <v>36621108</v>
      </c>
      <c r="G499" s="31">
        <f>VLOOKUP(A499,[2]Sheet1!$A:$J,10,0)</f>
        <v>1119888700</v>
      </c>
      <c r="H499" s="32">
        <f>VLOOKUP(A499,[2]Sheet1!$A:$K,11,0)</f>
        <v>46025</v>
      </c>
      <c r="I499" s="25" t="str">
        <f>VLOOKUP(A499,[2]Sheet1!$A:$F,6,0)</f>
        <v>Distribution Line</v>
      </c>
      <c r="J499" s="25"/>
      <c r="K499" s="27" t="str">
        <f>VLOOKUP(A499,[2]Sheet1!$A:$N,14,0)</f>
        <v>Malawy</v>
      </c>
    </row>
    <row r="500" spans="1:11">
      <c r="A500" s="37">
        <v>1788</v>
      </c>
      <c r="B500" s="25" t="s">
        <v>516</v>
      </c>
      <c r="C500" s="25" t="str">
        <f>VLOOKUP(B500,[2]Sheet1!$B:$E,4,0)</f>
        <v>Islam Mohamed Elsayed</v>
      </c>
      <c r="D500" s="25" t="str">
        <f>VLOOKUP(B500,[2]Sheet1!$B:$H,7,0)</f>
        <v>Sales Rep</v>
      </c>
      <c r="E500" s="25">
        <v>884</v>
      </c>
      <c r="F500" s="29">
        <v>36621109</v>
      </c>
      <c r="G500" s="31">
        <f>VLOOKUP(A500,[2]Sheet1!$A:$J,10,0)</f>
        <v>1066576566</v>
      </c>
      <c r="H500" s="32">
        <f>VLOOKUP(A500,[2]Sheet1!$A:$K,11,0)</f>
        <v>45963</v>
      </c>
      <c r="I500" s="25" t="str">
        <f>VLOOKUP(A500,[2]Sheet1!$A:$F,6,0)</f>
        <v>Distribution Line</v>
      </c>
      <c r="J500" s="25"/>
      <c r="K500" s="27">
        <f>VLOOKUP(A500,[2]Sheet1!$A:$I,9,0)</f>
        <v>0</v>
      </c>
    </row>
    <row r="501" spans="1:11">
      <c r="A501" s="37">
        <v>1789</v>
      </c>
      <c r="B501" s="25" t="s">
        <v>517</v>
      </c>
      <c r="C501" s="25" t="str">
        <f>VLOOKUP(B501,[2]Sheet1!$B:$E,4,0)</f>
        <v>Islam Mohamed Elsayed</v>
      </c>
      <c r="D501" s="25" t="str">
        <f>VLOOKUP(B501,[2]Sheet1!$B:$H,7,0)</f>
        <v>Sales Rep</v>
      </c>
      <c r="E501" s="25">
        <v>884</v>
      </c>
      <c r="F501" s="29">
        <v>36621110</v>
      </c>
      <c r="G501" s="31">
        <f>VLOOKUP(A501,[2]Sheet1!$A:$J,10,0)</f>
        <v>1018648886</v>
      </c>
      <c r="H501" s="32">
        <f>VLOOKUP(A501,[2]Sheet1!$A:$K,11,0)</f>
        <v>45963</v>
      </c>
      <c r="I501" s="25" t="str">
        <f>VLOOKUP(A501,[2]Sheet1!$A:$F,6,0)</f>
        <v>Distribution Line</v>
      </c>
      <c r="J501" s="25"/>
      <c r="K501" s="27">
        <f>VLOOKUP(A501,[2]Sheet1!$A:$I,9,0)</f>
        <v>0</v>
      </c>
    </row>
    <row r="502" spans="1:11">
      <c r="A502" s="37">
        <v>1715</v>
      </c>
      <c r="B502" s="25" t="s">
        <v>518</v>
      </c>
      <c r="C502" s="25" t="str">
        <f>VLOOKUP(B502,[2]Sheet1!$B:$E,4,0)</f>
        <v>Islam Mohamed Elsayed</v>
      </c>
      <c r="D502" s="25" t="str">
        <f>VLOOKUP(B502,[2]Sheet1!$B:$H,7,0)</f>
        <v>Sales Rep</v>
      </c>
      <c r="E502" s="25">
        <v>884</v>
      </c>
      <c r="F502" s="29">
        <v>36621111</v>
      </c>
      <c r="G502" s="31">
        <f>VLOOKUP(A502,[2]Sheet1!$A:$J,10,0)</f>
        <v>1212146490</v>
      </c>
      <c r="H502" s="32">
        <f>VLOOKUP(A502,[2]Sheet1!$A:$K,11,0)</f>
        <v>45832</v>
      </c>
      <c r="I502" s="25" t="str">
        <f>VLOOKUP(A502,[2]Sheet1!$A:$F,6,0)</f>
        <v>Distribution Line</v>
      </c>
      <c r="J502" s="25"/>
      <c r="K502" s="27">
        <f>VLOOKUP(A502,[2]Sheet1!$A:$I,9,0)</f>
        <v>0</v>
      </c>
    </row>
    <row r="503" spans="1:11">
      <c r="A503" s="37">
        <v>1786</v>
      </c>
      <c r="B503" s="25" t="s">
        <v>519</v>
      </c>
      <c r="C503" s="25" t="str">
        <f>VLOOKUP(B503,[2]Sheet1!$B:$E,4,0)</f>
        <v>Islam Mohamed Elsayed</v>
      </c>
      <c r="D503" s="25" t="str">
        <f>VLOOKUP(B503,[2]Sheet1!$B:$H,7,0)</f>
        <v>Sales SV</v>
      </c>
      <c r="E503" s="25">
        <v>884</v>
      </c>
      <c r="F503" s="29">
        <v>36621112</v>
      </c>
      <c r="G503" s="31">
        <f>VLOOKUP(A503,[2]Sheet1!$A:$J,10,0)</f>
        <v>1033776652</v>
      </c>
      <c r="H503" s="32">
        <f>VLOOKUP(A503,[2]Sheet1!$A:$K,11,0)</f>
        <v>45963</v>
      </c>
      <c r="I503" s="25" t="str">
        <f>VLOOKUP(A503,[2]Sheet1!$A:$F,6,0)</f>
        <v>Distribution Line</v>
      </c>
      <c r="J503" s="25"/>
      <c r="K503" s="27">
        <f>VLOOKUP(A503,[2]Sheet1!$A:$I,9,0)</f>
        <v>0</v>
      </c>
    </row>
    <row r="504" spans="1:11">
      <c r="A504" s="37">
        <v>1717</v>
      </c>
      <c r="B504" s="25" t="s">
        <v>520</v>
      </c>
      <c r="C504" s="25" t="str">
        <f>VLOOKUP(B504,[2]Sheet1!$B:$E,4,0)</f>
        <v>Islam Mohamed Elsayed</v>
      </c>
      <c r="D504" s="25" t="str">
        <f>VLOOKUP(B504,[2]Sheet1!$B:$H,7,0)</f>
        <v>Sales Rep</v>
      </c>
      <c r="E504" s="25">
        <v>884</v>
      </c>
      <c r="F504" s="29">
        <v>36621113</v>
      </c>
      <c r="G504" s="31">
        <f>VLOOKUP(A504,[2]Sheet1!$A:$J,10,0)</f>
        <v>1097697093</v>
      </c>
      <c r="H504" s="32">
        <f>VLOOKUP(A504,[2]Sheet1!$A:$K,11,0)</f>
        <v>45832</v>
      </c>
      <c r="I504" s="25" t="str">
        <f>VLOOKUP(A504,[2]Sheet1!$A:$F,6,0)</f>
        <v>Distribution Line</v>
      </c>
      <c r="J504" s="25"/>
      <c r="K504" s="27">
        <f>VLOOKUP(A504,[2]Sheet1!$A:$I,9,0)</f>
        <v>0</v>
      </c>
    </row>
    <row r="505" spans="1:11">
      <c r="A505" s="37">
        <v>1799</v>
      </c>
      <c r="B505" s="25" t="s">
        <v>521</v>
      </c>
      <c r="C505" s="25" t="str">
        <f>VLOOKUP(B505,[2]Sheet1!$B:$E,4,0)</f>
        <v>Islam Mohamed Elsayed</v>
      </c>
      <c r="D505" s="25" t="str">
        <f>VLOOKUP(B505,[2]Sheet1!$B:$H,7,0)</f>
        <v>Sales Rep</v>
      </c>
      <c r="E505" s="25">
        <v>884</v>
      </c>
      <c r="F505" s="29">
        <v>36621114</v>
      </c>
      <c r="G505" s="31">
        <f>VLOOKUP(A505,[2]Sheet1!$A:$J,10,0)</f>
        <v>1017898020</v>
      </c>
      <c r="H505" s="32">
        <f>VLOOKUP(A505,[2]Sheet1!$A:$K,11,0)</f>
        <v>45963</v>
      </c>
      <c r="I505" s="25" t="str">
        <f>VLOOKUP(A505,[2]Sheet1!$A:$F,6,0)</f>
        <v>Distribution Line</v>
      </c>
      <c r="J505" s="25"/>
      <c r="K505" s="27">
        <f>VLOOKUP(A505,[2]Sheet1!$A:$I,9,0)</f>
        <v>0</v>
      </c>
    </row>
    <row r="506" spans="1:11">
      <c r="A506" s="37">
        <v>1803</v>
      </c>
      <c r="B506" s="25" t="s">
        <v>522</v>
      </c>
      <c r="C506" s="25" t="str">
        <f>VLOOKUP(B506,[2]Sheet1!$B:$E,4,0)</f>
        <v>Islam Mohamed Elsayed</v>
      </c>
      <c r="D506" s="25" t="str">
        <f>VLOOKUP(B506,[2]Sheet1!$B:$H,7,0)</f>
        <v>Sales Rep</v>
      </c>
      <c r="E506" s="25">
        <v>884</v>
      </c>
      <c r="F506" s="29">
        <v>36621115</v>
      </c>
      <c r="G506" s="31">
        <f>VLOOKUP(A506,[2]Sheet1!$A:$J,10,0)</f>
        <v>1029951581</v>
      </c>
      <c r="H506" s="32">
        <f>VLOOKUP(A506,[2]Sheet1!$A:$K,11,0)</f>
        <v>45983</v>
      </c>
      <c r="I506" s="25" t="str">
        <f>VLOOKUP(A506,[2]Sheet1!$A:$F,6,0)</f>
        <v>Distribution Line</v>
      </c>
      <c r="J506" s="25"/>
      <c r="K506" s="27">
        <f>VLOOKUP(A506,[2]Sheet1!$A:$I,9,0)</f>
        <v>0</v>
      </c>
    </row>
    <row r="507" spans="1:11">
      <c r="A507" s="37">
        <v>1787</v>
      </c>
      <c r="B507" s="25" t="s">
        <v>523</v>
      </c>
      <c r="C507" s="25" t="str">
        <f>VLOOKUP(B507,[2]Sheet1!$B:$E,4,0)</f>
        <v>Islam Mohamed Elsayed</v>
      </c>
      <c r="D507" s="25" t="str">
        <f>VLOOKUP(B507,[2]Sheet1!$B:$H,7,0)</f>
        <v>Sales Rep</v>
      </c>
      <c r="E507" s="25">
        <v>884</v>
      </c>
      <c r="F507" s="29">
        <v>36621116</v>
      </c>
      <c r="G507" s="31">
        <f>VLOOKUP(A507,[2]Sheet1!$A:$J,10,0)</f>
        <v>1281489455</v>
      </c>
      <c r="H507" s="32">
        <f>VLOOKUP(A507,[2]Sheet1!$A:$K,11,0)</f>
        <v>45963</v>
      </c>
      <c r="I507" s="25" t="str">
        <f>VLOOKUP(A507,[2]Sheet1!$A:$F,6,0)</f>
        <v>Distribution Line</v>
      </c>
      <c r="J507" s="25"/>
      <c r="K507" s="27">
        <f>VLOOKUP(A507,[2]Sheet1!$A:$I,9,0)</f>
        <v>0</v>
      </c>
    </row>
    <row r="508" spans="1:11">
      <c r="A508" s="37">
        <f>VLOOKUP(B508,[1]Office!$B:$K,10,0)</f>
        <v>248</v>
      </c>
      <c r="B508" s="25" t="s">
        <v>524</v>
      </c>
      <c r="C508" s="25"/>
      <c r="D508" s="25" t="str">
        <f>VLOOKUP(A508,[1]Office!$A:$G,7,0)</f>
        <v>Performance Excellence Manager</v>
      </c>
      <c r="E508" s="40" t="s">
        <v>18</v>
      </c>
      <c r="F508" s="29">
        <v>36621117</v>
      </c>
      <c r="G508" s="25">
        <f>VLOOKUP(A508,[1]Office!$A:$F,6,0)</f>
        <v>1118022106</v>
      </c>
      <c r="H508" s="38"/>
      <c r="I508" s="25" t="str">
        <f>VLOOKUP(A508,[1]Office!$A:$D,4,0)</f>
        <v>Compliance</v>
      </c>
      <c r="J508" s="34" t="str">
        <f>VLOOKUP(A508,[1]Office!$A:$E,5,0)</f>
        <v>walaa.marei@averroes-eg.com</v>
      </c>
      <c r="K508" s="27" t="s">
        <v>16</v>
      </c>
    </row>
    <row r="509" spans="1:11">
      <c r="A509" s="37">
        <f>VLOOKUP(B509,[1]Office!$B:$K,10,0)</f>
        <v>877</v>
      </c>
      <c r="B509" s="25" t="s">
        <v>525</v>
      </c>
      <c r="C509" s="25"/>
      <c r="D509" s="25" t="str">
        <f>VLOOKUP(A509,[1]Office!$A:$G,7,0)</f>
        <v>HR &amp; Training Manager</v>
      </c>
      <c r="E509" s="40" t="s">
        <v>18</v>
      </c>
      <c r="F509" s="29">
        <v>36621118</v>
      </c>
      <c r="G509" s="25">
        <f>VLOOKUP(A509,[1]Office!$A:$F,6,0)</f>
        <v>1021539224</v>
      </c>
      <c r="H509" s="38">
        <f>VLOOKUP(A509,[1]Office!$A:$I,9,0)</f>
        <v>44562</v>
      </c>
      <c r="I509" s="25" t="str">
        <f>VLOOKUP(A509,[1]Office!$A:$D,4,0)</f>
        <v>HR</v>
      </c>
      <c r="J509" s="34" t="str">
        <f>VLOOKUP(A509,[1]Office!$A:$E,5,0)</f>
        <v>Mohamed.Moneer.Hassan@averroes-eg.com</v>
      </c>
      <c r="K509" s="27" t="s">
        <v>16</v>
      </c>
    </row>
    <row r="510" spans="1:11">
      <c r="A510" s="37">
        <f>VLOOKUP(B510,[1]Office!$B:$K,10,0)</f>
        <v>181</v>
      </c>
      <c r="B510" s="25" t="s">
        <v>526</v>
      </c>
      <c r="C510" s="37" t="s">
        <v>524</v>
      </c>
      <c r="D510" s="25" t="str">
        <f>VLOOKUP(A510,[1]Office!$A:$G,7,0)</f>
        <v>SFE Manager</v>
      </c>
      <c r="E510" s="25">
        <f>VLOOKUP(C510,[1]Office!$B:$K,10,0)</f>
        <v>248</v>
      </c>
      <c r="F510" s="29">
        <v>36621119</v>
      </c>
      <c r="G510" s="25">
        <f>VLOOKUP(A510,[1]Office!$A:$F,6,0)</f>
        <v>1552497624</v>
      </c>
      <c r="H510" s="38"/>
      <c r="I510" s="25" t="str">
        <f>VLOOKUP(A510,[1]Office!$A:$D,4,0)</f>
        <v>SFE</v>
      </c>
      <c r="J510" s="34" t="str">
        <f>VLOOKUP(A510,[1]Office!$A:$E,5,0)</f>
        <v>mohamed.saied@averroes-eg.com</v>
      </c>
      <c r="K510" s="27" t="s">
        <v>16</v>
      </c>
    </row>
    <row r="511" spans="1:11">
      <c r="A511" s="37">
        <f>VLOOKUP(B511,[1]Office!$B:$K,10,0)</f>
        <v>659</v>
      </c>
      <c r="B511" s="25" t="s">
        <v>527</v>
      </c>
      <c r="C511" s="25"/>
      <c r="D511" s="25" t="str">
        <f>VLOOKUP(A511,[1]Office!$A:$G,7,0)</f>
        <v>Direct Sales Manager</v>
      </c>
      <c r="E511" s="40" t="s">
        <v>18</v>
      </c>
      <c r="F511" s="29">
        <v>36621120</v>
      </c>
      <c r="G511" s="25">
        <f>VLOOKUP(A511,[1]Office!$A:$F,6,0)</f>
        <v>1061444247</v>
      </c>
      <c r="H511" s="38"/>
      <c r="I511" s="25" t="str">
        <f>VLOOKUP(A511,[1]Office!$A:$D,4,0)</f>
        <v>Direct Sales</v>
      </c>
      <c r="J511" s="34" t="str">
        <f>VLOOKUP(A511,[1]Office!$A:$E,5,0)</f>
        <v>mohamed.abdelhameid@averroes-eg.com</v>
      </c>
      <c r="K511" s="27" t="s">
        <v>16</v>
      </c>
    </row>
    <row r="512" spans="1:11">
      <c r="A512" s="37">
        <f>VLOOKUP(B512,[1]Office!$B:$K,10,0)</f>
        <v>663</v>
      </c>
      <c r="B512" s="25" t="s">
        <v>528</v>
      </c>
      <c r="C512" s="25" t="str">
        <f>VLOOKUP(B512,[1]Office!$B:$C,2,0)</f>
        <v>Mohamed Saied</v>
      </c>
      <c r="D512" s="25" t="str">
        <f>VLOOKUP(A512,[1]Office!$A:$G,7,0)</f>
        <v>SFE Specialist</v>
      </c>
      <c r="E512" s="25">
        <f>VLOOKUP(C512,[1]Office!$B:$K,10,0)</f>
        <v>181</v>
      </c>
      <c r="F512" s="29">
        <v>36621121</v>
      </c>
      <c r="G512" s="25">
        <f>VLOOKUP(A512,[1]Office!$A:$F,6,0)</f>
        <v>1061444347</v>
      </c>
      <c r="H512" s="38"/>
      <c r="I512" s="25" t="str">
        <f>VLOOKUP(A512,[1]Office!$A:$D,4,0)</f>
        <v>SFE</v>
      </c>
      <c r="J512" s="34" t="str">
        <f>VLOOKUP(A512,[1]Office!$A:$E,5,0)</f>
        <v>mohamed.refaat@averroes-eg.com</v>
      </c>
      <c r="K512" s="27" t="s">
        <v>16</v>
      </c>
    </row>
    <row r="513" spans="1:11">
      <c r="A513" s="37">
        <f>VLOOKUP(B513,[1]Office!$B:$K,10,0)</f>
        <v>1124</v>
      </c>
      <c r="B513" s="25" t="s">
        <v>529</v>
      </c>
      <c r="C513" s="25" t="str">
        <f>VLOOKUP(B513,[1]Office!$B:$C,2,0)</f>
        <v>Mohamed Saied</v>
      </c>
      <c r="D513" s="25" t="str">
        <f>VLOOKUP(A513,[1]Office!$A:$G,7,0)</f>
        <v>SFE Specialist</v>
      </c>
      <c r="E513" s="25">
        <f>VLOOKUP(C513,[1]Office!$B:$K,10,0)</f>
        <v>181</v>
      </c>
      <c r="F513" s="29">
        <v>36621122</v>
      </c>
      <c r="G513" s="25">
        <f>VLOOKUP(A513,[1]Office!$A:$F,6,0)</f>
        <v>1066254912</v>
      </c>
      <c r="H513" s="38">
        <f>VLOOKUP(A513,[1]Office!$A:$I,9,0)</f>
        <v>44958</v>
      </c>
      <c r="I513" s="25" t="str">
        <f>VLOOKUP(A513,[1]Office!$A:$D,4,0)</f>
        <v>SFE</v>
      </c>
      <c r="J513" s="34" t="str">
        <f>VLOOKUP(A513,[1]Office!$A:$E,5,0)</f>
        <v>Fady.Saied.Ibrahim@averroes-eg.com</v>
      </c>
      <c r="K513" s="27" t="s">
        <v>16</v>
      </c>
    </row>
    <row r="514" spans="1:11">
      <c r="A514" s="37">
        <f>VLOOKUP(B514,[1]Office!$B:$K,10,0)</f>
        <v>1541</v>
      </c>
      <c r="B514" s="25" t="s">
        <v>530</v>
      </c>
      <c r="C514" s="25" t="str">
        <f>VLOOKUP(B514,[1]Office!$B:$C,2,0)</f>
        <v>Mohamed Saied</v>
      </c>
      <c r="D514" s="25" t="str">
        <f>VLOOKUP(A514,[1]Office!$A:$G,7,0)</f>
        <v>SFE Specialist</v>
      </c>
      <c r="E514" s="25">
        <f>VLOOKUP(C514,[1]Office!$B:$K,10,0)</f>
        <v>181</v>
      </c>
      <c r="F514" s="29">
        <v>36621123</v>
      </c>
      <c r="G514" s="25">
        <f>VLOOKUP(A514,[1]Office!$A:$F,6,0)</f>
        <v>1123823532</v>
      </c>
      <c r="H514" s="38">
        <f>VLOOKUP(A514,[1]Office!$A:$I,9,0)</f>
        <v>45710</v>
      </c>
      <c r="I514" s="25" t="str">
        <f>VLOOKUP(A514,[1]Office!$A:$D,4,0)</f>
        <v>SFE</v>
      </c>
      <c r="J514" s="34" t="str">
        <f>VLOOKUP(A514,[1]Office!$A:$E,5,0)</f>
        <v>Naglaa.AbdElKader@averroes-eg.com</v>
      </c>
      <c r="K514" s="27" t="s">
        <v>16</v>
      </c>
    </row>
    <row r="515" spans="1:11">
      <c r="A515" s="37">
        <f>VLOOKUP(B515,[1]Office!$B:$K,10,0)</f>
        <v>1751</v>
      </c>
      <c r="B515" s="25" t="s">
        <v>531</v>
      </c>
      <c r="C515" s="25" t="str">
        <f>VLOOKUP(B515,[1]Office!$B:$C,2,0)</f>
        <v>Mohamed Saied</v>
      </c>
      <c r="D515" s="25" t="str">
        <f>VLOOKUP(A515,[1]Office!$A:$G,7,0)</f>
        <v>SFE Specialist</v>
      </c>
      <c r="E515" s="25">
        <f>VLOOKUP(C515,[1]Office!$B:$K,10,0)</f>
        <v>181</v>
      </c>
      <c r="F515" s="29">
        <v>36621124</v>
      </c>
      <c r="G515" s="25">
        <f>VLOOKUP(A515,[1]Office!$A:$F,6,0)</f>
        <v>1274938471</v>
      </c>
      <c r="H515" s="38">
        <f>VLOOKUP(A515,[1]Office!$A:$I,9,0)</f>
        <v>45915</v>
      </c>
      <c r="I515" s="25" t="str">
        <f>VLOOKUP(A515,[1]Office!$A:$D,4,0)</f>
        <v>SFE</v>
      </c>
      <c r="J515" s="34" t="str">
        <f>VLOOKUP(A515,[1]Office!$A:$E,5,0)</f>
        <v>Peter.Nagdy@averroes-eg.com</v>
      </c>
      <c r="K515" s="27" t="s">
        <v>16</v>
      </c>
    </row>
    <row r="516" spans="1:11">
      <c r="A516" s="37">
        <f>VLOOKUP(B516,[1]Office!$B:$K,10,0)</f>
        <v>934</v>
      </c>
      <c r="B516" s="25" t="s">
        <v>532</v>
      </c>
      <c r="C516" s="25" t="str">
        <f>VLOOKUP(B516,[1]Office!$B:$C,2,0)</f>
        <v>Mohamed ellahoney</v>
      </c>
      <c r="D516" s="25" t="str">
        <f>VLOOKUP(A516,[1]Office!$A:$G,7,0)</f>
        <v>Training Specialist</v>
      </c>
      <c r="E516" s="25">
        <f>VLOOKUP(C516,[1]Office!$B:$K,10,0)</f>
        <v>666</v>
      </c>
      <c r="F516" s="29">
        <v>36621125</v>
      </c>
      <c r="G516" s="25">
        <f>VLOOKUP(A516,[1]Office!$A:$F,6,0)</f>
        <v>1279089941</v>
      </c>
      <c r="H516" s="38">
        <f>VLOOKUP(A516,[1]Office!$A:$I,9,0)</f>
        <v>44605</v>
      </c>
      <c r="I516" s="25" t="str">
        <f>VLOOKUP(A516,[1]Office!$A:$D,4,0)</f>
        <v>Training</v>
      </c>
      <c r="J516" s="34" t="str">
        <f>VLOOKUP(A516,[1]Office!$A:$E,5,0)</f>
        <v>Aghathon.Loukas.Mokhles@averroes-eg.com</v>
      </c>
      <c r="K516" s="27" t="s">
        <v>16</v>
      </c>
    </row>
    <row r="517" spans="1:11">
      <c r="A517" s="37">
        <f>VLOOKUP(B517,[1]Office!$B:$K,10,0)</f>
        <v>224</v>
      </c>
      <c r="B517" s="25" t="s">
        <v>533</v>
      </c>
      <c r="C517" s="25" t="str">
        <f>VLOOKUP(B517,[1]Office!$B:$C,2,0)</f>
        <v>Mohamed ellahoney</v>
      </c>
      <c r="D517" s="25" t="str">
        <f>VLOOKUP(A517,[1]Office!$A:$G,7,0)</f>
        <v>Senior Talent Acquisition</v>
      </c>
      <c r="E517" s="25">
        <v>877</v>
      </c>
      <c r="F517" s="29">
        <v>36621127</v>
      </c>
      <c r="G517" s="25">
        <f>VLOOKUP(A517,[1]Office!$A:$F,6,0)</f>
        <v>1112286918</v>
      </c>
      <c r="H517" s="38"/>
      <c r="I517" s="25" t="str">
        <f>VLOOKUP(A517,[1]Office!$A:$D,4,0)</f>
        <v>HR</v>
      </c>
      <c r="J517" s="34" t="str">
        <f>VLOOKUP(A517,[1]Office!$A:$E,5,0)</f>
        <v>habiba.tarek2@averroes-eg.com</v>
      </c>
      <c r="K517" s="27" t="s">
        <v>16</v>
      </c>
    </row>
    <row r="518" spans="1:11">
      <c r="A518" s="37">
        <f>VLOOKUP(B518,[1]Office!$B:$K,10,0)</f>
        <v>1795</v>
      </c>
      <c r="B518" s="25" t="s">
        <v>534</v>
      </c>
      <c r="C518" s="25" t="str">
        <f>VLOOKUP(B518,[1]Office!$B:$C,2,0)</f>
        <v>Mohamed ellahoney</v>
      </c>
      <c r="D518" s="25" t="str">
        <f>VLOOKUP(A518,[1]Office!$A:$G,7,0)</f>
        <v>HR Specialist</v>
      </c>
      <c r="E518" s="25">
        <v>877</v>
      </c>
      <c r="F518" s="29">
        <v>36621128</v>
      </c>
      <c r="G518" s="25">
        <f>VLOOKUP(A518,[1]Office!$A:$F,6,0)</f>
        <v>1095725086</v>
      </c>
      <c r="H518" s="38">
        <f>VLOOKUP(A518,[1]Office!$A:$I,9,0)</f>
        <v>45689</v>
      </c>
      <c r="I518" s="25" t="str">
        <f>VLOOKUP(A518,[1]Office!$A:$D,4,0)</f>
        <v>HR</v>
      </c>
      <c r="J518" s="34"/>
      <c r="K518" s="27" t="s">
        <v>16</v>
      </c>
    </row>
    <row r="519" spans="1:11">
      <c r="A519" s="37">
        <f>VLOOKUP(B519,[1]Office!$B:$K,10,0)</f>
        <v>1783</v>
      </c>
      <c r="B519" s="25" t="s">
        <v>535</v>
      </c>
      <c r="C519" s="25" t="str">
        <f>VLOOKUP(B519,[1]Office!$B:$C,2,0)</f>
        <v>Mohamed ellahoney</v>
      </c>
      <c r="D519" s="25" t="str">
        <f>VLOOKUP(A519,[1]Office!$A:$G,7,0)</f>
        <v>Senior Talent Acquisition</v>
      </c>
      <c r="E519" s="25">
        <v>877</v>
      </c>
      <c r="F519" s="29">
        <v>36621129</v>
      </c>
      <c r="G519" s="25" t="str">
        <f>VLOOKUP(A519,[1]Office!$A:$F,6,0)</f>
        <v>1003282528 </v>
      </c>
      <c r="H519" s="38">
        <f>VLOOKUP(A519,[1]Office!$A:$I,9,0)</f>
        <v>45963</v>
      </c>
      <c r="I519" s="25" t="str">
        <f>VLOOKUP(A519,[1]Office!$A:$D,4,0)</f>
        <v>HR</v>
      </c>
      <c r="J519" s="34" t="str">
        <f>VLOOKUP(A519,[1]Office!$A:$E,5,0)</f>
        <v>Shorouk.Sayed@averroes-eg.com</v>
      </c>
      <c r="K519" s="27" t="s">
        <v>16</v>
      </c>
    </row>
    <row r="520" spans="1:11">
      <c r="A520" s="37">
        <f>VLOOKUP(B520,[1]Office!$B:$K,10,0)</f>
        <v>1801</v>
      </c>
      <c r="B520" s="25" t="s">
        <v>536</v>
      </c>
      <c r="C520" s="25" t="str">
        <f>VLOOKUP(B520,[1]Office!$B:$C,2,0)</f>
        <v>Mohamed ellahoney</v>
      </c>
      <c r="D520" s="25" t="str">
        <f>VLOOKUP(A520,[1]Office!$A:$G,7,0)</f>
        <v>HR Specialist</v>
      </c>
      <c r="E520" s="25">
        <v>877</v>
      </c>
      <c r="F520" s="29">
        <v>36621130</v>
      </c>
      <c r="G520" s="25" t="str">
        <f>VLOOKUP(A520,[1]Office!$A:$F,6,0)</f>
        <v>1055982844 </v>
      </c>
      <c r="H520" s="38">
        <f>VLOOKUP(A520,[1]Office!$A:$I,9,0)</f>
        <v>45977</v>
      </c>
      <c r="I520" s="25" t="str">
        <f>VLOOKUP(A520,[1]Office!$A:$D,4,0)</f>
        <v>HR</v>
      </c>
      <c r="J520" s="34" t="str">
        <f>VLOOKUP(A520,[1]Office!$A:$E,5,0)</f>
        <v>Nada.AbdelHakeem.Mohamed@averroes-eg.com</v>
      </c>
      <c r="K520" s="27" t="s">
        <v>16</v>
      </c>
    </row>
    <row r="521" spans="1:11">
      <c r="A521" s="37">
        <f>VLOOKUP(B521,[1]Office!$B:$K,10,0)</f>
        <v>146</v>
      </c>
      <c r="B521" s="25" t="s">
        <v>537</v>
      </c>
      <c r="C521" s="25" t="str">
        <f>VLOOKUP(B521,[1]Office!$B:$C,2,0)</f>
        <v>Walaa Marie</v>
      </c>
      <c r="D521" s="25" t="str">
        <f>VLOOKUP(A521,[1]Office!$A:$G,7,0)</f>
        <v>Associate Compliance</v>
      </c>
      <c r="E521" s="25">
        <f>VLOOKUP(C521,[1]Office!$B:$K,10,0)</f>
        <v>248</v>
      </c>
      <c r="F521" s="29">
        <v>36621131</v>
      </c>
      <c r="G521" s="25">
        <f>VLOOKUP(A521,[1]Office!$A:$F,6,0)</f>
        <v>1277642246</v>
      </c>
      <c r="H521" s="38"/>
      <c r="I521" s="25" t="str">
        <f>VLOOKUP(A521,[1]Office!$A:$D,4,0)</f>
        <v>Compliance</v>
      </c>
      <c r="J521" s="34" t="str">
        <f>VLOOKUP(A521,[1]Office!$A:$E,5,0)</f>
        <v>michael.ishaq@averroes-eg.com</v>
      </c>
      <c r="K521" s="27" t="s">
        <v>16</v>
      </c>
    </row>
    <row r="522" spans="1:11">
      <c r="A522" s="37">
        <f>VLOOKUP(B522,[1]Office!$B:$K,10,0)</f>
        <v>741</v>
      </c>
      <c r="B522" s="25" t="s">
        <v>538</v>
      </c>
      <c r="C522" s="25" t="str">
        <f>VLOOKUP(B522,[1]Office!$B:$C,2,0)</f>
        <v>Walaa Marie</v>
      </c>
      <c r="D522" s="25" t="str">
        <f>VLOOKUP(A522,[1]Office!$A:$G,7,0)</f>
        <v>Field Compliance Specialist</v>
      </c>
      <c r="E522" s="25">
        <f>VLOOKUP(C522,[1]Office!$B:$K,10,0)</f>
        <v>248</v>
      </c>
      <c r="F522" s="29">
        <v>36621132</v>
      </c>
      <c r="G522" s="25">
        <f>VLOOKUP(A522,[1]Office!$A:$F,6,0)</f>
        <v>1118574998</v>
      </c>
      <c r="H522" s="38">
        <f>VLOOKUP(A522,[1]Office!$A:$I,9,0)</f>
        <v>44240</v>
      </c>
      <c r="I522" s="25" t="str">
        <f>VLOOKUP(A522,[1]Office!$A:$D,4,0)</f>
        <v>Compliance</v>
      </c>
      <c r="J522" s="34" t="str">
        <f>VLOOKUP(A522,[1]Office!$A:$E,5,0)</f>
        <v>Samer.Samir@Averroes-eg.com</v>
      </c>
      <c r="K522" s="27" t="s">
        <v>16</v>
      </c>
    </row>
    <row r="523" spans="1:11">
      <c r="A523" s="37">
        <f>VLOOKUP(B523,[1]Office!$B:$K,10,0)</f>
        <v>721</v>
      </c>
      <c r="B523" s="25" t="s">
        <v>539</v>
      </c>
      <c r="C523" s="25" t="str">
        <f>VLOOKUP(B523,[1]Office!$B:$C,2,0)</f>
        <v>Walaa Marie</v>
      </c>
      <c r="D523" s="25" t="str">
        <f>VLOOKUP(A523,[1]Office!$A:$G,7,0)</f>
        <v>Field Compliance Specialist</v>
      </c>
      <c r="E523" s="25">
        <f>VLOOKUP(C523,[1]Office!$B:$K,10,0)</f>
        <v>248</v>
      </c>
      <c r="F523" s="39">
        <v>36621133</v>
      </c>
      <c r="G523" s="25">
        <f>VLOOKUP(A523,[1]Office!$A:$F,6,0)</f>
        <v>1030817555</v>
      </c>
      <c r="H523" s="38">
        <f>VLOOKUP(A523,[1]Office!$A:$I,9,0)</f>
        <v>44228</v>
      </c>
      <c r="I523" s="25" t="str">
        <f>VLOOKUP(A523,[1]Office!$A:$D,4,0)</f>
        <v>Compliance</v>
      </c>
      <c r="J523" s="34" t="str">
        <f>VLOOKUP(A523,[1]Office!$A:$E,5,0)</f>
        <v>mina.adel.fouad@averroes-eg.com</v>
      </c>
      <c r="K523" s="27" t="s">
        <v>16</v>
      </c>
    </row>
    <row r="524" spans="1:11">
      <c r="A524" s="37">
        <f>VLOOKUP(B524,[1]Office!$B:$K,10,0)</f>
        <v>932</v>
      </c>
      <c r="B524" s="25" t="s">
        <v>540</v>
      </c>
      <c r="C524" s="25" t="str">
        <f>VLOOKUP(B524,[1]Office!$B:$C,2,0)</f>
        <v>Walaa Marie</v>
      </c>
      <c r="D524" s="25" t="str">
        <f>VLOOKUP(A524,[1]Office!$A:$G,7,0)</f>
        <v>Field Compliance Specialist</v>
      </c>
      <c r="E524" s="25">
        <f>VLOOKUP(C524,[1]Office!$B:$K,10,0)</f>
        <v>248</v>
      </c>
      <c r="F524" s="29">
        <v>36621134</v>
      </c>
      <c r="G524" s="25">
        <f>VLOOKUP(A524,[1]Office!$A:$F,6,0)</f>
        <v>1022257363</v>
      </c>
      <c r="H524" s="38">
        <f>VLOOKUP(A524,[1]Office!$A:$I,9,0)</f>
        <v>44604</v>
      </c>
      <c r="I524" s="25" t="str">
        <f>VLOOKUP(A524,[1]Office!$A:$D,4,0)</f>
        <v>Compliance</v>
      </c>
      <c r="J524" s="34" t="str">
        <f>VLOOKUP(A524,[1]Office!$A:$E,5,0)</f>
        <v>Mohamed.ElSaid.Metwally@averroes-eg.com</v>
      </c>
      <c r="K524" s="27" t="s">
        <v>16</v>
      </c>
    </row>
    <row r="525" spans="1:11">
      <c r="A525" s="37">
        <f>VLOOKUP(B525,[1]Office!$B:$K,10,0)</f>
        <v>1266</v>
      </c>
      <c r="B525" s="25" t="s">
        <v>541</v>
      </c>
      <c r="C525" s="25" t="str">
        <f>VLOOKUP(B525,[1]Office!$B:$C,2,0)</f>
        <v>Walaa Marie</v>
      </c>
      <c r="D525" s="25" t="str">
        <f>VLOOKUP(A525,[1]Office!$A:$G,7,0)</f>
        <v>Field Compliance Specialist</v>
      </c>
      <c r="E525" s="25">
        <f>VLOOKUP(C525,[1]Office!$B:$K,10,0)</f>
        <v>248</v>
      </c>
      <c r="F525" s="29">
        <v>36621135</v>
      </c>
      <c r="G525" s="25">
        <f>VLOOKUP(A525,[1]Office!$A:$F,6,0)</f>
        <v>1060471962</v>
      </c>
      <c r="H525" s="38">
        <f>VLOOKUP(A525,[1]Office!$A:$I,9,0)</f>
        <v>45182</v>
      </c>
      <c r="I525" s="25" t="str">
        <f>VLOOKUP(A525,[1]Office!$A:$D,4,0)</f>
        <v>Compliance</v>
      </c>
      <c r="J525" s="34" t="str">
        <f>VLOOKUP(A525,[1]Office!$A:$E,5,0)</f>
        <v>Omar.AbdelRahman.Mousa@averroes-eg.com</v>
      </c>
      <c r="K525" s="27" t="s">
        <v>16</v>
      </c>
    </row>
    <row r="526" spans="1:11">
      <c r="A526" s="37">
        <f>VLOOKUP(B526,[1]Office!$B:$K,10,0)</f>
        <v>1778</v>
      </c>
      <c r="B526" s="25" t="s">
        <v>542</v>
      </c>
      <c r="C526" s="25" t="str">
        <f>VLOOKUP(B526,[1]Office!$B:$C,2,0)</f>
        <v>Walaa Marie</v>
      </c>
      <c r="D526" s="25" t="str">
        <f>VLOOKUP(A526,[1]Office!$A:$G,7,0)</f>
        <v>Field Compliance Specialist</v>
      </c>
      <c r="E526" s="25">
        <f>VLOOKUP(C526,[1]Office!$B:$K,10,0)</f>
        <v>248</v>
      </c>
      <c r="F526" s="39">
        <v>36621136</v>
      </c>
      <c r="G526" s="25">
        <f>VLOOKUP(A526,[1]Office!$A:$F,6,0)</f>
        <v>1223525748</v>
      </c>
      <c r="H526" s="38">
        <f>VLOOKUP(A526,[1]Office!$A:$I,9,0)</f>
        <v>45962</v>
      </c>
      <c r="I526" s="25" t="str">
        <f>VLOOKUP(A526,[1]Office!$A:$D,4,0)</f>
        <v>Compliance</v>
      </c>
      <c r="J526" s="34" t="str">
        <f>VLOOKUP(A526,[1]Office!$A:$E,5,0)</f>
        <v>Ramy.Kamil.Kamal@averroes-eg.com</v>
      </c>
      <c r="K526" s="27" t="s">
        <v>16</v>
      </c>
    </row>
    <row r="527" spans="1:11">
      <c r="A527" s="37">
        <f>VLOOKUP(B527,[1]Office!$B:$K,10,0)</f>
        <v>1846</v>
      </c>
      <c r="B527" s="25" t="s">
        <v>543</v>
      </c>
      <c r="C527" s="25" t="str">
        <f>VLOOKUP(B527,[1]Office!$B:$C,2,0)</f>
        <v>Walaa Marie</v>
      </c>
      <c r="D527" s="25" t="str">
        <f>VLOOKUP(A527,[1]Office!$A:$G,7,0)</f>
        <v>Field Compliance Specialist</v>
      </c>
      <c r="E527" s="25">
        <f>VLOOKUP(C527,[1]Office!$B:$K,10,0)</f>
        <v>248</v>
      </c>
      <c r="F527" s="29">
        <v>36621137</v>
      </c>
      <c r="G527" s="25">
        <f>VLOOKUP(A527,[1]Office!$A:$F,6,0)</f>
        <v>1061042181</v>
      </c>
      <c r="H527" s="38">
        <f>VLOOKUP(A527,[1]Office!$A:$I,9,0)</f>
        <v>46054</v>
      </c>
      <c r="I527" s="25" t="str">
        <f>VLOOKUP(A527,[1]Office!$A:$D,4,0)</f>
        <v>Compliance</v>
      </c>
      <c r="J527" s="34" t="str">
        <f>VLOOKUP(A527,[1]Office!$A:$E,5,0)</f>
        <v>Sara.Mohamed.Osama@averroes-eg.com</v>
      </c>
      <c r="K527" s="27" t="s">
        <v>16</v>
      </c>
    </row>
    <row r="528" spans="1:11">
      <c r="A528" s="37">
        <f>VLOOKUP(B528,[1]Office!$B:$K,10,0)</f>
        <v>1035</v>
      </c>
      <c r="B528" s="25" t="s">
        <v>544</v>
      </c>
      <c r="C528" s="25" t="str">
        <f>VLOOKUP(B528,[1]Office!$B:$C,2,0)</f>
        <v>Walaa Marie</v>
      </c>
      <c r="D528" s="25" t="str">
        <f>VLOOKUP(A528,[1]Office!$A:$G,7,0)</f>
        <v>Operation Supervisor</v>
      </c>
      <c r="E528" s="25">
        <f>VLOOKUP(C528,[1]Office!$B:$K,10,0)</f>
        <v>248</v>
      </c>
      <c r="F528" s="29">
        <v>36621138</v>
      </c>
      <c r="G528" s="25">
        <f>VLOOKUP(A528,[1]Office!$A:$F,6,0)</f>
        <v>1278844840</v>
      </c>
      <c r="H528" s="38">
        <f>VLOOKUP(A528,[1]Office!$A:$I,9,0)</f>
        <v>44913</v>
      </c>
      <c r="I528" s="25" t="str">
        <f>VLOOKUP(A528,[1]Office!$A:$D,4,0)</f>
        <v>Compliance</v>
      </c>
      <c r="J528" s="34" t="str">
        <f>VLOOKUP(A528,[1]Office!$A:$E,5,0)</f>
        <v>Nermeen.Amin.Khalil@averroes-eg.com</v>
      </c>
      <c r="K528" s="27" t="s">
        <v>16</v>
      </c>
    </row>
    <row r="529" spans="1:11">
      <c r="A529" s="37">
        <f>VLOOKUP(B529,[1]Office!$B:$K,10,0)</f>
        <v>563</v>
      </c>
      <c r="B529" s="25" t="s">
        <v>545</v>
      </c>
      <c r="C529" s="25" t="str">
        <f>VLOOKUP(B529,[1]Office!$B:$C,2,0)</f>
        <v>Ahmed ellahoney</v>
      </c>
      <c r="D529" s="25" t="str">
        <f>VLOOKUP(A529,[1]Office!$A:$G,7,0)</f>
        <v>Product Manager</v>
      </c>
      <c r="E529" s="25">
        <f>VLOOKUP(C529,[1]Office!$B:$K,10,0)</f>
        <v>665</v>
      </c>
      <c r="F529" s="29">
        <v>36621140</v>
      </c>
      <c r="G529" s="25">
        <f>VLOOKUP(A529,[1]Office!$A:$F,6,0)</f>
        <v>1004846375</v>
      </c>
      <c r="H529" s="38"/>
      <c r="I529" s="25" t="str">
        <f>VLOOKUP(A529,[1]Office!$A:$D,4,0)</f>
        <v>Marketing</v>
      </c>
      <c r="J529" s="34" t="str">
        <f>VLOOKUP(A529,[1]Office!$A:$E,5,0)</f>
        <v>mohamed.enaya@averroes-eg.com</v>
      </c>
      <c r="K529" s="27" t="s">
        <v>16</v>
      </c>
    </row>
    <row r="530" spans="1:11">
      <c r="A530" s="37">
        <f>VLOOKUP(B530,[1]Office!$B:$K,10,0)</f>
        <v>72</v>
      </c>
      <c r="B530" s="25" t="s">
        <v>546</v>
      </c>
      <c r="C530" s="25" t="str">
        <f>VLOOKUP(B530,[1]Office!$B:$C,2,0)</f>
        <v>Ahmed ellahoney</v>
      </c>
      <c r="D530" s="25" t="str">
        <f>VLOOKUP(A530,[1]Office!$A:$G,7,0)</f>
        <v>Product Manager</v>
      </c>
      <c r="E530" s="25">
        <f>VLOOKUP(C530,[1]Office!$B:$K,10,0)</f>
        <v>665</v>
      </c>
      <c r="F530" s="29">
        <v>36621141</v>
      </c>
      <c r="G530" s="25">
        <f>VLOOKUP(A530,[1]Office!$A:$F,6,0)</f>
        <v>1096958681</v>
      </c>
      <c r="H530" s="38"/>
      <c r="I530" s="25" t="str">
        <f>VLOOKUP(A530,[1]Office!$A:$D,4,0)</f>
        <v>Marketing</v>
      </c>
      <c r="J530" s="34" t="str">
        <f>VLOOKUP(A530,[1]Office!$A:$E,5,0)</f>
        <v>mostafa.elbanna@averroes-eg.com</v>
      </c>
      <c r="K530" s="27" t="s">
        <v>16</v>
      </c>
    </row>
    <row r="531" spans="1:11">
      <c r="A531" s="37">
        <f>VLOOKUP(B531,[1]Office!$B:$K,10,0)</f>
        <v>945</v>
      </c>
      <c r="B531" s="25" t="s">
        <v>547</v>
      </c>
      <c r="C531" s="25" t="str">
        <f>VLOOKUP(B531,[1]Office!$B:$C,2,0)</f>
        <v>Ahmed ellahoney</v>
      </c>
      <c r="D531" s="25" t="str">
        <f>VLOOKUP(A531,[1]Office!$A:$G,7,0)</f>
        <v>Product Manager</v>
      </c>
      <c r="E531" s="25">
        <f>VLOOKUP(C531,[1]Office!$B:$K,10,0)</f>
        <v>665</v>
      </c>
      <c r="F531" s="39">
        <v>36621142</v>
      </c>
      <c r="G531" s="25">
        <f>VLOOKUP(A531,[1]Office!$A:$F,6,0)</f>
        <v>1020985077</v>
      </c>
      <c r="H531" s="38">
        <f>VLOOKUP(A531,[1]Office!$A:$I,9,0)</f>
        <v>44598</v>
      </c>
      <c r="I531" s="25" t="str">
        <f>VLOOKUP(A531,[1]Office!$A:$D,4,0)</f>
        <v>Marketing</v>
      </c>
      <c r="J531" s="34" t="str">
        <f>VLOOKUP(A531,[1]Office!$A:$E,5,0)</f>
        <v>Khaled.ElGendy@averroes-eg.com</v>
      </c>
      <c r="K531" s="27" t="s">
        <v>16</v>
      </c>
    </row>
    <row r="532" spans="1:11">
      <c r="A532" s="37">
        <f>VLOOKUP(B532,[1]Office!$B:$K,10,0)</f>
        <v>968</v>
      </c>
      <c r="B532" s="25" t="s">
        <v>548</v>
      </c>
      <c r="C532" s="25" t="str">
        <f>VLOOKUP(B532,[1]Office!$B:$C,2,0)</f>
        <v>Ahmed ellahoney</v>
      </c>
      <c r="D532" s="25" t="str">
        <f>VLOOKUP(A532,[1]Office!$A:$G,7,0)</f>
        <v>Product Manager</v>
      </c>
      <c r="E532" s="25">
        <f>VLOOKUP(C532,[1]Office!$B:$K,10,0)</f>
        <v>665</v>
      </c>
      <c r="F532" s="29">
        <v>36621143</v>
      </c>
      <c r="G532" s="25">
        <f>VLOOKUP(A532,[1]Office!$A:$F,6,0)</f>
        <v>1114000922</v>
      </c>
      <c r="H532" s="38">
        <f>VLOOKUP(A532,[1]Office!$A:$I,9,0)</f>
        <v>44699</v>
      </c>
      <c r="I532" s="25" t="str">
        <f>VLOOKUP(A532,[1]Office!$A:$D,4,0)</f>
        <v>Marketing</v>
      </c>
      <c r="J532" s="34" t="str">
        <f>VLOOKUP(A532,[1]Office!$A:$E,5,0)</f>
        <v>Abdallah.Roshdy@averroes-eg.com</v>
      </c>
      <c r="K532" s="27" t="s">
        <v>16</v>
      </c>
    </row>
    <row r="533" spans="1:11">
      <c r="A533" s="37">
        <f>VLOOKUP(B533,[1]Office!$B:$K,10,0)</f>
        <v>1001</v>
      </c>
      <c r="B533" s="25" t="s">
        <v>549</v>
      </c>
      <c r="C533" s="25" t="str">
        <f>VLOOKUP(B533,[1]Office!$B:$C,2,0)</f>
        <v>Ahmed ellahoney</v>
      </c>
      <c r="D533" s="25" t="str">
        <f>VLOOKUP(A533,[1]Office!$A:$G,7,0)</f>
        <v>Product Manager</v>
      </c>
      <c r="E533" s="25">
        <f>VLOOKUP(C533,[1]Office!$B:$K,10,0)</f>
        <v>665</v>
      </c>
      <c r="F533" s="29">
        <v>36621144</v>
      </c>
      <c r="G533" s="25">
        <f>VLOOKUP(A533,[1]Office!$A:$F,6,0)</f>
        <v>1021360024</v>
      </c>
      <c r="H533" s="38">
        <f>VLOOKUP(A533,[1]Office!$A:$I,9,0)</f>
        <v>44819</v>
      </c>
      <c r="I533" s="25" t="str">
        <f>VLOOKUP(A533,[1]Office!$A:$D,4,0)</f>
        <v>Marketing</v>
      </c>
      <c r="J533" s="34" t="str">
        <f>VLOOKUP(A533,[1]Office!$A:$E,5,0)</f>
        <v>Mohamed.Sabry.Ahmed@averroes-eg.com</v>
      </c>
      <c r="K533" s="27" t="s">
        <v>16</v>
      </c>
    </row>
    <row r="534" spans="1:11">
      <c r="A534" s="37">
        <f>VLOOKUP(B534,[1]Office!$B:$K,10,0)</f>
        <v>884</v>
      </c>
      <c r="B534" s="25" t="s">
        <v>550</v>
      </c>
      <c r="C534" s="25" t="str">
        <f>VLOOKUP(B534,[1]Office!$B:$C,2,0)</f>
        <v>Mohamed ellahoney</v>
      </c>
      <c r="D534" s="25" t="str">
        <f>VLOOKUP(A534,[1]Office!$A:$G,7,0)</f>
        <v>Commercial Manager</v>
      </c>
      <c r="E534" s="25">
        <f>VLOOKUP(C534,[1]Office!$B:$K,10,0)</f>
        <v>666</v>
      </c>
      <c r="F534" s="39">
        <v>36621145</v>
      </c>
      <c r="G534" s="25">
        <f>VLOOKUP(A534,[1]Office!$A:$F,6,0)</f>
        <v>1063301935</v>
      </c>
      <c r="H534" s="38">
        <f>VLOOKUP(A534,[1]Office!$A:$I,9,0)</f>
        <v>44197</v>
      </c>
      <c r="I534" s="25" t="str">
        <f>VLOOKUP(A534,[1]Office!$A:$D,4,0)</f>
        <v>Distribution</v>
      </c>
      <c r="J534" s="34" t="str">
        <f>VLOOKUP(A534,[1]Office!$A:$E,5,0)</f>
        <v>Islam.Mohamed.Elsayed@averroes-eg.com</v>
      </c>
      <c r="K534" s="27" t="s">
        <v>16</v>
      </c>
    </row>
    <row r="535" spans="1:11">
      <c r="A535" s="37">
        <f>VLOOKUP(B535,[1]Office!$B:$K,10,0)</f>
        <v>728</v>
      </c>
      <c r="B535" s="25" t="s">
        <v>551</v>
      </c>
      <c r="C535" s="25" t="str">
        <f>VLOOKUP(B535,[1]Office!$B:$C,2,0)</f>
        <v>Islam Mohamed Elsayed</v>
      </c>
      <c r="D535" s="25" t="str">
        <f>VLOOKUP(A535,[1]Office!$A:$G,7,0)</f>
        <v>Distribution Specialist</v>
      </c>
      <c r="E535" s="25">
        <f>VLOOKUP(C535,[1]Office!$B:$K,10,0)</f>
        <v>884</v>
      </c>
      <c r="F535" s="29">
        <v>36621146</v>
      </c>
      <c r="G535" s="25">
        <f>VLOOKUP(A535,[1]Office!$A:$F,6,0)</f>
        <v>1124409966</v>
      </c>
      <c r="H535" s="38"/>
      <c r="I535" s="25" t="str">
        <f>VLOOKUP(A535,[1]Office!$A:$D,4,0)</f>
        <v>Distribution</v>
      </c>
      <c r="J535" s="34" t="str">
        <f>VLOOKUP(A535,[1]Office!$A:$E,5,0)</f>
        <v>Reem.Sameh.Fouad@averroes-eg.com</v>
      </c>
      <c r="K535" s="27" t="s">
        <v>16</v>
      </c>
    </row>
    <row r="536" spans="1:11">
      <c r="A536" s="37">
        <f>VLOOKUP(B536,[1]Office!$B:$K,10,0)</f>
        <v>1507</v>
      </c>
      <c r="B536" s="25" t="s">
        <v>552</v>
      </c>
      <c r="C536" s="25" t="str">
        <f>VLOOKUP(B536,[1]Office!$B:$C,2,0)</f>
        <v>Islam Mohamed Elsayed</v>
      </c>
      <c r="D536" s="25" t="str">
        <f>VLOOKUP(A536,[1]Office!$A:$G,7,0)</f>
        <v>Distribution Specialist</v>
      </c>
      <c r="E536" s="25">
        <f>VLOOKUP(C536,[1]Office!$B:$K,10,0)</f>
        <v>884</v>
      </c>
      <c r="F536" s="29">
        <v>36621147</v>
      </c>
      <c r="G536" s="25">
        <f>VLOOKUP(A536,[1]Office!$A:$F,6,0)</f>
        <v>1055932040</v>
      </c>
      <c r="H536" s="38">
        <f>VLOOKUP(A536,[1]Office!$A:$I,9,0)</f>
        <v>45550</v>
      </c>
      <c r="I536" s="25" t="str">
        <f>VLOOKUP(A536,[1]Office!$A:$D,4,0)</f>
        <v>Distribution</v>
      </c>
      <c r="J536" s="34"/>
      <c r="K536" s="27" t="s">
        <v>16</v>
      </c>
    </row>
    <row r="537" spans="1:11">
      <c r="A537" s="37">
        <f>VLOOKUP(B537,[1]Office!$B:$K,10,0)</f>
        <v>1798</v>
      </c>
      <c r="B537" s="25" t="s">
        <v>553</v>
      </c>
      <c r="C537" s="25" t="str">
        <f>VLOOKUP(B537,[1]Office!$B:$C,2,0)</f>
        <v>Islam Mohamed Elsayed</v>
      </c>
      <c r="D537" s="25" t="str">
        <f>VLOOKUP(A537,[1]Office!$A:$G,7,0)</f>
        <v>Distribution Specialist</v>
      </c>
      <c r="E537" s="25">
        <f>VLOOKUP(C537,[1]Office!$B:$K,10,0)</f>
        <v>884</v>
      </c>
      <c r="F537" s="39">
        <v>36621148</v>
      </c>
      <c r="G537" s="25"/>
      <c r="H537" s="38">
        <f>VLOOKUP(A537,[1]Office!$A:$I,9,0)</f>
        <v>45914</v>
      </c>
      <c r="I537" s="25" t="str">
        <f>VLOOKUP(A537,[1]Office!$A:$D,4,0)</f>
        <v>Distribution</v>
      </c>
      <c r="J537" s="34"/>
      <c r="K537" s="27" t="s">
        <v>16</v>
      </c>
    </row>
    <row r="538" spans="1:11">
      <c r="A538" s="37">
        <f>VLOOKUP(B538,[1]Office!$B:$K,10,0)</f>
        <v>1796</v>
      </c>
      <c r="B538" s="25" t="s">
        <v>554</v>
      </c>
      <c r="C538" s="25" t="str">
        <f>VLOOKUP(B538,[1]Office!$B:$C,2,0)</f>
        <v>Saied Selim Mohamed</v>
      </c>
      <c r="D538" s="25" t="str">
        <f>VLOOKUP(A538,[1]Office!$A:$G,7,0)</f>
        <v>Store Specialist</v>
      </c>
      <c r="E538" s="25">
        <f>VLOOKUP(C538,[1]Office!$B:$K,10,0)</f>
        <v>1507</v>
      </c>
      <c r="F538" s="29">
        <v>36621149</v>
      </c>
      <c r="G538" s="25">
        <f>VLOOKUP(A538,[1]Office!$A:$F,6,0)</f>
        <v>1271336001</v>
      </c>
      <c r="H538" s="38">
        <f>VLOOKUP(A538,[1]Office!$A:$I,9,0)</f>
        <v>45689</v>
      </c>
      <c r="I538" s="25" t="str">
        <f>VLOOKUP(A538,[1]Office!$A:$D,4,0)</f>
        <v>Distribution</v>
      </c>
      <c r="J538" s="34"/>
      <c r="K538" s="27" t="s">
        <v>16</v>
      </c>
    </row>
    <row r="539" spans="1:11">
      <c r="A539" s="37">
        <f>VLOOKUP(B539,[1]Office!$B:$K,10,0)</f>
        <v>1793</v>
      </c>
      <c r="B539" s="25" t="s">
        <v>555</v>
      </c>
      <c r="C539" s="25" t="str">
        <f>VLOOKUP(B539,[1]Office!$B:$C,2,0)</f>
        <v>Saied Selim Mohamed</v>
      </c>
      <c r="D539" s="25" t="str">
        <f>VLOOKUP(A539,[1]Office!$A:$G,7,0)</f>
        <v>Direct Sales</v>
      </c>
      <c r="E539" s="25">
        <f>VLOOKUP(C539,[1]Office!$B:$K,10,0)</f>
        <v>1507</v>
      </c>
      <c r="F539" s="29">
        <v>36621150</v>
      </c>
      <c r="G539" s="25">
        <f>VLOOKUP(A539,[1]Office!$A:$F,6,0)</f>
        <v>1114430870</v>
      </c>
      <c r="H539" s="38">
        <f>VLOOKUP(A539,[1]Office!$A:$I,9,0)</f>
        <v>45559</v>
      </c>
      <c r="I539" s="25" t="str">
        <f>VLOOKUP(A539,[1]Office!$A:$D,4,0)</f>
        <v>Distribution</v>
      </c>
      <c r="J539" s="34"/>
      <c r="K539" s="27" t="s">
        <v>16</v>
      </c>
    </row>
    <row r="540" spans="1:11">
      <c r="A540" s="37">
        <f>VLOOKUP(B540,[1]Office!$B:$K,10,0)</f>
        <v>802</v>
      </c>
      <c r="B540" s="25" t="s">
        <v>556</v>
      </c>
      <c r="C540" s="25" t="str">
        <f>VLOOKUP(B540,[1]Office!$B:$C,2,0)</f>
        <v>Abd Elhameed Elshiekh</v>
      </c>
      <c r="D540" s="25" t="str">
        <f>VLOOKUP(A540,[1]Office!$A:$G,7,0)</f>
        <v>Operation Specialist</v>
      </c>
      <c r="E540" s="25">
        <v>59</v>
      </c>
      <c r="F540" s="39">
        <v>36621151</v>
      </c>
      <c r="G540" s="25">
        <f>VLOOKUP(A540,[1]Office!$A:$F,6,0)</f>
        <v>1113580088</v>
      </c>
      <c r="H540" s="38">
        <f>VLOOKUP(A540,[1]Office!$A:$I,9,0)</f>
        <v>44381</v>
      </c>
      <c r="I540" s="25" t="str">
        <f>VLOOKUP(A540,[1]Office!$A:$D,4,0)</f>
        <v>Unit Admin</v>
      </c>
      <c r="J540" s="34" t="str">
        <f>VLOOKUP(A540,[1]Office!$A:$E,5,0)</f>
        <v>Samar.Samy.Ibrahim@averroes-eg.com</v>
      </c>
      <c r="K540" s="27" t="s">
        <v>16</v>
      </c>
    </row>
    <row r="541" spans="1:11">
      <c r="A541" s="37">
        <f>VLOOKUP(B541,[1]Office!$B:$K,10,0)</f>
        <v>1265</v>
      </c>
      <c r="B541" s="25" t="s">
        <v>557</v>
      </c>
      <c r="C541" s="25" t="str">
        <f>VLOOKUP(B541,[1]Office!$B:$C,2,0)</f>
        <v>Abo El Abbas Samir</v>
      </c>
      <c r="D541" s="25" t="str">
        <f>VLOOKUP(A541,[1]Office!$A:$G,7,0)</f>
        <v>Operation and Analytics Specialist</v>
      </c>
      <c r="E541" s="25">
        <v>61</v>
      </c>
      <c r="F541" s="29">
        <v>36621152</v>
      </c>
      <c r="G541" s="25">
        <f>VLOOKUP(A541,[1]Office!$A:$F,6,0)</f>
        <v>1554694554</v>
      </c>
      <c r="H541" s="38">
        <f>VLOOKUP(A541,[1]Office!$A:$I,9,0)</f>
        <v>45179</v>
      </c>
      <c r="I541" s="25" t="str">
        <f>VLOOKUP(A541,[1]Office!$A:$D,4,0)</f>
        <v>Unit Admin</v>
      </c>
      <c r="J541" s="34" t="str">
        <f>VLOOKUP(A541,[1]Office!$A:$E,5,0)</f>
        <v>Mohamed.AbdElGhany.Omar@averroes-eg.com</v>
      </c>
      <c r="K541" s="27" t="s">
        <v>16</v>
      </c>
    </row>
    <row r="542" spans="1:11">
      <c r="A542" s="37">
        <f>VLOOKUP(B542,[1]Office!$B:$K,10,0)</f>
        <v>8</v>
      </c>
      <c r="B542" s="25" t="s">
        <v>558</v>
      </c>
      <c r="C542" s="25" t="str">
        <f>VLOOKUP(B542,[1]Office!$B:$C,2,0)</f>
        <v>Ibrahim Ammar</v>
      </c>
      <c r="D542" s="25" t="str">
        <f>VLOOKUP(A542,[1]Office!$A:$G,7,0)</f>
        <v>Operation Specialist</v>
      </c>
      <c r="E542" s="25">
        <v>60</v>
      </c>
      <c r="F542" s="29">
        <v>36621153</v>
      </c>
      <c r="G542" s="25">
        <f>VLOOKUP(A542,[1]Office!$A:$F,6,0)</f>
        <v>1066082702</v>
      </c>
      <c r="H542" s="38">
        <f>VLOOKUP(A542,[1]Office!$A:$I,9,0)</f>
        <v>39237</v>
      </c>
      <c r="I542" s="25" t="str">
        <f>VLOOKUP(A542,[1]Office!$A:$D,4,0)</f>
        <v>Unit Admin</v>
      </c>
      <c r="J542" s="34" t="str">
        <f>VLOOKUP(A542,[1]Office!$A:$E,5,0)</f>
        <v>Fatima.Mohamed@averroes-eg.com</v>
      </c>
      <c r="K542" s="27" t="s">
        <v>16</v>
      </c>
    </row>
    <row r="543" customHeight="1" spans="1:11">
      <c r="A543" s="37">
        <f>VLOOKUP(B543,[1]Office!$B:$K,10,0)</f>
        <v>744</v>
      </c>
      <c r="B543" s="25" t="s">
        <v>559</v>
      </c>
      <c r="C543" s="25" t="str">
        <f>VLOOKUP(B543,[1]Office!$B:$C,2,0)</f>
        <v>Ahmed ibrahim Eissa</v>
      </c>
      <c r="D543" s="25" t="str">
        <f>VLOOKUP(A543,[1]Office!$A:$G,7,0)</f>
        <v>Office Boy</v>
      </c>
      <c r="E543" s="25">
        <f>VLOOKUP(C543,[1]Office!$B:$K,10,0)</f>
        <v>657</v>
      </c>
      <c r="F543" s="39">
        <v>36621154</v>
      </c>
      <c r="G543" s="25"/>
      <c r="H543" s="38"/>
      <c r="I543" s="25" t="str">
        <f>VLOOKUP(A543,[1]Office!$A:$D,4,0)</f>
        <v>Office Boy</v>
      </c>
      <c r="J543" s="34"/>
      <c r="K543" s="27" t="s">
        <v>16</v>
      </c>
    </row>
    <row r="544" spans="1:11">
      <c r="A544" s="37">
        <f>VLOOKUP(B544,[1]Office!$B:$K,10,0)</f>
        <v>745</v>
      </c>
      <c r="B544" s="25" t="s">
        <v>560</v>
      </c>
      <c r="C544" s="25" t="str">
        <f>VLOOKUP(B544,[1]Office!$B:$C,2,0)</f>
        <v>Ahmed ibrahim Eissa</v>
      </c>
      <c r="D544" s="25" t="str">
        <f>VLOOKUP(A544,[1]Office!$A:$G,7,0)</f>
        <v>Office Boy</v>
      </c>
      <c r="E544" s="25">
        <f>VLOOKUP(C544,[1]Office!$B:$K,10,0)</f>
        <v>657</v>
      </c>
      <c r="F544" s="29">
        <v>36621155</v>
      </c>
      <c r="G544" s="25"/>
      <c r="H544" s="38"/>
      <c r="I544" s="25" t="str">
        <f>VLOOKUP(A544,[1]Office!$A:$D,4,0)</f>
        <v>Office Boy</v>
      </c>
      <c r="J544" s="34"/>
      <c r="K544" s="27" t="s">
        <v>561</v>
      </c>
    </row>
    <row r="545" spans="1:11">
      <c r="A545" s="37">
        <f>VLOOKUP(B545,[1]Office!$B:$K,10,0)</f>
        <v>669</v>
      </c>
      <c r="B545" s="25" t="s">
        <v>562</v>
      </c>
      <c r="C545" s="25" t="str">
        <f>VLOOKUP(B545,[1]Office!$B:$C,2,0)</f>
        <v>Ahmed ibrahim Eissa</v>
      </c>
      <c r="D545" s="25" t="str">
        <f>VLOOKUP(A545,[1]Office!$A:$G,7,0)</f>
        <v>Office Boy</v>
      </c>
      <c r="E545" s="25">
        <f>VLOOKUP(C545,[1]Office!$B:$K,10,0)</f>
        <v>657</v>
      </c>
      <c r="F545" s="29">
        <v>36621156</v>
      </c>
      <c r="G545" s="25"/>
      <c r="H545" s="38"/>
      <c r="I545" s="25" t="str">
        <f>VLOOKUP(A545,[1]Office!$A:$D,4,0)</f>
        <v>Office Boy</v>
      </c>
      <c r="J545" s="34"/>
      <c r="K545" s="27" t="s">
        <v>16</v>
      </c>
    </row>
    <row r="546" spans="1:11">
      <c r="A546" s="37">
        <f>VLOOKUP(B546,[1]Office!$B:$K,10,0)</f>
        <v>671</v>
      </c>
      <c r="B546" s="25" t="s">
        <v>563</v>
      </c>
      <c r="C546" s="25" t="str">
        <f>VLOOKUP(B546,[1]Office!$B:$C,2,0)</f>
        <v>Ahmed ibrahim Eissa</v>
      </c>
      <c r="D546" s="25" t="str">
        <f>VLOOKUP(A546,[1]Office!$A:$G,7,0)</f>
        <v>Office Boy</v>
      </c>
      <c r="E546" s="25">
        <f>VLOOKUP(C546,[1]Office!$B:$K,10,0)</f>
        <v>657</v>
      </c>
      <c r="F546" s="39">
        <v>36621157</v>
      </c>
      <c r="G546" s="25"/>
      <c r="H546" s="38"/>
      <c r="I546" s="25" t="str">
        <f>VLOOKUP(A546,[1]Office!$A:$D,4,0)</f>
        <v>Office Boy</v>
      </c>
      <c r="J546" s="34"/>
      <c r="K546" s="27" t="s">
        <v>564</v>
      </c>
    </row>
    <row r="547" spans="1:11">
      <c r="A547" s="37">
        <f>VLOOKUP(B547,[1]Office!$B:$K,10,0)</f>
        <v>1797</v>
      </c>
      <c r="B547" s="25" t="s">
        <v>565</v>
      </c>
      <c r="C547" s="25" t="str">
        <f>VLOOKUP(B547,[1]Office!$B:$C,2,0)</f>
        <v>Ahmed ibrahim Eissa</v>
      </c>
      <c r="D547" s="25" t="str">
        <f>VLOOKUP(A547,[1]Office!$A:$G,7,0)</f>
        <v>Office Boy</v>
      </c>
      <c r="E547" s="25">
        <f>VLOOKUP(C547,[1]Office!$B:$K,10,0)</f>
        <v>657</v>
      </c>
      <c r="F547" s="29">
        <v>36621158</v>
      </c>
      <c r="G547" s="25">
        <f>VLOOKUP(A547,[1]Office!$A:$F,6,0)</f>
        <v>1123997276</v>
      </c>
      <c r="H547" s="38">
        <f>VLOOKUP(A547,[1]Office!$A:$I,9,0)</f>
        <v>45782</v>
      </c>
      <c r="I547" s="25" t="str">
        <f>VLOOKUP(A547,[1]Office!$A:$D,4,0)</f>
        <v>Office Boy</v>
      </c>
      <c r="J547" s="34"/>
      <c r="K547" s="27" t="s">
        <v>16</v>
      </c>
    </row>
    <row r="548" spans="1:11">
      <c r="A548" s="37">
        <f>VLOOKUP(B548,[1]Office!$B:$K,10,0)</f>
        <v>668</v>
      </c>
      <c r="B548" s="25" t="s">
        <v>566</v>
      </c>
      <c r="C548" s="25" t="str">
        <f>VLOOKUP(B548,[1]Office!$B:$C,2,0)</f>
        <v>Saied Selim Mohamed</v>
      </c>
      <c r="D548" s="25" t="s">
        <v>567</v>
      </c>
      <c r="E548" s="25">
        <f>VLOOKUP(C548,[1]Office!$B:$K,10,0)</f>
        <v>1507</v>
      </c>
      <c r="F548" s="29">
        <v>36621159</v>
      </c>
      <c r="G548" s="25"/>
      <c r="H548" s="25"/>
      <c r="I548" s="25" t="str">
        <f>VLOOKUP(A548,[1]Office!$A:$D,4,0)</f>
        <v>Store</v>
      </c>
      <c r="J548" s="34"/>
      <c r="K548" s="27" t="s">
        <v>16</v>
      </c>
    </row>
    <row r="549" spans="1:11">
      <c r="A549" s="37">
        <f>VLOOKUP(B549,[1]Office!$B:$K,10,0)</f>
        <v>1272</v>
      </c>
      <c r="B549" s="25" t="s">
        <v>568</v>
      </c>
      <c r="C549" s="25" t="str">
        <f>VLOOKUP(B549,[1]Office!$B:$C,2,0)</f>
        <v>Mohamed Hassan Abdallah</v>
      </c>
      <c r="D549" s="25" t="str">
        <f>VLOOKUP(A549,[1]Office!$A:$G,7,0)</f>
        <v>Key Account Manager</v>
      </c>
      <c r="E549" s="40" t="s">
        <v>18</v>
      </c>
      <c r="F549" s="29">
        <v>36621161</v>
      </c>
      <c r="G549" s="25">
        <f>VLOOKUP(A549,[1]Office!$A:$F,6,0)</f>
        <v>1111826099</v>
      </c>
      <c r="H549" s="38">
        <f>VLOOKUP(A549,[1]Office!$A:$I,9,0)</f>
        <v>45187</v>
      </c>
      <c r="I549" s="25" t="str">
        <f>VLOOKUP(A549,[1]Office!$A:$D,4,0)</f>
        <v>Trade Department</v>
      </c>
      <c r="J549" s="34" t="str">
        <f>VLOOKUP(A549,[1]Office!$A:$E,5,0)</f>
        <v>Mahmoud.Mohamed.Mahfouz@averroes-eg.com</v>
      </c>
      <c r="K549" s="27" t="s">
        <v>16</v>
      </c>
    </row>
  </sheetData>
  <autoFilter xmlns:etc="http://www.wps.cn/officeDocument/2017/etCustomData" ref="A1:K549" etc:filterBottomFollowUsedRange="0">
    <extLst/>
  </autoFilter>
  <conditionalFormatting sqref="C510">
    <cfRule type="duplicateValues" dxfId="0" priority="2"/>
    <cfRule type="duplicateValues" dxfId="0" priority="3"/>
  </conditionalFormatting>
  <conditionalFormatting sqref="A$1:A$1048576">
    <cfRule type="duplicateValues" dxfId="0" priority="10"/>
    <cfRule type="duplicateValues" dxfId="0" priority="11"/>
  </conditionalFormatting>
  <conditionalFormatting sqref="B1:B4">
    <cfRule type="duplicateValues" dxfId="0" priority="30"/>
  </conditionalFormatting>
  <conditionalFormatting sqref="B8:B14">
    <cfRule type="duplicateValues" dxfId="1" priority="1"/>
  </conditionalFormatting>
  <conditionalFormatting sqref="F1:F5">
    <cfRule type="duplicateValues" dxfId="0" priority="7"/>
  </conditionalFormatting>
  <conditionalFormatting sqref="F1:F549">
    <cfRule type="duplicateValues" dxfId="0" priority="4"/>
    <cfRule type="duplicateValues" dxfId="0" priority="5"/>
  </conditionalFormatting>
  <conditionalFormatting sqref="F6:F549">
    <cfRule type="duplicateValues" dxfId="0" priority="6"/>
  </conditionalFormatting>
  <conditionalFormatting sqref="J$1:J$1048576">
    <cfRule type="duplicateValues" dxfId="0" priority="12"/>
  </conditionalFormatting>
  <conditionalFormatting sqref="B1:B7 B15:B1048576">
    <cfRule type="duplicateValues" dxfId="0" priority="9"/>
    <cfRule type="duplicateValues" dxfId="0" priority="13"/>
  </conditionalFormatting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2"/>
  <sheetViews>
    <sheetView topLeftCell="D1" workbookViewId="0">
      <selection activeCell="I18" sqref="I18"/>
    </sheetView>
  </sheetViews>
  <sheetFormatPr defaultColWidth="9.14285714285714" defaultRowHeight="15"/>
  <cols>
    <col min="1" max="1" width="29.1428571428571" customWidth="1"/>
    <col min="6" max="6" width="16.7142857142857" customWidth="1"/>
    <col min="9" max="9" width="23.7142857142857" customWidth="1"/>
    <col min="10" max="10" width="93.2095238095238" customWidth="1"/>
  </cols>
  <sheetData>
    <row r="1" spans="1:10">
      <c r="A1" t="s">
        <v>3</v>
      </c>
    </row>
    <row r="2" spans="1:10">
      <c r="A2" t="s">
        <v>13</v>
      </c>
    </row>
    <row r="3" spans="1:10">
      <c r="A3" t="s">
        <v>569</v>
      </c>
      <c r="F3" t="s">
        <v>13</v>
      </c>
      <c r="I3" t="s">
        <v>3</v>
      </c>
      <c r="J3" t="s">
        <v>570</v>
      </c>
    </row>
    <row r="4" spans="1:10">
      <c r="A4" t="s">
        <v>571</v>
      </c>
      <c r="F4" t="s">
        <v>569</v>
      </c>
      <c r="I4" t="s">
        <v>572</v>
      </c>
      <c r="J4" t="s">
        <v>573</v>
      </c>
    </row>
    <row r="5" spans="1:10">
      <c r="A5" t="s">
        <v>574</v>
      </c>
      <c r="F5" t="s">
        <v>571</v>
      </c>
      <c r="I5" t="s">
        <v>575</v>
      </c>
      <c r="J5" t="s">
        <v>573</v>
      </c>
    </row>
    <row r="6" spans="1:10">
      <c r="A6" t="s">
        <v>576</v>
      </c>
      <c r="F6" t="s">
        <v>574</v>
      </c>
      <c r="I6" t="s">
        <v>577</v>
      </c>
      <c r="J6" t="s">
        <v>573</v>
      </c>
    </row>
    <row r="7" spans="1:10">
      <c r="A7" t="s">
        <v>578</v>
      </c>
      <c r="F7" t="s">
        <v>576</v>
      </c>
      <c r="I7" t="s">
        <v>14</v>
      </c>
      <c r="J7" t="s">
        <v>573</v>
      </c>
    </row>
    <row r="8" hidden="1" spans="1:10">
      <c r="A8" t="s">
        <v>579</v>
      </c>
      <c r="F8" t="s">
        <v>578</v>
      </c>
      <c r="I8" t="s">
        <v>580</v>
      </c>
      <c r="J8" t="s">
        <v>581</v>
      </c>
    </row>
    <row r="9" hidden="1" spans="1:10">
      <c r="A9" t="s">
        <v>582</v>
      </c>
      <c r="I9" t="s">
        <v>583</v>
      </c>
      <c r="J9" t="s">
        <v>581</v>
      </c>
    </row>
    <row r="10" spans="1:10">
      <c r="A10" t="s">
        <v>584</v>
      </c>
      <c r="I10" t="s">
        <v>585</v>
      </c>
      <c r="J10" t="s">
        <v>573</v>
      </c>
    </row>
    <row r="11" spans="1:10">
      <c r="A11" t="s">
        <v>586</v>
      </c>
      <c r="I11" t="s">
        <v>587</v>
      </c>
      <c r="J11" t="s">
        <v>573</v>
      </c>
    </row>
    <row r="12" hidden="1" spans="1:10">
      <c r="A12" t="s">
        <v>588</v>
      </c>
      <c r="I12" t="s">
        <v>589</v>
      </c>
      <c r="J12" t="s">
        <v>590</v>
      </c>
    </row>
    <row r="13" spans="1:10">
      <c r="A13" t="s">
        <v>591</v>
      </c>
      <c r="I13" t="s">
        <v>592</v>
      </c>
      <c r="J13" t="s">
        <v>573</v>
      </c>
    </row>
    <row r="14" spans="1:10">
      <c r="A14" t="s">
        <v>593</v>
      </c>
      <c r="I14" t="s">
        <v>567</v>
      </c>
      <c r="J14" t="s">
        <v>573</v>
      </c>
    </row>
    <row r="15" spans="1:10">
      <c r="A15" t="s">
        <v>594</v>
      </c>
      <c r="I15" t="s">
        <v>595</v>
      </c>
      <c r="J15" t="s">
        <v>573</v>
      </c>
    </row>
    <row r="16" spans="1:10">
      <c r="A16" t="s">
        <v>572</v>
      </c>
      <c r="I16" t="s">
        <v>596</v>
      </c>
      <c r="J16" t="s">
        <v>573</v>
      </c>
    </row>
    <row r="17" spans="1:10">
      <c r="A17" t="s">
        <v>575</v>
      </c>
      <c r="I17" t="s">
        <v>597</v>
      </c>
      <c r="J17" t="s">
        <v>573</v>
      </c>
    </row>
    <row r="18" spans="1:10">
      <c r="A18" t="s">
        <v>577</v>
      </c>
      <c r="I18" t="s">
        <v>598</v>
      </c>
      <c r="J18" t="s">
        <v>573</v>
      </c>
    </row>
    <row r="19" hidden="1" spans="1:10">
      <c r="A19" t="s">
        <v>14</v>
      </c>
      <c r="I19" t="s">
        <v>599</v>
      </c>
      <c r="J19" t="s">
        <v>590</v>
      </c>
    </row>
    <row r="20" spans="1:10">
      <c r="A20" t="s">
        <v>580</v>
      </c>
    </row>
    <row r="21" spans="1:10">
      <c r="A21" t="s">
        <v>583</v>
      </c>
    </row>
    <row r="22" spans="1:10">
      <c r="A22" t="s">
        <v>585</v>
      </c>
    </row>
    <row r="23" spans="1:10">
      <c r="A23" t="s">
        <v>600</v>
      </c>
    </row>
    <row r="24" spans="1:10">
      <c r="A24" t="s">
        <v>587</v>
      </c>
    </row>
    <row r="25" spans="1:10">
      <c r="A25" t="s">
        <v>589</v>
      </c>
    </row>
    <row r="26" spans="1:10">
      <c r="A26" t="s">
        <v>592</v>
      </c>
    </row>
    <row r="27" spans="1:10">
      <c r="A27" t="s">
        <v>567</v>
      </c>
    </row>
    <row r="28" spans="1:10">
      <c r="A28" t="s">
        <v>595</v>
      </c>
    </row>
    <row r="29" spans="1:10">
      <c r="A29" t="s">
        <v>596</v>
      </c>
    </row>
    <row r="30" spans="1:10">
      <c r="A30" t="s">
        <v>597</v>
      </c>
    </row>
    <row r="31" spans="1:10">
      <c r="A31" t="s">
        <v>598</v>
      </c>
    </row>
    <row r="32" spans="1:10">
      <c r="A32" t="s">
        <v>599</v>
      </c>
    </row>
  </sheetData>
  <autoFilter xmlns:etc="http://www.wps.cn/officeDocument/2017/etCustomData" ref="I3:J19" etc:filterBottomFollowUsedRange="0">
    <filterColumn colId="1">
      <customFilters>
        <customFilter operator="equal" val="My Profile ,Salary , leaves , Structure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0"/>
  <sheetViews>
    <sheetView tabSelected="1" workbookViewId="0">
      <pane ySplit="1" topLeftCell="A565" activePane="bottomLeft" state="frozen"/>
      <selection/>
      <selection pane="bottomLeft" activeCell="B568" sqref="B568"/>
    </sheetView>
  </sheetViews>
  <sheetFormatPr defaultColWidth="9.14285714285714" defaultRowHeight="15"/>
  <cols>
    <col min="1" max="1" width="16.1428571428571" customWidth="1"/>
    <col min="2" max="2" width="42.5714285714286" customWidth="1"/>
    <col min="3" max="3" width="41.2857142857143" customWidth="1"/>
    <col min="4" max="4" width="23.8571428571429" customWidth="1"/>
    <col min="5" max="5" width="14.8571428571429" style="1" customWidth="1"/>
    <col min="6" max="6" width="21" style="1" customWidth="1"/>
    <col min="7" max="7" width="11.5714285714286" customWidth="1"/>
    <col min="8" max="8" width="12.5714285714286" customWidth="1"/>
    <col min="9" max="9" width="58.1428571428571" customWidth="1"/>
    <col min="10" max="10" width="36.142857142857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3" t="s">
        <v>8</v>
      </c>
      <c r="I1" s="3" t="s">
        <v>9</v>
      </c>
      <c r="J1" s="4" t="s">
        <v>10</v>
      </c>
    </row>
    <row r="2" spans="1:10">
      <c r="A2" s="5">
        <v>59</v>
      </c>
      <c r="B2" s="6" t="s">
        <v>17</v>
      </c>
      <c r="C2" s="7" t="s">
        <v>12</v>
      </c>
      <c r="D2" s="8" t="str">
        <f>VLOOKUP(B2,'[3]Sales Force'!$D:$J,7,0)</f>
        <v>BUM</v>
      </c>
      <c r="E2" s="41" t="s">
        <v>601</v>
      </c>
      <c r="F2" s="8"/>
      <c r="G2" s="9"/>
      <c r="H2" s="8" t="str">
        <f>VLOOKUP(B2,'[3]Sales Force'!$D:$H,5,0)</f>
        <v>Unit 1</v>
      </c>
      <c r="I2" s="8" t="str">
        <f>VLOOKUP(B2,'[3]Sales Force'!$D:$N,11,0)</f>
        <v>abdelhameed.elshiekh@averroes-eg.com</v>
      </c>
      <c r="J2" s="10" t="s">
        <v>16</v>
      </c>
    </row>
    <row r="3" spans="1:10">
      <c r="A3" s="5">
        <v>60</v>
      </c>
      <c r="B3" s="6" t="s">
        <v>19</v>
      </c>
      <c r="C3" s="7" t="s">
        <v>12</v>
      </c>
      <c r="D3" s="8" t="str">
        <f>VLOOKUP(B3,'[3]Sales Force'!$D:$J,7,0)</f>
        <v>BUM</v>
      </c>
      <c r="E3" s="41" t="s">
        <v>601</v>
      </c>
      <c r="F3" s="8"/>
      <c r="G3" s="9"/>
      <c r="H3" s="8" t="str">
        <f>VLOOKUP(B3,'[3]Sales Force'!$D:$H,5,0)</f>
        <v>Unit 2</v>
      </c>
      <c r="I3" s="8" t="str">
        <f>VLOOKUP(B3,'[3]Sales Force'!$D:$N,11,0)</f>
        <v>ibrahim.ammar@averroes-eg.com</v>
      </c>
      <c r="J3" s="10" t="s">
        <v>16</v>
      </c>
    </row>
    <row r="4" spans="1:10">
      <c r="A4" s="5">
        <v>61</v>
      </c>
      <c r="B4" s="6" t="s">
        <v>20</v>
      </c>
      <c r="C4" s="7" t="s">
        <v>12</v>
      </c>
      <c r="D4" s="8" t="str">
        <f>VLOOKUP(B4,'[3]Sales Force'!$D:$J,7,0)</f>
        <v>BUM</v>
      </c>
      <c r="E4" s="41" t="s">
        <v>601</v>
      </c>
      <c r="F4" s="8"/>
      <c r="G4" s="9"/>
      <c r="H4" s="8" t="str">
        <f>VLOOKUP(B4,'[3]Sales Force'!$D:$H,5,0)</f>
        <v>Unit 3</v>
      </c>
      <c r="I4" s="8" t="str">
        <f>VLOOKUP(B4,'[3]Sales Force'!$D:$N,11,0)</f>
        <v>aboelabbas.samir@averroes-eg.com</v>
      </c>
      <c r="J4" s="10" t="s">
        <v>16</v>
      </c>
    </row>
    <row r="5" spans="1:10">
      <c r="A5" s="5">
        <v>160</v>
      </c>
      <c r="B5" s="6" t="s">
        <v>21</v>
      </c>
      <c r="C5" s="7" t="s">
        <v>12</v>
      </c>
      <c r="D5" s="8" t="str">
        <f>VLOOKUP(B5,'[3]Sales Force'!$D:$J,7,0)</f>
        <v>LM</v>
      </c>
      <c r="E5" s="41" t="s">
        <v>601</v>
      </c>
      <c r="F5" s="8">
        <f>VLOOKUP(B5,'[3]Sales Force'!$D:$L,9,0)</f>
        <v>1028045242</v>
      </c>
      <c r="G5" s="9">
        <f>VLOOKUP(B5,'[3]Sales Force'!$D:$M,10,0)</f>
        <v>39376</v>
      </c>
      <c r="H5" s="8" t="str">
        <f>VLOOKUP(B5,'[3]Sales Force'!$D:$H,5,0)</f>
        <v>Unit 4</v>
      </c>
      <c r="I5" s="8" t="str">
        <f>VLOOKUP(B5,'[3]Sales Force'!$D:$N,11,0)</f>
        <v>abdallah.gamal@averroes-eg.com</v>
      </c>
      <c r="J5" s="8" t="str">
        <f>VLOOKUP(B5,'[3]Sales Force'!$D:$P,13,0)</f>
        <v>Menof</v>
      </c>
    </row>
    <row r="6" spans="1:10">
      <c r="A6" s="5">
        <v>799</v>
      </c>
      <c r="B6" s="11" t="s">
        <v>22</v>
      </c>
      <c r="C6" s="8" t="str">
        <f>VLOOKUP(B6,'[3]Sales Force'!$D:$G,4,0)</f>
        <v>Abd Elhameed Elshiekh</v>
      </c>
      <c r="D6" s="8" t="str">
        <f>VLOOKUP(B6,'[3]Sales Force'!$D:$J,7,0)</f>
        <v>AM</v>
      </c>
      <c r="E6" s="8">
        <f>VLOOKUP(C6,'[3]Sales Force'!$D:$O,12,0)</f>
        <v>59</v>
      </c>
      <c r="F6" s="8">
        <f>VLOOKUP(B6,'[3]Sales Force'!$D:$L,9,0)</f>
        <v>1097195559</v>
      </c>
      <c r="G6" s="9">
        <f>VLOOKUP(B6,'[3]Sales Force'!$D:$M,10,0)</f>
        <v>44378</v>
      </c>
      <c r="H6" s="8" t="str">
        <f>VLOOKUP(B6,'[3]Sales Force'!$D:$H,5,0)</f>
        <v>Averozolid Line</v>
      </c>
      <c r="I6" s="8" t="str">
        <f>VLOOKUP(B6,'[3]Sales Force'!$D:$N,11,0)</f>
        <v>Ahmed.Hamdy.Ahmed@averroes-eg.com</v>
      </c>
      <c r="J6" s="8" t="str">
        <f>VLOOKUP(B6,'[3]Sales Force'!$D:$P,13,0)</f>
        <v>Sidi Beshr Kebly</v>
      </c>
    </row>
    <row r="7" spans="1:10">
      <c r="A7" s="5">
        <v>1063</v>
      </c>
      <c r="B7" s="12" t="s">
        <v>23</v>
      </c>
      <c r="C7" s="8" t="str">
        <f>VLOOKUP(B7,'[3]Sales Force'!$D:$F,3,0)</f>
        <v>Ahmed Hamdy Ahmed</v>
      </c>
      <c r="D7" s="8" t="str">
        <f>VLOOKUP(B7,'[3]Sales Force'!$D:$J,7,0)</f>
        <v>DM</v>
      </c>
      <c r="E7" s="8">
        <f>VLOOKUP(C7,'[3]Sales Force'!$D:$O,12,0)</f>
        <v>799</v>
      </c>
      <c r="F7" s="8">
        <f>VLOOKUP(B7,'[3]Sales Force'!$D:$L,9,0)</f>
        <v>1013426462</v>
      </c>
      <c r="G7" s="9">
        <f>VLOOKUP(B7,'[3]Sales Force'!$D:$M,10,0)</f>
        <v>44927</v>
      </c>
      <c r="H7" s="8" t="str">
        <f>VLOOKUP(B7,'[3]Sales Force'!$D:$H,5,0)</f>
        <v>Averozolid Line</v>
      </c>
      <c r="I7" s="8" t="str">
        <f>VLOOKUP(B7,'[3]Sales Force'!$D:$N,11,0)</f>
        <v>Asmaa.Ahmed.Mohamed@averroes-eg.com</v>
      </c>
      <c r="J7" s="8" t="str">
        <f>VLOOKUP(B7,'[3]Sales Force'!$D:$P,13,0)</f>
        <v>El Agamy</v>
      </c>
    </row>
    <row r="8" spans="1:10">
      <c r="A8" s="5">
        <v>1723</v>
      </c>
      <c r="B8" s="13" t="s">
        <v>24</v>
      </c>
      <c r="C8" s="8" t="str">
        <f>VLOOKUP(B8,'[3]Sales Force'!$D:$E,2,0)</f>
        <v>Asmaa Ahmed Mohamed</v>
      </c>
      <c r="D8" s="8" t="str">
        <f>VLOOKUP(B8,'[3]Sales Force'!$D:$J,7,0)</f>
        <v>MR</v>
      </c>
      <c r="E8" s="8">
        <f>VLOOKUP(C8,'[3]Sales Force'!$D:$O,12,0)</f>
        <v>1063</v>
      </c>
      <c r="F8" s="8">
        <f>VLOOKUP(B8,'[3]Sales Force'!$D:$L,9,0)</f>
        <v>1024665225</v>
      </c>
      <c r="G8" s="9">
        <f>VLOOKUP(B8,'[3]Sales Force'!$D:$M,10,0)</f>
        <v>45871</v>
      </c>
      <c r="H8" s="8" t="str">
        <f>VLOOKUP(B8,'[3]Sales Force'!$D:$H,5,0)</f>
        <v>Averozolid Line</v>
      </c>
      <c r="I8" s="8"/>
      <c r="J8" s="8" t="str">
        <f>VLOOKUP(B8,'[3]Sales Force'!$D:$P,13,0)</f>
        <v>Abo Homos</v>
      </c>
    </row>
    <row r="9" spans="1:10">
      <c r="A9" s="5">
        <v>1064</v>
      </c>
      <c r="B9" s="13" t="s">
        <v>26</v>
      </c>
      <c r="C9" s="8" t="str">
        <f>VLOOKUP(B9,'[3]Sales Force'!$D:$E,2,0)</f>
        <v>Asmaa Ahmed Mohamed</v>
      </c>
      <c r="D9" s="8" t="str">
        <f>VLOOKUP(B9,'[3]Sales Force'!$D:$J,7,0)</f>
        <v>MR</v>
      </c>
      <c r="E9" s="8">
        <f>VLOOKUP(C9,'[3]Sales Force'!$D:$O,12,0)</f>
        <v>1063</v>
      </c>
      <c r="F9" s="8">
        <f>VLOOKUP(B9,'[3]Sales Force'!$D:$L,9,0)</f>
        <v>1065290292</v>
      </c>
      <c r="G9" s="9">
        <f>VLOOKUP(B9,'[3]Sales Force'!$D:$M,10,0)</f>
        <v>44927</v>
      </c>
      <c r="H9" s="8" t="str">
        <f>VLOOKUP(B9,'[3]Sales Force'!$D:$H,5,0)</f>
        <v>Averozolid Line</v>
      </c>
      <c r="I9" s="8"/>
      <c r="J9" s="8" t="str">
        <f>VLOOKUP(B9,'[3]Sales Force'!$D:$P,13,0)</f>
        <v>El Asafra Kebly</v>
      </c>
    </row>
    <row r="10" spans="1:10">
      <c r="A10" s="5">
        <v>1814</v>
      </c>
      <c r="B10" s="13" t="s">
        <v>27</v>
      </c>
      <c r="C10" s="8" t="str">
        <f>VLOOKUP(B10,'[3]Sales Force'!$D:$E,2,0)</f>
        <v>Asmaa Ahmed Mohamed</v>
      </c>
      <c r="D10" s="8" t="str">
        <f>VLOOKUP(B10,'[3]Sales Force'!$D:$J,7,0)</f>
        <v>MR</v>
      </c>
      <c r="E10" s="8">
        <f>VLOOKUP(C10,'[3]Sales Force'!$D:$O,12,0)</f>
        <v>1063</v>
      </c>
      <c r="F10" s="8">
        <f>VLOOKUP(B10,'[3]Sales Force'!$D:$L,9,0)</f>
        <v>1021405443</v>
      </c>
      <c r="G10" s="9">
        <f>VLOOKUP(B10,'[3]Sales Force'!$D:$M,10,0)</f>
        <v>45998</v>
      </c>
      <c r="H10" s="8" t="str">
        <f>VLOOKUP(B10,'[3]Sales Force'!$D:$H,5,0)</f>
        <v>Averozolid Line</v>
      </c>
      <c r="I10" s="8"/>
      <c r="J10" s="8" t="str">
        <f>VLOOKUP(B10,'[3]Sales Force'!$D:$P,13,0)</f>
        <v>Abou El Matameer</v>
      </c>
    </row>
    <row r="11" spans="1:10">
      <c r="A11" s="5">
        <v>1570</v>
      </c>
      <c r="B11" s="13" t="s">
        <v>28</v>
      </c>
      <c r="C11" s="8" t="str">
        <f>VLOOKUP(B11,'[3]Sales Force'!$D:$E,2,0)</f>
        <v>Asmaa Ahmed Mohamed</v>
      </c>
      <c r="D11" s="8" t="str">
        <f>VLOOKUP(B11,'[3]Sales Force'!$D:$J,7,0)</f>
        <v>MR</v>
      </c>
      <c r="E11" s="8">
        <f>VLOOKUP(C11,'[3]Sales Force'!$D:$O,12,0)</f>
        <v>1063</v>
      </c>
      <c r="F11" s="8">
        <f>VLOOKUP(B11,'[3]Sales Force'!$D:$L,9,0)</f>
        <v>1204775122</v>
      </c>
      <c r="G11" s="9">
        <f>VLOOKUP(B11,'[3]Sales Force'!$D:$M,10,0)</f>
        <v>45718</v>
      </c>
      <c r="H11" s="8" t="str">
        <f>VLOOKUP(B11,'[3]Sales Force'!$D:$H,5,0)</f>
        <v>Averozolid Line</v>
      </c>
      <c r="I11" s="8"/>
      <c r="J11" s="8" t="str">
        <f>VLOOKUP(B11,'[3]Sales Force'!$D:$P,13,0)</f>
        <v>Sidi Beshr</v>
      </c>
    </row>
    <row r="12" spans="1:10">
      <c r="A12" s="5">
        <v>1692</v>
      </c>
      <c r="B12" s="13" t="s">
        <v>29</v>
      </c>
      <c r="C12" s="8" t="str">
        <f>VLOOKUP(B12,'[3]Sales Force'!$D:$E,2,0)</f>
        <v>Asmaa Ahmed Mohamed</v>
      </c>
      <c r="D12" s="8" t="str">
        <f>VLOOKUP(B12,'[3]Sales Force'!$D:$J,7,0)</f>
        <v>MR</v>
      </c>
      <c r="E12" s="8">
        <f>VLOOKUP(C12,'[3]Sales Force'!$D:$O,12,0)</f>
        <v>1063</v>
      </c>
      <c r="F12" s="8">
        <f>VLOOKUP(B12,'[3]Sales Force'!$D:$L,9,0)</f>
        <v>1200640829</v>
      </c>
      <c r="G12" s="9">
        <f>VLOOKUP(B12,'[3]Sales Force'!$D:$M,10,0)</f>
        <v>45822</v>
      </c>
      <c r="H12" s="8" t="str">
        <f>VLOOKUP(B12,'[3]Sales Force'!$D:$H,5,0)</f>
        <v>Averozolid Line</v>
      </c>
      <c r="I12" s="8"/>
      <c r="J12" s="8" t="str">
        <f>VLOOKUP(B12,'[3]Sales Force'!$D:$P,13,0)</f>
        <v>El Mahmoudia</v>
      </c>
    </row>
    <row r="13" spans="1:10">
      <c r="A13" s="5">
        <v>484</v>
      </c>
      <c r="B13" s="13" t="s">
        <v>30</v>
      </c>
      <c r="C13" s="8" t="str">
        <f>VLOOKUP(B13,'[3]Sales Force'!$D:$E,2,0)</f>
        <v>Asmaa Ahmed Mohamed</v>
      </c>
      <c r="D13" s="8" t="str">
        <f>VLOOKUP(B13,'[3]Sales Force'!$D:$J,7,0)</f>
        <v>MR</v>
      </c>
      <c r="E13" s="8">
        <f>VLOOKUP(C13,'[3]Sales Force'!$D:$O,12,0)</f>
        <v>1063</v>
      </c>
      <c r="F13" s="8">
        <f>VLOOKUP(B13,'[3]Sales Force'!$D:$L,9,0)</f>
        <v>1143315381</v>
      </c>
      <c r="G13" s="9">
        <f>VLOOKUP(B13,'[3]Sales Force'!$D:$M,10,0)</f>
        <v>43757</v>
      </c>
      <c r="H13" s="8" t="str">
        <f>VLOOKUP(B13,'[3]Sales Force'!$D:$H,5,0)</f>
        <v>Averozolid Line</v>
      </c>
      <c r="I13" s="8"/>
      <c r="J13" s="8" t="str">
        <f>VLOOKUP(B13,'[3]Sales Force'!$D:$P,13,0)</f>
        <v>Gleem - Stanly</v>
      </c>
    </row>
    <row r="14" spans="1:10">
      <c r="A14" s="5">
        <v>782</v>
      </c>
      <c r="B14" s="12" t="s">
        <v>31</v>
      </c>
      <c r="C14" s="8" t="str">
        <f>VLOOKUP(B14,'[3]Sales Force'!$D:$F,3,0)</f>
        <v>Ahmed Hamdy Ahmed</v>
      </c>
      <c r="D14" s="8" t="str">
        <f>VLOOKUP(B14,'[3]Sales Force'!$D:$J,7,0)</f>
        <v>DM</v>
      </c>
      <c r="E14" s="8">
        <f>VLOOKUP(C14,'[3]Sales Force'!$D:$O,12,0)</f>
        <v>799</v>
      </c>
      <c r="F14" s="8">
        <f>VLOOKUP(B14,'[3]Sales Force'!$D:$L,9,0)</f>
        <v>1065292874</v>
      </c>
      <c r="G14" s="9">
        <f>VLOOKUP(B14,'[3]Sales Force'!$D:$M,10,0)</f>
        <v>44348</v>
      </c>
      <c r="H14" s="8" t="str">
        <f>VLOOKUP(B14,'[3]Sales Force'!$D:$H,5,0)</f>
        <v>Averozolid Line</v>
      </c>
      <c r="I14" s="8" t="str">
        <f>VLOOKUP(B14,'[3]Sales Force'!$D:$N,11,0)</f>
        <v>Mai.Ahmed.Behiry@averroes-eg.com</v>
      </c>
      <c r="J14" s="8" t="str">
        <f>VLOOKUP(B14,'[3]Sales Force'!$D:$P,13,0)</f>
        <v>Damanhour</v>
      </c>
    </row>
    <row r="15" spans="1:10">
      <c r="A15" s="5">
        <v>1134</v>
      </c>
      <c r="B15" s="13" t="s">
        <v>32</v>
      </c>
      <c r="C15" s="8" t="str">
        <f>VLOOKUP(B15,'[3]Sales Force'!$D:$E,2,0)</f>
        <v>Mai Ahmed Behiry</v>
      </c>
      <c r="D15" s="8" t="str">
        <f>VLOOKUP(B15,'[3]Sales Force'!$D:$J,7,0)</f>
        <v>MR</v>
      </c>
      <c r="E15" s="8">
        <f>VLOOKUP(C15,'[3]Sales Force'!$D:$O,12,0)</f>
        <v>782</v>
      </c>
      <c r="F15" s="8">
        <f>VLOOKUP(B15,'[3]Sales Force'!$D:$L,9,0)</f>
        <v>1019187658</v>
      </c>
      <c r="G15" s="9">
        <f>VLOOKUP(B15,'[3]Sales Force'!$D:$M,10,0)</f>
        <v>44958</v>
      </c>
      <c r="H15" s="8" t="str">
        <f>VLOOKUP(B15,'[3]Sales Force'!$D:$H,5,0)</f>
        <v>Averozolid Line</v>
      </c>
      <c r="I15" s="8"/>
      <c r="J15" s="8" t="str">
        <f>VLOOKUP(B15,'[3]Sales Force'!$D:$P,13,0)</f>
        <v>Desouk</v>
      </c>
    </row>
    <row r="16" spans="1:10">
      <c r="A16" s="5">
        <v>1913</v>
      </c>
      <c r="B16" s="14" t="s">
        <v>602</v>
      </c>
      <c r="C16" s="8" t="str">
        <f>VLOOKUP(B16,'[3]Sales Force'!$D:$E,2,0)</f>
        <v>Mai Ahmed Behiry</v>
      </c>
      <c r="D16" s="8" t="str">
        <f>VLOOKUP(B16,'[3]Sales Force'!$D:$J,7,0)</f>
        <v>MR</v>
      </c>
      <c r="E16" s="8">
        <f>VLOOKUP(C16,'[3]Sales Force'!$D:$O,12,0)</f>
        <v>782</v>
      </c>
      <c r="F16" s="8">
        <f>VLOOKUP(B16,'[3]Sales Force'!$D:$L,9,0)</f>
        <v>1551154854</v>
      </c>
      <c r="G16" s="9">
        <f>VLOOKUP(B16,'[3]Sales Force'!$D:$M,10,0)</f>
        <v>46113</v>
      </c>
      <c r="H16" s="8" t="str">
        <f>VLOOKUP(B16,'[3]Sales Force'!$D:$H,5,0)</f>
        <v>Averozolid Line</v>
      </c>
      <c r="I16" s="8"/>
      <c r="J16" s="8" t="str">
        <f>VLOOKUP(B16,'[3]Sales Force'!$D:$P,13,0)</f>
        <v>Damanhour</v>
      </c>
    </row>
    <row r="17" spans="1:10">
      <c r="A17" s="5">
        <v>1937</v>
      </c>
      <c r="B17" s="14" t="s">
        <v>603</v>
      </c>
      <c r="C17" s="8" t="str">
        <f>VLOOKUP(B17,'[3]Sales Force'!$D:$E,2,0)</f>
        <v>Mai Ahmed Behiry</v>
      </c>
      <c r="D17" s="8" t="str">
        <f>VLOOKUP(B17,'[3]Sales Force'!$D:$J,7,0)</f>
        <v>MR</v>
      </c>
      <c r="E17" s="8">
        <f>VLOOKUP(C17,'[3]Sales Force'!$D:$O,12,0)</f>
        <v>782</v>
      </c>
      <c r="F17" s="8">
        <f>VLOOKUP(B17,'[3]Sales Force'!$D:$L,9,0)</f>
        <v>1007908932</v>
      </c>
      <c r="G17" s="9">
        <f>VLOOKUP(B17,'[3]Sales Force'!$D:$M,10,0)</f>
        <v>46126</v>
      </c>
      <c r="H17" s="8" t="str">
        <f>VLOOKUP(B17,'[3]Sales Force'!$D:$H,5,0)</f>
        <v>Averozolid Line</v>
      </c>
      <c r="I17" s="8"/>
      <c r="J17" s="8" t="str">
        <f>VLOOKUP(B17,'[3]Sales Force'!$D:$P,13,0)</f>
        <v>Kom Hamada</v>
      </c>
    </row>
    <row r="18" spans="1:10">
      <c r="A18" s="5">
        <v>1226</v>
      </c>
      <c r="B18" s="13" t="s">
        <v>33</v>
      </c>
      <c r="C18" s="8" t="str">
        <f>VLOOKUP(B18,'[3]Sales Force'!$D:$E,2,0)</f>
        <v>Mai Ahmed Behiry</v>
      </c>
      <c r="D18" s="8" t="str">
        <f>VLOOKUP(B18,'[3]Sales Force'!$D:$J,7,0)</f>
        <v>MR</v>
      </c>
      <c r="E18" s="8">
        <f>VLOOKUP(C18,'[3]Sales Force'!$D:$O,12,0)</f>
        <v>782</v>
      </c>
      <c r="F18" s="8">
        <f>VLOOKUP(B18,'[3]Sales Force'!$D:$L,9,0)</f>
        <v>1027218951</v>
      </c>
      <c r="G18" s="9">
        <f>VLOOKUP(B18,'[3]Sales Force'!$D:$M,10,0)</f>
        <v>45094</v>
      </c>
      <c r="H18" s="8" t="str">
        <f>VLOOKUP(B18,'[3]Sales Force'!$D:$H,5,0)</f>
        <v>Averozolid Line</v>
      </c>
      <c r="I18" s="8"/>
      <c r="J18" s="8" t="str">
        <f>VLOOKUP(B18,'[3]Sales Force'!$D:$P,13,0)</f>
        <v>Etay El Baroud</v>
      </c>
    </row>
    <row r="19" spans="1:10">
      <c r="A19" s="5">
        <v>637</v>
      </c>
      <c r="B19" s="13" t="s">
        <v>34</v>
      </c>
      <c r="C19" s="8" t="str">
        <f>VLOOKUP(B19,'[3]Sales Force'!$D:$E,2,0)</f>
        <v>Mai Ahmed Behiry</v>
      </c>
      <c r="D19" s="8" t="str">
        <f>VLOOKUP(B19,'[3]Sales Force'!$D:$J,7,0)</f>
        <v>MR</v>
      </c>
      <c r="E19" s="8">
        <f>VLOOKUP(C19,'[3]Sales Force'!$D:$O,12,0)</f>
        <v>782</v>
      </c>
      <c r="F19" s="8">
        <f>VLOOKUP(B19,'[3]Sales Force'!$D:$L,9,0)</f>
        <v>1012117062</v>
      </c>
      <c r="G19" s="9">
        <f>VLOOKUP(B19,'[3]Sales Force'!$D:$M,10,0)</f>
        <v>43892</v>
      </c>
      <c r="H19" s="8" t="str">
        <f>VLOOKUP(B19,'[3]Sales Force'!$D:$H,5,0)</f>
        <v>Averozolid Line</v>
      </c>
      <c r="I19" s="8"/>
      <c r="J19" s="8" t="str">
        <f>VLOOKUP(B19,'[3]Sales Force'!$D:$P,13,0)</f>
        <v>Kafr El Shiekh</v>
      </c>
    </row>
    <row r="20" spans="1:10">
      <c r="A20" s="5">
        <v>551</v>
      </c>
      <c r="B20" s="13" t="s">
        <v>35</v>
      </c>
      <c r="C20" s="8" t="str">
        <f>VLOOKUP(B20,'[3]Sales Force'!$D:$E,2,0)</f>
        <v>Mai Ahmed Behiry</v>
      </c>
      <c r="D20" s="8" t="str">
        <f>VLOOKUP(B20,'[3]Sales Force'!$D:$J,7,0)</f>
        <v>MR</v>
      </c>
      <c r="E20" s="8">
        <f>VLOOKUP(C20,'[3]Sales Force'!$D:$O,12,0)</f>
        <v>782</v>
      </c>
      <c r="F20" s="8">
        <f>VLOOKUP(B20,'[3]Sales Force'!$D:$L,9,0)</f>
        <v>1064834835</v>
      </c>
      <c r="G20" s="9">
        <f>VLOOKUP(B20,'[3]Sales Force'!$D:$M,10,0)</f>
        <v>43852</v>
      </c>
      <c r="H20" s="8" t="str">
        <f>VLOOKUP(B20,'[3]Sales Force'!$D:$H,5,0)</f>
        <v>Averozolid Line</v>
      </c>
      <c r="I20" s="8"/>
      <c r="J20" s="8" t="str">
        <f>VLOOKUP(B20,'[3]Sales Force'!$D:$P,13,0)</f>
        <v>Kafr El Shiekh</v>
      </c>
    </row>
    <row r="21" spans="1:10">
      <c r="A21" s="5">
        <v>974</v>
      </c>
      <c r="B21" s="12" t="s">
        <v>36</v>
      </c>
      <c r="C21" s="8" t="str">
        <f>VLOOKUP(B21,'[3]Sales Force'!$D:$F,3,0)</f>
        <v>Ahmed Hamdy Ahmed</v>
      </c>
      <c r="D21" s="8" t="str">
        <f>VLOOKUP(B21,'[3]Sales Force'!$D:$J,7,0)</f>
        <v>DM</v>
      </c>
      <c r="E21" s="8">
        <f>VLOOKUP(C21,'[3]Sales Force'!$D:$O,12,0)</f>
        <v>799</v>
      </c>
      <c r="F21" s="8">
        <f>VLOOKUP(B21,'[3]Sales Force'!$D:$L,9,0)</f>
        <v>1277121908</v>
      </c>
      <c r="G21" s="9">
        <f>VLOOKUP(B21,'[3]Sales Force'!$D:$M,10,0)</f>
        <v>44758</v>
      </c>
      <c r="H21" s="8" t="str">
        <f>VLOOKUP(B21,'[3]Sales Force'!$D:$H,5,0)</f>
        <v>Averozolid Line</v>
      </c>
      <c r="I21" s="8" t="str">
        <f>VLOOKUP(B21,'[3]Sales Force'!$D:$N,11,0)</f>
        <v>Marina.Adel.Samy@averroes-eg.com</v>
      </c>
      <c r="J21" s="8" t="str">
        <f>VLOOKUP(B21,'[3]Sales Force'!$D:$P,13,0)</f>
        <v>Moharam Bek</v>
      </c>
    </row>
    <row r="22" spans="1:10">
      <c r="A22" s="5">
        <v>1451</v>
      </c>
      <c r="B22" s="13" t="s">
        <v>37</v>
      </c>
      <c r="C22" s="8" t="str">
        <f>VLOOKUP(B22,'[3]Sales Force'!$D:$E,2,0)</f>
        <v>Marina Adel Samy</v>
      </c>
      <c r="D22" s="8" t="str">
        <f>VLOOKUP(B22,'[3]Sales Force'!$D:$J,7,0)</f>
        <v>MR</v>
      </c>
      <c r="E22" s="8">
        <f>VLOOKUP(C22,'[3]Sales Force'!$D:$O,12,0)</f>
        <v>974</v>
      </c>
      <c r="F22" s="8">
        <f>VLOOKUP(B22,'[3]Sales Force'!$D:$L,9,0)</f>
        <v>1211159906</v>
      </c>
      <c r="G22" s="9">
        <f>VLOOKUP(B22,'[3]Sales Force'!$D:$M,10,0)</f>
        <v>45577</v>
      </c>
      <c r="H22" s="8" t="str">
        <f>VLOOKUP(B22,'[3]Sales Force'!$D:$H,5,0)</f>
        <v>Averozolid Line</v>
      </c>
      <c r="I22" s="8"/>
      <c r="J22" s="8" t="str">
        <f>VLOOKUP(B22,'[3]Sales Force'!$D:$P,13,0)</f>
        <v>El Qabary</v>
      </c>
    </row>
    <row r="23" spans="1:10">
      <c r="A23" s="5">
        <v>1582</v>
      </c>
      <c r="B23" s="13" t="s">
        <v>38</v>
      </c>
      <c r="C23" s="8" t="str">
        <f>VLOOKUP(B23,'[3]Sales Force'!$D:$E,2,0)</f>
        <v>Marina Adel Samy</v>
      </c>
      <c r="D23" s="8" t="str">
        <f>VLOOKUP(B23,'[3]Sales Force'!$D:$J,7,0)</f>
        <v>MR</v>
      </c>
      <c r="E23" s="8">
        <f>VLOOKUP(C23,'[3]Sales Force'!$D:$O,12,0)</f>
        <v>974</v>
      </c>
      <c r="F23" s="8">
        <f>VLOOKUP(B23,'[3]Sales Force'!$D:$L,9,0)</f>
        <v>1009692686</v>
      </c>
      <c r="G23" s="9">
        <f>VLOOKUP(B23,'[3]Sales Force'!$D:$M,10,0)</f>
        <v>45725</v>
      </c>
      <c r="H23" s="8" t="str">
        <f>VLOOKUP(B23,'[3]Sales Force'!$D:$H,5,0)</f>
        <v>Averozolid Line</v>
      </c>
      <c r="I23" s="8"/>
      <c r="J23" s="8" t="str">
        <f>VLOOKUP(B23,'[3]Sales Force'!$D:$P,13,0)</f>
        <v>El Ebrahimia</v>
      </c>
    </row>
    <row r="24" spans="1:10">
      <c r="A24" s="5">
        <v>1834</v>
      </c>
      <c r="B24" s="13" t="s">
        <v>39</v>
      </c>
      <c r="C24" s="8" t="str">
        <f>VLOOKUP(B24,'[3]Sales Force'!$D:$E,2,0)</f>
        <v>Marina Adel Samy</v>
      </c>
      <c r="D24" s="8" t="str">
        <f>VLOOKUP(B24,'[3]Sales Force'!$D:$J,7,0)</f>
        <v>MR</v>
      </c>
      <c r="E24" s="8">
        <f>VLOOKUP(C24,'[3]Sales Force'!$D:$O,12,0)</f>
        <v>974</v>
      </c>
      <c r="F24" s="8">
        <f>VLOOKUP(B24,'[3]Sales Force'!$D:$L,9,0)</f>
        <v>1212271646</v>
      </c>
      <c r="G24" s="9">
        <f>VLOOKUP(B24,'[3]Sales Force'!$D:$M,10,0)</f>
        <v>46011</v>
      </c>
      <c r="H24" s="8" t="str">
        <f>VLOOKUP(B24,'[3]Sales Force'!$D:$H,5,0)</f>
        <v>Averozolid Line</v>
      </c>
      <c r="I24" s="8"/>
      <c r="J24" s="8" t="str">
        <f>VLOOKUP(B24,'[3]Sales Force'!$D:$P,13,0)</f>
        <v>Victoria</v>
      </c>
    </row>
    <row r="25" spans="1:10">
      <c r="A25" s="5">
        <v>1267</v>
      </c>
      <c r="B25" s="13" t="s">
        <v>40</v>
      </c>
      <c r="C25" s="8" t="str">
        <f>VLOOKUP(B25,'[3]Sales Force'!$D:$E,2,0)</f>
        <v>Marina Adel Samy</v>
      </c>
      <c r="D25" s="8" t="str">
        <f>VLOOKUP(B25,'[3]Sales Force'!$D:$J,7,0)</f>
        <v>MR</v>
      </c>
      <c r="E25" s="8">
        <f>VLOOKUP(C25,'[3]Sales Force'!$D:$O,12,0)</f>
        <v>974</v>
      </c>
      <c r="F25" s="8">
        <f>VLOOKUP(B25,'[3]Sales Force'!$D:$L,9,0)</f>
        <v>1122177715</v>
      </c>
      <c r="G25" s="9">
        <f>VLOOKUP(B25,'[3]Sales Force'!$D:$M,10,0)</f>
        <v>45185</v>
      </c>
      <c r="H25" s="8" t="str">
        <f>VLOOKUP(B25,'[3]Sales Force'!$D:$H,5,0)</f>
        <v>Averozolid Line</v>
      </c>
      <c r="I25" s="8"/>
      <c r="J25" s="8" t="str">
        <f>VLOOKUP(B25,'[3]Sales Force'!$D:$P,13,0)</f>
        <v>El Dekhiala</v>
      </c>
    </row>
    <row r="26" spans="1:10">
      <c r="A26" s="5">
        <v>1699</v>
      </c>
      <c r="B26" s="13" t="s">
        <v>41</v>
      </c>
      <c r="C26" s="8" t="str">
        <f>VLOOKUP(B26,'[3]Sales Force'!$D:$E,2,0)</f>
        <v>Marina Adel Samy</v>
      </c>
      <c r="D26" s="8" t="str">
        <f>VLOOKUP(B26,'[3]Sales Force'!$D:$J,7,0)</f>
        <v>MR</v>
      </c>
      <c r="E26" s="8">
        <f>VLOOKUP(C26,'[3]Sales Force'!$D:$O,12,0)</f>
        <v>974</v>
      </c>
      <c r="F26" s="8">
        <f>VLOOKUP(B26,'[3]Sales Force'!$D:$L,9,0)</f>
        <v>1222218132</v>
      </c>
      <c r="G26" s="9">
        <f>VLOOKUP(B26,'[3]Sales Force'!$D:$M,10,0)</f>
        <v>45839</v>
      </c>
      <c r="H26" s="8" t="str">
        <f>VLOOKUP(B26,'[3]Sales Force'!$D:$H,5,0)</f>
        <v>Averozolid Line</v>
      </c>
      <c r="I26" s="8"/>
      <c r="J26" s="8" t="str">
        <f>VLOOKUP(B26,'[3]Sales Force'!$D:$P,13,0)</f>
        <v>Abo Yousef</v>
      </c>
    </row>
    <row r="27" spans="1:10">
      <c r="A27" s="5">
        <v>618</v>
      </c>
      <c r="B27" s="11" t="s">
        <v>42</v>
      </c>
      <c r="C27" s="8" t="str">
        <f>VLOOKUP(B27,'[3]Sales Force'!$D:$G,4,0)</f>
        <v>Abd Elhameed Elshiekh</v>
      </c>
      <c r="D27" s="8" t="str">
        <f>VLOOKUP(B27,'[3]Sales Force'!$D:$J,7,0)</f>
        <v>AM</v>
      </c>
      <c r="E27" s="8">
        <f>VLOOKUP(C27,'[3]Sales Force'!$D:$O,12,0)</f>
        <v>59</v>
      </c>
      <c r="F27" s="8">
        <f>VLOOKUP(B27,'[3]Sales Force'!$D:$L,9,0)</f>
        <v>1000720221</v>
      </c>
      <c r="G27" s="9">
        <f>VLOOKUP(B27,'[3]Sales Force'!$D:$M,10,0)</f>
        <v>43876</v>
      </c>
      <c r="H27" s="8" t="str">
        <f>VLOOKUP(B27,'[3]Sales Force'!$D:$H,5,0)</f>
        <v>Averozolid Line</v>
      </c>
      <c r="I27" s="8" t="str">
        <f>VLOOKUP(B27,'[3]Sales Force'!$D:$N,11,0)</f>
        <v>ahmed.shawky@averroes-eg.com</v>
      </c>
      <c r="J27" s="8" t="str">
        <f>VLOOKUP(B27,'[3]Sales Force'!$D:$P,13,0)</f>
        <v>10th Of Ramadan</v>
      </c>
    </row>
    <row r="28" spans="1:10">
      <c r="A28" s="5">
        <v>1375</v>
      </c>
      <c r="B28" s="12" t="s">
        <v>43</v>
      </c>
      <c r="C28" s="8" t="str">
        <f>VLOOKUP(B28,'[3]Sales Force'!$D:$F,3,0)</f>
        <v>Ahmed Shawky Adawy</v>
      </c>
      <c r="D28" s="8" t="str">
        <f>VLOOKUP(B28,'[3]Sales Force'!$D:$J,7,0)</f>
        <v>DM</v>
      </c>
      <c r="E28" s="8">
        <f>VLOOKUP(C28,'[3]Sales Force'!$D:$O,12,0)</f>
        <v>618</v>
      </c>
      <c r="F28" s="8">
        <f>VLOOKUP(B28,'[3]Sales Force'!$D:$L,9,0)</f>
        <v>1067226786</v>
      </c>
      <c r="G28" s="9">
        <f>VLOOKUP(B28,'[3]Sales Force'!$D:$M,10,0)</f>
        <v>45444</v>
      </c>
      <c r="H28" s="8" t="str">
        <f>VLOOKUP(B28,'[3]Sales Force'!$D:$H,5,0)</f>
        <v>Averozolid Line</v>
      </c>
      <c r="I28" s="8" t="str">
        <f>VLOOKUP(B28,'[3]Sales Force'!$D:$N,11,0)</f>
        <v>Mayada.Rashad@averroes-eg.com</v>
      </c>
      <c r="J28" s="8" t="str">
        <f>VLOOKUP(B28,'[3]Sales Force'!$D:$P,13,0)</f>
        <v>Talkha</v>
      </c>
    </row>
    <row r="29" spans="1:10">
      <c r="A29" s="5">
        <v>1781</v>
      </c>
      <c r="B29" s="13" t="s">
        <v>44</v>
      </c>
      <c r="C29" s="8" t="str">
        <f>VLOOKUP(B29,'[3]Sales Force'!$D:$E,2,0)</f>
        <v>Mayada Ahmed Rashad</v>
      </c>
      <c r="D29" s="8" t="str">
        <f>VLOOKUP(B29,'[3]Sales Force'!$D:$J,7,0)</f>
        <v>MR</v>
      </c>
      <c r="E29" s="8">
        <f>VLOOKUP(C29,'[3]Sales Force'!$D:$O,12,0)</f>
        <v>1375</v>
      </c>
      <c r="F29" s="8">
        <f>VLOOKUP(B29,'[3]Sales Force'!$D:$L,9,0)</f>
        <v>1098474522</v>
      </c>
      <c r="G29" s="9">
        <f>VLOOKUP(B29,'[3]Sales Force'!$D:$M,10,0)</f>
        <v>45963</v>
      </c>
      <c r="H29" s="8" t="str">
        <f>VLOOKUP(B29,'[3]Sales Force'!$D:$H,5,0)</f>
        <v>Averozolid Line</v>
      </c>
      <c r="I29" s="8"/>
      <c r="J29" s="8" t="str">
        <f>VLOOKUP(B29,'[3]Sales Force'!$D:$P,13,0)</f>
        <v>El Mansoura</v>
      </c>
    </row>
    <row r="30" spans="1:10">
      <c r="A30" s="5">
        <v>227</v>
      </c>
      <c r="B30" s="13" t="s">
        <v>45</v>
      </c>
      <c r="C30" s="8" t="str">
        <f>VLOOKUP(B30,'[3]Sales Force'!$D:$E,2,0)</f>
        <v>Mayada Ahmed Rashad</v>
      </c>
      <c r="D30" s="8" t="str">
        <f>VLOOKUP(B30,'[3]Sales Force'!$D:$J,7,0)</f>
        <v>MR</v>
      </c>
      <c r="E30" s="8">
        <f>VLOOKUP(C30,'[3]Sales Force'!$D:$O,12,0)</f>
        <v>1375</v>
      </c>
      <c r="F30" s="8" t="str">
        <f>VLOOKUP(B30,'[3]Sales Force'!$D:$L,9,0)</f>
        <v> 01005677611</v>
      </c>
      <c r="G30" s="9">
        <f>VLOOKUP(B30,'[3]Sales Force'!$D:$M,10,0)</f>
        <v>43163</v>
      </c>
      <c r="H30" s="8" t="str">
        <f>VLOOKUP(B30,'[3]Sales Force'!$D:$H,5,0)</f>
        <v>Averozolid Line</v>
      </c>
      <c r="I30" s="8"/>
      <c r="J30" s="8" t="str">
        <f>VLOOKUP(B30,'[3]Sales Force'!$D:$P,13,0)</f>
        <v>Meet Ghamr</v>
      </c>
    </row>
    <row r="31" spans="1:10">
      <c r="A31" s="5">
        <v>1386</v>
      </c>
      <c r="B31" s="13" t="s">
        <v>46</v>
      </c>
      <c r="C31" s="8" t="str">
        <f>VLOOKUP(B31,'[3]Sales Force'!$D:$E,2,0)</f>
        <v>Mayada Ahmed Rashad</v>
      </c>
      <c r="D31" s="8" t="str">
        <f>VLOOKUP(B31,'[3]Sales Force'!$D:$J,7,0)</f>
        <v>MR</v>
      </c>
      <c r="E31" s="8">
        <f>VLOOKUP(C31,'[3]Sales Force'!$D:$O,12,0)</f>
        <v>1375</v>
      </c>
      <c r="F31" s="8">
        <f>VLOOKUP(B31,'[3]Sales Force'!$D:$L,9,0)</f>
        <v>1013304176</v>
      </c>
      <c r="G31" s="9">
        <f>VLOOKUP(B31,'[3]Sales Force'!$D:$M,10,0)</f>
        <v>45444</v>
      </c>
      <c r="H31" s="8" t="str">
        <f>VLOOKUP(B31,'[3]Sales Force'!$D:$H,5,0)</f>
        <v>Averozolid Line</v>
      </c>
      <c r="I31" s="8"/>
      <c r="J31" s="8" t="str">
        <f>VLOOKUP(B31,'[3]Sales Force'!$D:$P,13,0)</f>
        <v>Dekernes</v>
      </c>
    </row>
    <row r="32" spans="1:10">
      <c r="A32" s="5">
        <v>1769</v>
      </c>
      <c r="B32" s="13" t="s">
        <v>47</v>
      </c>
      <c r="C32" s="8" t="str">
        <f>VLOOKUP(B32,'[3]Sales Force'!$D:$E,2,0)</f>
        <v>Mayada Ahmed Rashad</v>
      </c>
      <c r="D32" s="8" t="str">
        <f>VLOOKUP(B32,'[3]Sales Force'!$D:$J,7,0)</f>
        <v>MR</v>
      </c>
      <c r="E32" s="8">
        <f>VLOOKUP(C32,'[3]Sales Force'!$D:$O,12,0)</f>
        <v>1375</v>
      </c>
      <c r="F32" s="8">
        <f>VLOOKUP(B32,'[3]Sales Force'!$D:$L,9,0)</f>
        <v>1063682374</v>
      </c>
      <c r="G32" s="9">
        <f>VLOOKUP(B32,'[3]Sales Force'!$D:$M,10,0)</f>
        <v>45945</v>
      </c>
      <c r="H32" s="8" t="str">
        <f>VLOOKUP(B32,'[3]Sales Force'!$D:$H,5,0)</f>
        <v>Averozolid Line</v>
      </c>
      <c r="I32" s="8"/>
      <c r="J32" s="8" t="str">
        <f>VLOOKUP(B32,'[3]Sales Force'!$D:$P,13,0)</f>
        <v>El Mansoura</v>
      </c>
    </row>
    <row r="33" spans="1:10">
      <c r="A33" s="5">
        <v>1592</v>
      </c>
      <c r="B33" s="13" t="s">
        <v>48</v>
      </c>
      <c r="C33" s="8" t="str">
        <f>VLOOKUP(B33,'[3]Sales Force'!$D:$E,2,0)</f>
        <v>Mayada Ahmed Rashad</v>
      </c>
      <c r="D33" s="8" t="str">
        <f>VLOOKUP(B33,'[3]Sales Force'!$D:$J,7,0)</f>
        <v>MR</v>
      </c>
      <c r="E33" s="8">
        <f>VLOOKUP(C33,'[3]Sales Force'!$D:$O,12,0)</f>
        <v>1375</v>
      </c>
      <c r="F33" s="8">
        <f>VLOOKUP(B33,'[3]Sales Force'!$D:$L,9,0)</f>
        <v>1033505211</v>
      </c>
      <c r="G33" s="9">
        <f>VLOOKUP(B33,'[3]Sales Force'!$D:$M,10,0)</f>
        <v>45731</v>
      </c>
      <c r="H33" s="8" t="str">
        <f>VLOOKUP(B33,'[3]Sales Force'!$D:$H,5,0)</f>
        <v>Averozolid Line</v>
      </c>
      <c r="I33" s="8"/>
      <c r="J33" s="8" t="str">
        <f>VLOOKUP(B33,'[3]Sales Force'!$D:$P,13,0)</f>
        <v>Menyet El Nasr</v>
      </c>
    </row>
    <row r="34" spans="1:10">
      <c r="A34" s="5">
        <v>549</v>
      </c>
      <c r="B34" s="13" t="s">
        <v>49</v>
      </c>
      <c r="C34" s="8" t="str">
        <f>VLOOKUP(B34,'[3]Sales Force'!$D:$E,2,0)</f>
        <v>Mayada Ahmed Rashad</v>
      </c>
      <c r="D34" s="8" t="str">
        <f>VLOOKUP(B34,'[3]Sales Force'!$D:$J,7,0)</f>
        <v>MR</v>
      </c>
      <c r="E34" s="8">
        <f>VLOOKUP(C34,'[3]Sales Force'!$D:$O,12,0)</f>
        <v>1375</v>
      </c>
      <c r="F34" s="8">
        <f>VLOOKUP(B34,'[3]Sales Force'!$D:$L,9,0)</f>
        <v>1146692254</v>
      </c>
      <c r="G34" s="9">
        <f>VLOOKUP(B34,'[3]Sales Force'!$D:$M,10,0)</f>
        <v>43850</v>
      </c>
      <c r="H34" s="8" t="str">
        <f>VLOOKUP(B34,'[3]Sales Force'!$D:$H,5,0)</f>
        <v>Averozolid Line</v>
      </c>
      <c r="I34" s="8"/>
      <c r="J34" s="8" t="str">
        <f>VLOOKUP(B34,'[3]Sales Force'!$D:$P,13,0)</f>
        <v>Port Saed</v>
      </c>
    </row>
    <row r="35" spans="1:10">
      <c r="A35" s="5">
        <v>1736</v>
      </c>
      <c r="B35" s="13" t="s">
        <v>50</v>
      </c>
      <c r="C35" s="8" t="str">
        <f>VLOOKUP(B35,'[3]Sales Force'!$D:$E,2,0)</f>
        <v>Mayada Ahmed Rashad</v>
      </c>
      <c r="D35" s="8" t="str">
        <f>VLOOKUP(B35,'[3]Sales Force'!$D:$J,7,0)</f>
        <v>MR</v>
      </c>
      <c r="E35" s="8">
        <f>VLOOKUP(C35,'[3]Sales Force'!$D:$O,12,0)</f>
        <v>1375</v>
      </c>
      <c r="F35" s="8">
        <f>VLOOKUP(B35,'[3]Sales Force'!$D:$L,9,0)</f>
        <v>1227974997</v>
      </c>
      <c r="G35" s="9">
        <f>VLOOKUP(B35,'[3]Sales Force'!$D:$M,10,0)</f>
        <v>45901</v>
      </c>
      <c r="H35" s="8" t="str">
        <f>VLOOKUP(B35,'[3]Sales Force'!$D:$H,5,0)</f>
        <v>Averozolid Line</v>
      </c>
      <c r="I35" s="8"/>
      <c r="J35" s="8" t="str">
        <f>VLOOKUP(B35,'[3]Sales Force'!$D:$P,13,0)</f>
        <v>Domiat</v>
      </c>
    </row>
    <row r="36" spans="1:10">
      <c r="A36" s="5">
        <v>1440</v>
      </c>
      <c r="B36" s="13" t="s">
        <v>51</v>
      </c>
      <c r="C36" s="8" t="str">
        <f>VLOOKUP(B36,'[3]Sales Force'!$D:$E,2,0)</f>
        <v>Mayada Ahmed Rashad</v>
      </c>
      <c r="D36" s="8" t="str">
        <f>VLOOKUP(B36,'[3]Sales Force'!$D:$J,7,0)</f>
        <v>MR</v>
      </c>
      <c r="E36" s="8">
        <f>VLOOKUP(C36,'[3]Sales Force'!$D:$O,12,0)</f>
        <v>1375</v>
      </c>
      <c r="F36" s="8">
        <f>VLOOKUP(B36,'[3]Sales Force'!$D:$L,9,0)</f>
        <v>1009869495</v>
      </c>
      <c r="G36" s="9">
        <f>VLOOKUP(B36,'[3]Sales Force'!$D:$M,10,0)</f>
        <v>45536</v>
      </c>
      <c r="H36" s="8" t="str">
        <f>VLOOKUP(B36,'[3]Sales Force'!$D:$H,5,0)</f>
        <v>Averozolid Line</v>
      </c>
      <c r="I36" s="8"/>
      <c r="J36" s="8" t="str">
        <f>VLOOKUP(B36,'[3]Sales Force'!$D:$P,13,0)</f>
        <v>Domiat</v>
      </c>
    </row>
    <row r="37" spans="1:10">
      <c r="A37" s="5">
        <v>699</v>
      </c>
      <c r="B37" s="12" t="s">
        <v>52</v>
      </c>
      <c r="C37" s="8" t="str">
        <f>VLOOKUP(B37,'[3]Sales Force'!$D:$F,3,0)</f>
        <v>Ahmed Shawky Adawy</v>
      </c>
      <c r="D37" s="8" t="str">
        <f>VLOOKUP(B37,'[3]Sales Force'!$D:$J,7,0)</f>
        <v>DM</v>
      </c>
      <c r="E37" s="8">
        <f>VLOOKUP(C37,'[3]Sales Force'!$D:$O,12,0)</f>
        <v>618</v>
      </c>
      <c r="F37" s="8">
        <f>VLOOKUP(B37,'[3]Sales Force'!$D:$L,9,0)</f>
        <v>1026560922</v>
      </c>
      <c r="G37" s="9">
        <f>VLOOKUP(B37,'[3]Sales Force'!$D:$M,10,0)</f>
        <v>44172</v>
      </c>
      <c r="H37" s="8" t="str">
        <f>VLOOKUP(B37,'[3]Sales Force'!$D:$H,5,0)</f>
        <v>Averozolid Line</v>
      </c>
      <c r="I37" s="8" t="str">
        <f>VLOOKUP(B37,'[3]Sales Force'!$D:$N,11,0)</f>
        <v>Mohamed.Hassan.Amin@averroes-eg.com</v>
      </c>
      <c r="J37" s="8" t="str">
        <f>VLOOKUP(B37,'[3]Sales Force'!$D:$P,13,0)</f>
        <v>Fakoos</v>
      </c>
    </row>
    <row r="38" spans="1:10">
      <c r="A38" s="5">
        <v>843</v>
      </c>
      <c r="B38" s="13" t="s">
        <v>54</v>
      </c>
      <c r="C38" s="8" t="str">
        <f>VLOOKUP(B38,'[3]Sales Force'!$D:$E,2,0)</f>
        <v>Mohamed Hassan Amin</v>
      </c>
      <c r="D38" s="8" t="str">
        <f>VLOOKUP(B38,'[3]Sales Force'!$D:$J,7,0)</f>
        <v>MR</v>
      </c>
      <c r="E38" s="8">
        <f>VLOOKUP(C38,'[3]Sales Force'!$D:$O,12,0)</f>
        <v>699</v>
      </c>
      <c r="F38" s="8">
        <f>VLOOKUP(B38,'[3]Sales Force'!$D:$L,9,0)</f>
        <v>1066047570</v>
      </c>
      <c r="G38" s="9">
        <f>VLOOKUP(B38,'[3]Sales Force'!$D:$M,10,0)</f>
        <v>44481</v>
      </c>
      <c r="H38" s="8" t="str">
        <f>VLOOKUP(B38,'[3]Sales Force'!$D:$H,5,0)</f>
        <v>Averozolid Line</v>
      </c>
      <c r="I38" s="8"/>
      <c r="J38" s="8" t="str">
        <f>VLOOKUP(B38,'[3]Sales Force'!$D:$P,13,0)</f>
        <v>Shebien El Kanater</v>
      </c>
    </row>
    <row r="39" spans="1:10">
      <c r="A39" s="5">
        <v>1573</v>
      </c>
      <c r="B39" s="13" t="s">
        <v>55</v>
      </c>
      <c r="C39" s="8" t="str">
        <f>VLOOKUP(B39,'[3]Sales Force'!$D:$E,2,0)</f>
        <v>Mohamed Hassan Amin</v>
      </c>
      <c r="D39" s="8" t="str">
        <f>VLOOKUP(B39,'[3]Sales Force'!$D:$J,7,0)</f>
        <v>MR</v>
      </c>
      <c r="E39" s="8">
        <f>VLOOKUP(C39,'[3]Sales Force'!$D:$O,12,0)</f>
        <v>699</v>
      </c>
      <c r="F39" s="8">
        <f>VLOOKUP(B39,'[3]Sales Force'!$D:$L,9,0)</f>
        <v>1121718921</v>
      </c>
      <c r="G39" s="9">
        <f>VLOOKUP(B39,'[3]Sales Force'!$D:$M,10,0)</f>
        <v>45717</v>
      </c>
      <c r="H39" s="8" t="str">
        <f>VLOOKUP(B39,'[3]Sales Force'!$D:$H,5,0)</f>
        <v>Averozolid Line</v>
      </c>
      <c r="I39" s="8"/>
      <c r="J39" s="8" t="str">
        <f>VLOOKUP(B39,'[3]Sales Force'!$D:$P,13,0)</f>
        <v>Fakoos</v>
      </c>
    </row>
    <row r="40" spans="1:10">
      <c r="A40" s="5">
        <v>450</v>
      </c>
      <c r="B40" s="13" t="s">
        <v>56</v>
      </c>
      <c r="C40" s="8" t="str">
        <f>VLOOKUP(B40,'[3]Sales Force'!$D:$E,2,0)</f>
        <v>Mohamed Hassan Amin</v>
      </c>
      <c r="D40" s="8" t="str">
        <f>VLOOKUP(B40,'[3]Sales Force'!$D:$J,7,0)</f>
        <v>MR</v>
      </c>
      <c r="E40" s="8">
        <f>VLOOKUP(C40,'[3]Sales Force'!$D:$O,12,0)</f>
        <v>699</v>
      </c>
      <c r="F40" s="8">
        <f>VLOOKUP(B40,'[3]Sales Force'!$D:$L,9,0)</f>
        <v>1148024572</v>
      </c>
      <c r="G40" s="9">
        <f>VLOOKUP(B40,'[3]Sales Force'!$D:$M,10,0)</f>
        <v>43586</v>
      </c>
      <c r="H40" s="8" t="str">
        <f>VLOOKUP(B40,'[3]Sales Force'!$D:$H,5,0)</f>
        <v>Averozolid Line</v>
      </c>
      <c r="I40" s="8"/>
      <c r="J40" s="8" t="str">
        <f>VLOOKUP(B40,'[3]Sales Force'!$D:$P,13,0)</f>
        <v>El Zakazik City</v>
      </c>
    </row>
    <row r="41" spans="1:10">
      <c r="A41" s="5">
        <v>1547</v>
      </c>
      <c r="B41" s="13" t="s">
        <v>57</v>
      </c>
      <c r="C41" s="8" t="str">
        <f>VLOOKUP(B41,'[3]Sales Force'!$D:$E,2,0)</f>
        <v>Mohamed Hassan Amin</v>
      </c>
      <c r="D41" s="8" t="str">
        <f>VLOOKUP(B41,'[3]Sales Force'!$D:$J,7,0)</f>
        <v>MR</v>
      </c>
      <c r="E41" s="8">
        <f>VLOOKUP(C41,'[3]Sales Force'!$D:$O,12,0)</f>
        <v>699</v>
      </c>
      <c r="F41" s="8">
        <f>VLOOKUP(B41,'[3]Sales Force'!$D:$L,9,0)</f>
        <v>1278236617</v>
      </c>
      <c r="G41" s="9">
        <f>VLOOKUP(B41,'[3]Sales Force'!$D:$M,10,0)</f>
        <v>45703</v>
      </c>
      <c r="H41" s="8" t="str">
        <f>VLOOKUP(B41,'[3]Sales Force'!$D:$H,5,0)</f>
        <v>Averozolid Line</v>
      </c>
      <c r="I41" s="8"/>
      <c r="J41" s="8" t="str">
        <f>VLOOKUP(B41,'[3]Sales Force'!$D:$P,13,0)</f>
        <v>El Zakazik City</v>
      </c>
    </row>
    <row r="42" spans="1:10">
      <c r="A42" s="5">
        <v>425</v>
      </c>
      <c r="B42" s="13" t="s">
        <v>58</v>
      </c>
      <c r="C42" s="8" t="str">
        <f>VLOOKUP(B42,'[3]Sales Force'!$D:$E,2,0)</f>
        <v>Mohamed Hassan Amin</v>
      </c>
      <c r="D42" s="8" t="str">
        <f>VLOOKUP(B42,'[3]Sales Force'!$D:$J,7,0)</f>
        <v>MR</v>
      </c>
      <c r="E42" s="8">
        <f>VLOOKUP(C42,'[3]Sales Force'!$D:$O,12,0)</f>
        <v>699</v>
      </c>
      <c r="F42" s="8">
        <f>VLOOKUP(B42,'[3]Sales Force'!$D:$L,9,0)</f>
        <v>1129242511</v>
      </c>
      <c r="G42" s="9">
        <f>VLOOKUP(B42,'[3]Sales Force'!$D:$M,10,0)</f>
        <v>43525</v>
      </c>
      <c r="H42" s="8" t="str">
        <f>VLOOKUP(B42,'[3]Sales Force'!$D:$H,5,0)</f>
        <v>Averozolid Line</v>
      </c>
      <c r="I42" s="8"/>
      <c r="J42" s="8" t="str">
        <f>VLOOKUP(B42,'[3]Sales Force'!$D:$P,13,0)</f>
        <v>10th Of Ramadan</v>
      </c>
    </row>
    <row r="43" spans="1:10">
      <c r="A43" s="5">
        <v>500</v>
      </c>
      <c r="B43" s="12" t="s">
        <v>59</v>
      </c>
      <c r="C43" s="8" t="str">
        <f>VLOOKUP(B43,'[3]Sales Force'!$D:$F,3,0)</f>
        <v>Ahmed Shawky Adawy</v>
      </c>
      <c r="D43" s="8" t="str">
        <f>VLOOKUP(B43,'[3]Sales Force'!$D:$J,7,0)</f>
        <v>DM</v>
      </c>
      <c r="E43" s="8">
        <f>VLOOKUP(C43,'[3]Sales Force'!$D:$O,12,0)</f>
        <v>618</v>
      </c>
      <c r="F43" s="8">
        <f>VLOOKUP(B43,'[3]Sales Force'!$D:$L,9,0)</f>
        <v>1229858148</v>
      </c>
      <c r="G43" s="9">
        <f>VLOOKUP(B43,'[3]Sales Force'!$D:$M,10,0)</f>
        <v>43800</v>
      </c>
      <c r="H43" s="8" t="str">
        <f>VLOOKUP(B43,'[3]Sales Force'!$D:$H,5,0)</f>
        <v>Averozolid Line</v>
      </c>
      <c r="I43" s="8" t="str">
        <f>VLOOKUP(B43,'[3]Sales Force'!$D:$N,11,0)</f>
        <v>sara.magdy@averroes-eg.com</v>
      </c>
      <c r="J43" s="8" t="str">
        <f>VLOOKUP(B43,'[3]Sales Force'!$D:$P,13,0)</f>
        <v>Tanta City</v>
      </c>
    </row>
    <row r="44" spans="1:10">
      <c r="A44" s="5">
        <v>1352</v>
      </c>
      <c r="B44" s="13" t="s">
        <v>60</v>
      </c>
      <c r="C44" s="8" t="str">
        <f>VLOOKUP(B44,'[3]Sales Force'!$D:$E,2,0)</f>
        <v>Sara Magdy Ahmed</v>
      </c>
      <c r="D44" s="8" t="str">
        <f>VLOOKUP(B44,'[3]Sales Force'!$D:$J,7,0)</f>
        <v>MR</v>
      </c>
      <c r="E44" s="8">
        <f>VLOOKUP(C44,'[3]Sales Force'!$D:$O,12,0)</f>
        <v>500</v>
      </c>
      <c r="F44" s="8">
        <f>VLOOKUP(B44,'[3]Sales Force'!$D:$L,9,0)</f>
        <v>1227672905</v>
      </c>
      <c r="G44" s="9">
        <f>VLOOKUP(B44,'[3]Sales Force'!$D:$M,10,0)</f>
        <v>45413</v>
      </c>
      <c r="H44" s="8" t="str">
        <f>VLOOKUP(B44,'[3]Sales Force'!$D:$H,5,0)</f>
        <v>Averozolid Line</v>
      </c>
      <c r="I44" s="8"/>
      <c r="J44" s="8" t="str">
        <f>VLOOKUP(B44,'[3]Sales Force'!$D:$P,13,0)</f>
        <v>Samanoud</v>
      </c>
    </row>
    <row r="45" spans="1:10">
      <c r="A45" s="5">
        <v>1947</v>
      </c>
      <c r="B45" s="14" t="s">
        <v>604</v>
      </c>
      <c r="C45" s="8" t="str">
        <f>VLOOKUP(B45,'[3]Sales Force'!$D:$E,2,0)</f>
        <v>Sara Magdy Ahmed</v>
      </c>
      <c r="D45" s="8" t="str">
        <f>VLOOKUP(B45,'[3]Sales Force'!$D:$J,7,0)</f>
        <v>MR</v>
      </c>
      <c r="E45" s="8">
        <f>VLOOKUP(C45,'[3]Sales Force'!$D:$O,12,0)</f>
        <v>500</v>
      </c>
      <c r="F45" s="8">
        <f>VLOOKUP(B45,'[3]Sales Force'!$D:$L,9,0)</f>
        <v>1069327275</v>
      </c>
      <c r="G45" s="9">
        <f>VLOOKUP(B45,'[3]Sales Force'!$D:$M,10,0)</f>
        <v>46140</v>
      </c>
      <c r="H45" s="8" t="str">
        <f>VLOOKUP(B45,'[3]Sales Force'!$D:$H,5,0)</f>
        <v>Averozolid Line</v>
      </c>
      <c r="I45" s="8"/>
      <c r="J45" s="8" t="str">
        <f>VLOOKUP(B45,'[3]Sales Force'!$D:$P,13,0)</f>
        <v>Tanta City</v>
      </c>
    </row>
    <row r="46" spans="1:10">
      <c r="A46" s="5">
        <v>1337</v>
      </c>
      <c r="B46" s="13" t="s">
        <v>62</v>
      </c>
      <c r="C46" s="8" t="str">
        <f>VLOOKUP(B46,'[3]Sales Force'!$D:$E,2,0)</f>
        <v>Sara Magdy Ahmed</v>
      </c>
      <c r="D46" s="8" t="str">
        <f>VLOOKUP(B46,'[3]Sales Force'!$D:$J,7,0)</f>
        <v>MR</v>
      </c>
      <c r="E46" s="8">
        <f>VLOOKUP(C46,'[3]Sales Force'!$D:$O,12,0)</f>
        <v>500</v>
      </c>
      <c r="F46" s="8">
        <f>VLOOKUP(B46,'[3]Sales Force'!$D:$L,9,0)</f>
        <v>1289344523</v>
      </c>
      <c r="G46" s="9">
        <f>VLOOKUP(B46,'[3]Sales Force'!$D:$M,10,0)</f>
        <v>45325</v>
      </c>
      <c r="H46" s="8" t="str">
        <f>VLOOKUP(B46,'[3]Sales Force'!$D:$H,5,0)</f>
        <v>Averozolid Line</v>
      </c>
      <c r="I46" s="8"/>
      <c r="J46" s="8" t="str">
        <f>VLOOKUP(B46,'[3]Sales Force'!$D:$P,13,0)</f>
        <v>Kafr El zayat</v>
      </c>
    </row>
    <row r="47" spans="1:10">
      <c r="A47" s="5">
        <v>141</v>
      </c>
      <c r="B47" s="13" t="s">
        <v>63</v>
      </c>
      <c r="C47" s="8" t="str">
        <f>VLOOKUP(B47,'[3]Sales Force'!$D:$E,2,0)</f>
        <v>Sara Magdy Ahmed</v>
      </c>
      <c r="D47" s="8" t="str">
        <f>VLOOKUP(B47,'[3]Sales Force'!$D:$J,7,0)</f>
        <v>MR</v>
      </c>
      <c r="E47" s="8">
        <f>VLOOKUP(C47,'[3]Sales Force'!$D:$O,12,0)</f>
        <v>500</v>
      </c>
      <c r="F47" s="8" t="str">
        <f>VLOOKUP(B47,'[3]Sales Force'!$D:$L,9,0)</f>
        <v> 01005007061</v>
      </c>
      <c r="G47" s="9">
        <f>VLOOKUP(B47,'[3]Sales Force'!$D:$M,10,0)</f>
        <v>42066</v>
      </c>
      <c r="H47" s="8" t="str">
        <f>VLOOKUP(B47,'[3]Sales Force'!$D:$H,5,0)</f>
        <v>Averozolid Line</v>
      </c>
      <c r="I47" s="8"/>
      <c r="J47" s="8" t="str">
        <f>VLOOKUP(B47,'[3]Sales Force'!$D:$P,13,0)</f>
        <v>Shebien El Kom</v>
      </c>
    </row>
    <row r="48" spans="1:10">
      <c r="A48" s="5">
        <v>1808</v>
      </c>
      <c r="B48" s="13" t="s">
        <v>64</v>
      </c>
      <c r="C48" s="8" t="str">
        <f>VLOOKUP(B48,'[3]Sales Force'!$D:$E,2,0)</f>
        <v>Sara Magdy Ahmed</v>
      </c>
      <c r="D48" s="8" t="str">
        <f>VLOOKUP(B48,'[3]Sales Force'!$D:$J,7,0)</f>
        <v>MR</v>
      </c>
      <c r="E48" s="8">
        <f>VLOOKUP(C48,'[3]Sales Force'!$D:$O,12,0)</f>
        <v>500</v>
      </c>
      <c r="F48" s="8">
        <f>VLOOKUP(B48,'[3]Sales Force'!$D:$L,9,0)</f>
        <v>1094006834</v>
      </c>
      <c r="G48" s="9">
        <f>VLOOKUP(B48,'[3]Sales Force'!$D:$M,10,0)</f>
        <v>45996</v>
      </c>
      <c r="H48" s="8" t="str">
        <f>VLOOKUP(B48,'[3]Sales Force'!$D:$H,5,0)</f>
        <v>Averozolid Line</v>
      </c>
      <c r="I48" s="8"/>
      <c r="J48" s="8" t="str">
        <f>VLOOKUP(B48,'[3]Sales Force'!$D:$P,13,0)</f>
        <v>Ashmoon</v>
      </c>
    </row>
    <row r="49" spans="1:10">
      <c r="A49" s="5">
        <v>1906</v>
      </c>
      <c r="B49" s="14" t="s">
        <v>605</v>
      </c>
      <c r="C49" s="8" t="str">
        <f>VLOOKUP(B49,'[3]Sales Force'!$D:$E,2,0)</f>
        <v>Sara Magdy Ahmed</v>
      </c>
      <c r="D49" s="8" t="str">
        <f>VLOOKUP(B49,'[3]Sales Force'!$D:$J,7,0)</f>
        <v>MR</v>
      </c>
      <c r="E49" s="8">
        <f>VLOOKUP(C49,'[3]Sales Force'!$D:$O,12,0)</f>
        <v>500</v>
      </c>
      <c r="F49" s="8">
        <f>VLOOKUP(B49,'[3]Sales Force'!$D:$L,9,0)</f>
        <v>1001680743</v>
      </c>
      <c r="G49" s="9">
        <f>VLOOKUP(B49,'[3]Sales Force'!$D:$M,10,0)</f>
        <v>46109</v>
      </c>
      <c r="H49" s="8" t="str">
        <f>VLOOKUP(B49,'[3]Sales Force'!$D:$H,5,0)</f>
        <v>Averozolid Line</v>
      </c>
      <c r="I49" s="8"/>
      <c r="J49" s="8" t="str">
        <f>VLOOKUP(B49,'[3]Sales Force'!$D:$P,13,0)</f>
        <v>Shebien El Kom</v>
      </c>
    </row>
    <row r="50" spans="1:10">
      <c r="A50" s="5">
        <v>1310</v>
      </c>
      <c r="B50" s="13" t="s">
        <v>65</v>
      </c>
      <c r="C50" s="8" t="str">
        <f>VLOOKUP(B50,'[3]Sales Force'!$D:$E,2,0)</f>
        <v>Sara Magdy Ahmed</v>
      </c>
      <c r="D50" s="8" t="str">
        <f>VLOOKUP(B50,'[3]Sales Force'!$D:$J,7,0)</f>
        <v>MR</v>
      </c>
      <c r="E50" s="8">
        <f>VLOOKUP(C50,'[3]Sales Force'!$D:$O,12,0)</f>
        <v>500</v>
      </c>
      <c r="F50" s="8">
        <f>VLOOKUP(B50,'[3]Sales Force'!$D:$L,9,0)</f>
        <v>1097503414</v>
      </c>
      <c r="G50" s="9">
        <f>VLOOKUP(B50,'[3]Sales Force'!$D:$M,10,0)</f>
        <v>45265</v>
      </c>
      <c r="H50" s="8" t="str">
        <f>VLOOKUP(B50,'[3]Sales Force'!$D:$H,5,0)</f>
        <v>Averozolid Line</v>
      </c>
      <c r="I50" s="8"/>
      <c r="J50" s="8" t="str">
        <f>VLOOKUP(B50,'[3]Sales Force'!$D:$P,13,0)</f>
        <v>El Mahala El Kobra</v>
      </c>
    </row>
    <row r="51" spans="1:10">
      <c r="A51" s="5">
        <v>577</v>
      </c>
      <c r="B51" s="11" t="s">
        <v>66</v>
      </c>
      <c r="C51" s="8" t="str">
        <f>VLOOKUP(B51,'[3]Sales Force'!$D:$G,4,0)</f>
        <v>Abd Elhameed Elshiekh</v>
      </c>
      <c r="D51" s="8" t="str">
        <f>VLOOKUP(B51,'[3]Sales Force'!$D:$J,7,0)</f>
        <v>AM</v>
      </c>
      <c r="E51" s="8">
        <f>VLOOKUP(C51,'[3]Sales Force'!$D:$O,12,0)</f>
        <v>59</v>
      </c>
      <c r="F51" s="8">
        <f>VLOOKUP(B51,'[3]Sales Force'!$D:$L,9,0)</f>
        <v>1003142319</v>
      </c>
      <c r="G51" s="9">
        <f>VLOOKUP(B51,'[3]Sales Force'!$D:$M,10,0)</f>
        <v>43862</v>
      </c>
      <c r="H51" s="8" t="str">
        <f>VLOOKUP(B51,'[3]Sales Force'!$D:$H,5,0)</f>
        <v>Averozolid Line</v>
      </c>
      <c r="I51" s="8" t="str">
        <f>VLOOKUP(B51,'[3]Sales Force'!$D:$N,11,0)</f>
        <v>ali.ahmed@averroes-eg.com</v>
      </c>
      <c r="J51" s="8" t="str">
        <f>VLOOKUP(B51,'[3]Sales Force'!$D:$P,13,0)</f>
        <v>Assuit City</v>
      </c>
    </row>
    <row r="52" spans="1:10">
      <c r="A52" s="5">
        <v>607</v>
      </c>
      <c r="B52" s="12" t="s">
        <v>67</v>
      </c>
      <c r="C52" s="8" t="str">
        <f>VLOOKUP(B52,'[3]Sales Force'!$D:$F,3,0)</f>
        <v>Ali Ahmed Ali</v>
      </c>
      <c r="D52" s="8" t="str">
        <f>VLOOKUP(B52,'[3]Sales Force'!$D:$J,7,0)</f>
        <v>DM</v>
      </c>
      <c r="E52" s="8">
        <f>VLOOKUP(C52,'[3]Sales Force'!$D:$O,12,0)</f>
        <v>577</v>
      </c>
      <c r="F52" s="8" t="str">
        <f>VLOOKUP(B52,'[3]Sales Force'!$D:$L,9,0)</f>
        <v> 1050111668</v>
      </c>
      <c r="G52" s="9">
        <f>VLOOKUP(B52,'[3]Sales Force'!$D:$M,10,0)</f>
        <v>43865</v>
      </c>
      <c r="H52" s="8" t="str">
        <f>VLOOKUP(B52,'[3]Sales Force'!$D:$H,5,0)</f>
        <v>Averozolid Line</v>
      </c>
      <c r="I52" s="8" t="str">
        <f>VLOOKUP(B52,'[3]Sales Force'!$D:$N,11,0)</f>
        <v>abdelazeem.sameer@averroes-eg.com</v>
      </c>
      <c r="J52" s="8" t="str">
        <f>VLOOKUP(B52,'[3]Sales Force'!$D:$P,13,0)</f>
        <v>Malawy</v>
      </c>
    </row>
    <row r="53" spans="1:10">
      <c r="A53" s="5">
        <v>1721</v>
      </c>
      <c r="B53" s="13" t="s">
        <v>68</v>
      </c>
      <c r="C53" s="8" t="str">
        <f>VLOOKUP(B53,'[3]Sales Force'!$D:$E,2,0)</f>
        <v>Abdelazeem Sameer Abdelazeem</v>
      </c>
      <c r="D53" s="8" t="str">
        <f>VLOOKUP(B53,'[3]Sales Force'!$D:$J,7,0)</f>
        <v>MR</v>
      </c>
      <c r="E53" s="8">
        <f>VLOOKUP(C53,'[3]Sales Force'!$D:$O,12,0)</f>
        <v>607</v>
      </c>
      <c r="F53" s="8">
        <f>VLOOKUP(B53,'[3]Sales Force'!$D:$L,9,0)</f>
        <v>1142641071</v>
      </c>
      <c r="G53" s="9">
        <f>VLOOKUP(B53,'[3]Sales Force'!$D:$M,10,0)</f>
        <v>45871</v>
      </c>
      <c r="H53" s="8" t="str">
        <f>VLOOKUP(B53,'[3]Sales Force'!$D:$H,5,0)</f>
        <v>Averozolid Line</v>
      </c>
      <c r="I53" s="8"/>
      <c r="J53" s="8" t="str">
        <f>VLOOKUP(B53,'[3]Sales Force'!$D:$P,13,0)</f>
        <v>Malawy</v>
      </c>
    </row>
    <row r="54" spans="1:10">
      <c r="A54" s="5">
        <v>1131</v>
      </c>
      <c r="B54" s="13" t="s">
        <v>69</v>
      </c>
      <c r="C54" s="8" t="str">
        <f>VLOOKUP(B54,'[3]Sales Force'!$D:$E,2,0)</f>
        <v>Abdelazeem Sameer Abdelazeem</v>
      </c>
      <c r="D54" s="8" t="str">
        <f>VLOOKUP(B54,'[3]Sales Force'!$D:$J,7,0)</f>
        <v>MR</v>
      </c>
      <c r="E54" s="8">
        <f>VLOOKUP(C54,'[3]Sales Force'!$D:$O,12,0)</f>
        <v>607</v>
      </c>
      <c r="F54" s="8">
        <f>VLOOKUP(B54,'[3]Sales Force'!$D:$L,9,0)</f>
        <v>1005606839</v>
      </c>
      <c r="G54" s="9">
        <f>VLOOKUP(B54,'[3]Sales Force'!$D:$M,10,0)</f>
        <v>44961</v>
      </c>
      <c r="H54" s="8" t="str">
        <f>VLOOKUP(B54,'[3]Sales Force'!$D:$H,5,0)</f>
        <v>Averozolid Line</v>
      </c>
      <c r="I54" s="8"/>
      <c r="J54" s="8" t="str">
        <f>VLOOKUP(B54,'[3]Sales Force'!$D:$P,13,0)</f>
        <v>Bani Mazar</v>
      </c>
    </row>
    <row r="55" spans="1:10">
      <c r="A55" s="5">
        <v>1263</v>
      </c>
      <c r="B55" s="13" t="s">
        <v>70</v>
      </c>
      <c r="C55" s="8" t="str">
        <f>VLOOKUP(B55,'[3]Sales Force'!$D:$E,2,0)</f>
        <v>Abdelazeem Sameer Abdelazeem</v>
      </c>
      <c r="D55" s="8" t="str">
        <f>VLOOKUP(B55,'[3]Sales Force'!$D:$J,7,0)</f>
        <v>MR</v>
      </c>
      <c r="E55" s="8">
        <f>VLOOKUP(C55,'[3]Sales Force'!$D:$O,12,0)</f>
        <v>607</v>
      </c>
      <c r="F55" s="8">
        <f>VLOOKUP(B55,'[3]Sales Force'!$D:$L,9,0)</f>
        <v>1122177715</v>
      </c>
      <c r="G55" s="9">
        <f>VLOOKUP(B55,'[3]Sales Force'!$D:$M,10,0)</f>
        <v>45178</v>
      </c>
      <c r="H55" s="8" t="str">
        <f>VLOOKUP(B55,'[3]Sales Force'!$D:$H,5,0)</f>
        <v>Averozolid Line</v>
      </c>
      <c r="I55" s="8"/>
      <c r="J55" s="8" t="str">
        <f>VLOOKUP(B55,'[3]Sales Force'!$D:$P,13,0)</f>
        <v>El Menia City</v>
      </c>
    </row>
    <row r="56" spans="1:10">
      <c r="A56" s="5">
        <v>845</v>
      </c>
      <c r="B56" s="13" t="s">
        <v>71</v>
      </c>
      <c r="C56" s="8" t="str">
        <f>VLOOKUP(B56,'[3]Sales Force'!$D:$E,2,0)</f>
        <v>Abdelazeem Sameer Abdelazeem</v>
      </c>
      <c r="D56" s="8" t="str">
        <f>VLOOKUP(B56,'[3]Sales Force'!$D:$J,7,0)</f>
        <v>MR</v>
      </c>
      <c r="E56" s="8">
        <f>VLOOKUP(C56,'[3]Sales Force'!$D:$O,12,0)</f>
        <v>607</v>
      </c>
      <c r="F56" s="8">
        <f>VLOOKUP(B56,'[3]Sales Force'!$D:$L,9,0)</f>
        <v>1272784701</v>
      </c>
      <c r="G56" s="9">
        <f>VLOOKUP(B56,'[3]Sales Force'!$D:$M,10,0)</f>
        <v>44485</v>
      </c>
      <c r="H56" s="8" t="str">
        <f>VLOOKUP(B56,'[3]Sales Force'!$D:$H,5,0)</f>
        <v>Averozolid Line</v>
      </c>
      <c r="I56" s="8"/>
      <c r="J56" s="8" t="str">
        <f>VLOOKUP(B56,'[3]Sales Force'!$D:$P,13,0)</f>
        <v>El Qousia</v>
      </c>
    </row>
    <row r="57" spans="1:10">
      <c r="A57" s="5">
        <v>1899</v>
      </c>
      <c r="B57" s="14" t="s">
        <v>606</v>
      </c>
      <c r="C57" s="8" t="str">
        <f>VLOOKUP(B57,'[3]Sales Force'!$D:$E,2,0)</f>
        <v>Abdelazeem Sameer Abdelazeem</v>
      </c>
      <c r="D57" s="8" t="str">
        <f>VLOOKUP(B57,'[3]Sales Force'!$D:$J,7,0)</f>
        <v>MR</v>
      </c>
      <c r="E57" s="8">
        <f>VLOOKUP(C57,'[3]Sales Force'!$D:$O,12,0)</f>
        <v>607</v>
      </c>
      <c r="F57" s="8">
        <f>VLOOKUP(B57,'[3]Sales Force'!$D:$L,9,0)</f>
        <v>1271306887</v>
      </c>
      <c r="G57" s="9">
        <f>VLOOKUP(B57,'[3]Sales Force'!$D:$M,10,0)</f>
        <v>46083</v>
      </c>
      <c r="H57" s="8" t="str">
        <f>VLOOKUP(B57,'[3]Sales Force'!$D:$H,5,0)</f>
        <v>Averozolid Line</v>
      </c>
      <c r="I57" s="8"/>
      <c r="J57" s="8" t="str">
        <f>VLOOKUP(B57,'[3]Sales Force'!$D:$P,13,0)</f>
        <v>Assuit City</v>
      </c>
    </row>
    <row r="58" spans="1:10">
      <c r="A58" s="5">
        <v>1598</v>
      </c>
      <c r="B58" s="13" t="s">
        <v>73</v>
      </c>
      <c r="C58" s="8" t="str">
        <f>VLOOKUP(B58,'[3]Sales Force'!$D:$E,2,0)</f>
        <v>Abdelazeem Sameer Abdelazeem</v>
      </c>
      <c r="D58" s="8" t="str">
        <f>VLOOKUP(B58,'[3]Sales Force'!$D:$J,7,0)</f>
        <v>MR</v>
      </c>
      <c r="E58" s="8">
        <f>VLOOKUP(C58,'[3]Sales Force'!$D:$O,12,0)</f>
        <v>607</v>
      </c>
      <c r="F58" s="8">
        <f>VLOOKUP(B58,'[3]Sales Force'!$D:$L,9,0)</f>
        <v>1040598944</v>
      </c>
      <c r="G58" s="9">
        <f>VLOOKUP(B58,'[3]Sales Force'!$D:$M,10,0)</f>
        <v>45752</v>
      </c>
      <c r="H58" s="8" t="str">
        <f>VLOOKUP(B58,'[3]Sales Force'!$D:$H,5,0)</f>
        <v>Averozolid Line</v>
      </c>
      <c r="I58" s="8"/>
      <c r="J58" s="8" t="str">
        <f>VLOOKUP(B58,'[3]Sales Force'!$D:$P,13,0)</f>
        <v>Assuit City</v>
      </c>
    </row>
    <row r="59" spans="1:10">
      <c r="A59" s="5">
        <v>855</v>
      </c>
      <c r="B59" s="15" t="s">
        <v>74</v>
      </c>
      <c r="C59" s="8" t="str">
        <f>VLOOKUP(B59,'[3]Sales Force'!$D:$F,3,0)</f>
        <v>Ali Ahmed Ali</v>
      </c>
      <c r="D59" s="8" t="str">
        <f>VLOOKUP(B59,'[3]Sales Force'!$D:$J,7,0)</f>
        <v>DM</v>
      </c>
      <c r="E59" s="8">
        <f>VLOOKUP(C59,'[3]Sales Force'!$D:$O,12,0)</f>
        <v>577</v>
      </c>
      <c r="F59" s="41" t="s">
        <v>601</v>
      </c>
      <c r="G59" s="9">
        <f>VLOOKUP(B59,'[3]Sales Force'!$D:$M,10,0)</f>
        <v>44501</v>
      </c>
      <c r="H59" s="8" t="str">
        <f>VLOOKUP(B59,'[3]Sales Force'!$D:$H,5,0)</f>
        <v>Averozolid Line</v>
      </c>
      <c r="I59" s="8"/>
      <c r="J59" s="8"/>
    </row>
    <row r="60" spans="1:10">
      <c r="A60" s="5">
        <v>1756</v>
      </c>
      <c r="B60" s="13" t="s">
        <v>75</v>
      </c>
      <c r="C60" s="8" t="str">
        <f>VLOOKUP(B60,'[3]Sales Force'!$D:$E,2,0)</f>
        <v>Mai Ashraf Mohamed</v>
      </c>
      <c r="D60" s="8" t="str">
        <f>VLOOKUP(B60,'[3]Sales Force'!$D:$J,7,0)</f>
        <v>MR</v>
      </c>
      <c r="E60" s="8">
        <f>VLOOKUP(C60,'[3]Sales Force'!$D:$O,12,0)</f>
        <v>855</v>
      </c>
      <c r="F60" s="8">
        <f>VLOOKUP(B60,'[3]Sales Force'!$D:$L,9,0)</f>
        <v>1003757367</v>
      </c>
      <c r="G60" s="9">
        <f>VLOOKUP(B60,'[3]Sales Force'!$D:$M,10,0)</f>
        <v>45931</v>
      </c>
      <c r="H60" s="8" t="str">
        <f>VLOOKUP(B60,'[3]Sales Force'!$D:$H,5,0)</f>
        <v>Averozolid Line</v>
      </c>
      <c r="I60" s="8"/>
      <c r="J60" s="8" t="str">
        <f>VLOOKUP(B60,'[3]Sales Force'!$D:$P,13,0)</f>
        <v>Nagaa Hamady</v>
      </c>
    </row>
    <row r="61" spans="1:10">
      <c r="A61" s="5">
        <v>1758</v>
      </c>
      <c r="B61" s="13" t="s">
        <v>76</v>
      </c>
      <c r="C61" s="8" t="str">
        <f>VLOOKUP(B61,'[3]Sales Force'!$D:$E,2,0)</f>
        <v>Mai Ashraf Mohamed</v>
      </c>
      <c r="D61" s="8" t="str">
        <f>VLOOKUP(B61,'[3]Sales Force'!$D:$J,7,0)</f>
        <v>MR</v>
      </c>
      <c r="E61" s="8">
        <f>VLOOKUP(C61,'[3]Sales Force'!$D:$O,12,0)</f>
        <v>855</v>
      </c>
      <c r="F61" s="8">
        <f>VLOOKUP(B61,'[3]Sales Force'!$D:$L,9,0)</f>
        <v>1129324734</v>
      </c>
      <c r="G61" s="9">
        <f>VLOOKUP(B61,'[3]Sales Force'!$D:$M,10,0)</f>
        <v>45931</v>
      </c>
      <c r="H61" s="8" t="str">
        <f>VLOOKUP(B61,'[3]Sales Force'!$D:$H,5,0)</f>
        <v>Averozolid Line</v>
      </c>
      <c r="I61" s="8"/>
      <c r="J61" s="8" t="str">
        <f>VLOOKUP(B61,'[3]Sales Force'!$D:$P,13,0)</f>
        <v>Quena city</v>
      </c>
    </row>
    <row r="62" spans="1:10">
      <c r="A62" s="5">
        <v>1911</v>
      </c>
      <c r="B62" s="14" t="s">
        <v>607</v>
      </c>
      <c r="C62" s="8" t="str">
        <f>VLOOKUP(B62,'[3]Sales Force'!$D:$E,2,0)</f>
        <v>Mai Ashraf Mohamed</v>
      </c>
      <c r="D62" s="8" t="str">
        <f>VLOOKUP(B62,'[3]Sales Force'!$D:$J,7,0)</f>
        <v>MR</v>
      </c>
      <c r="E62" s="8">
        <f>VLOOKUP(C62,'[3]Sales Force'!$D:$O,12,0)</f>
        <v>855</v>
      </c>
      <c r="F62" s="8">
        <f>VLOOKUP(B62,'[3]Sales Force'!$D:$L,9,0)</f>
        <v>1066821616</v>
      </c>
      <c r="G62" s="9">
        <f>VLOOKUP(B62,'[3]Sales Force'!$D:$M,10,0)</f>
        <v>46113</v>
      </c>
      <c r="H62" s="8" t="str">
        <f>VLOOKUP(B62,'[3]Sales Force'!$D:$H,5,0)</f>
        <v>Averozolid Line</v>
      </c>
      <c r="I62" s="8"/>
      <c r="J62" s="8" t="str">
        <f>VLOOKUP(B62,'[3]Sales Force'!$D:$P,13,0)</f>
        <v>Sohag city</v>
      </c>
    </row>
    <row r="63" spans="1:10">
      <c r="A63" s="5">
        <v>1332</v>
      </c>
      <c r="B63" s="13" t="s">
        <v>77</v>
      </c>
      <c r="C63" s="8" t="str">
        <f>VLOOKUP(B63,'[3]Sales Force'!$D:$E,2,0)</f>
        <v>Mai Ashraf Mohamed</v>
      </c>
      <c r="D63" s="8" t="str">
        <f>VLOOKUP(B63,'[3]Sales Force'!$D:$J,7,0)</f>
        <v>MR</v>
      </c>
      <c r="E63" s="8">
        <f>VLOOKUP(C63,'[3]Sales Force'!$D:$O,12,0)</f>
        <v>855</v>
      </c>
      <c r="F63" s="8">
        <f>VLOOKUP(B63,'[3]Sales Force'!$D:$L,9,0)</f>
        <v>1151900641</v>
      </c>
      <c r="G63" s="9">
        <f>VLOOKUP(B63,'[3]Sales Force'!$D:$M,10,0)</f>
        <v>45318</v>
      </c>
      <c r="H63" s="8" t="str">
        <f>VLOOKUP(B63,'[3]Sales Force'!$D:$H,5,0)</f>
        <v>Averozolid Line</v>
      </c>
      <c r="I63" s="8"/>
      <c r="J63" s="8" t="str">
        <f>VLOOKUP(B63,'[3]Sales Force'!$D:$P,13,0)</f>
        <v>Tahta</v>
      </c>
    </row>
    <row r="64" spans="1:10">
      <c r="A64" s="5">
        <v>997</v>
      </c>
      <c r="B64" s="13" t="s">
        <v>79</v>
      </c>
      <c r="C64" s="8" t="str">
        <f>VLOOKUP(B64,'[3]Sales Force'!$D:$E,2,0)</f>
        <v>Mai Ashraf Mohamed</v>
      </c>
      <c r="D64" s="8" t="str">
        <f>VLOOKUP(B64,'[3]Sales Force'!$D:$J,7,0)</f>
        <v>MR</v>
      </c>
      <c r="E64" s="8">
        <f>VLOOKUP(C64,'[3]Sales Force'!$D:$O,12,0)</f>
        <v>855</v>
      </c>
      <c r="F64" s="8">
        <f>VLOOKUP(B64,'[3]Sales Force'!$D:$L,9,0)</f>
        <v>1119211215</v>
      </c>
      <c r="G64" s="9">
        <f>VLOOKUP(B64,'[3]Sales Force'!$D:$M,10,0)</f>
        <v>44814</v>
      </c>
      <c r="H64" s="8" t="str">
        <f>VLOOKUP(B64,'[3]Sales Force'!$D:$H,5,0)</f>
        <v>Averozolid Line</v>
      </c>
      <c r="I64" s="8"/>
      <c r="J64" s="8" t="str">
        <f>VLOOKUP(B64,'[3]Sales Force'!$D:$P,13,0)</f>
        <v>Armant</v>
      </c>
    </row>
    <row r="65" spans="1:10">
      <c r="A65" s="5">
        <v>1747</v>
      </c>
      <c r="B65" s="13" t="s">
        <v>80</v>
      </c>
      <c r="C65" s="8" t="str">
        <f>VLOOKUP(B65,'[3]Sales Force'!$D:$E,2,0)</f>
        <v>Mai Ashraf Mohamed</v>
      </c>
      <c r="D65" s="8" t="str">
        <f>VLOOKUP(B65,'[3]Sales Force'!$D:$J,7,0)</f>
        <v>MR</v>
      </c>
      <c r="E65" s="8">
        <f>VLOOKUP(C65,'[3]Sales Force'!$D:$O,12,0)</f>
        <v>855</v>
      </c>
      <c r="F65" s="8">
        <f>VLOOKUP(B65,'[3]Sales Force'!$D:$L,9,0)</f>
        <v>1120262699</v>
      </c>
      <c r="G65" s="9">
        <f>VLOOKUP(B65,'[3]Sales Force'!$D:$M,10,0)</f>
        <v>45914</v>
      </c>
      <c r="H65" s="8" t="str">
        <f>VLOOKUP(B65,'[3]Sales Force'!$D:$H,5,0)</f>
        <v>Averozolid Line</v>
      </c>
      <c r="I65" s="8"/>
      <c r="J65" s="8" t="str">
        <f>VLOOKUP(B65,'[3]Sales Force'!$D:$P,13,0)</f>
        <v>Aswan City</v>
      </c>
    </row>
    <row r="66" spans="1:10">
      <c r="A66" s="5">
        <v>1869</v>
      </c>
      <c r="B66" s="16" t="s">
        <v>81</v>
      </c>
      <c r="C66" s="8" t="str">
        <f>VLOOKUP(B66,'[3]Sales Force'!$D:$G,4,0)</f>
        <v>Abd Elhameed Elshiekh</v>
      </c>
      <c r="D66" s="8" t="str">
        <f>VLOOKUP(B66,'[3]Sales Force'!$D:$J,7,0)</f>
        <v>AM</v>
      </c>
      <c r="E66" s="8">
        <f>VLOOKUP(C66,'[3]Sales Force'!$D:$O,12,0)</f>
        <v>59</v>
      </c>
      <c r="F66" s="8">
        <f>VLOOKUP(B66,'[3]Sales Force'!$D:$L,9,0)</f>
        <v>1001355148</v>
      </c>
      <c r="G66" s="9">
        <f>VLOOKUP(B66,'[3]Sales Force'!$D:$M,10,0)</f>
        <v>46054</v>
      </c>
      <c r="H66" s="8" t="str">
        <f>VLOOKUP(B66,'[3]Sales Force'!$D:$H,5,0)</f>
        <v>Averozolid Line</v>
      </c>
      <c r="I66" s="8" t="str">
        <f>VLOOKUP(B66,'[3]Sales Force'!$D:$N,11,0)</f>
        <v>Ahmed.Omer.Ali@averroes-eg.com</v>
      </c>
      <c r="J66" s="8"/>
    </row>
    <row r="67" spans="1:10">
      <c r="A67" s="5">
        <v>1619</v>
      </c>
      <c r="B67" s="12" t="s">
        <v>82</v>
      </c>
      <c r="C67" s="8" t="str">
        <f>VLOOKUP(B67,'[3]Sales Force'!$D:$F,3,0)</f>
        <v>Ahmed Omer Ali Mostafa</v>
      </c>
      <c r="D67" s="8" t="str">
        <f>VLOOKUP(B67,'[3]Sales Force'!$D:$J,7,0)</f>
        <v>DM</v>
      </c>
      <c r="E67" s="8">
        <f>VLOOKUP(C67,'[3]Sales Force'!$D:$O,12,0)</f>
        <v>1869</v>
      </c>
      <c r="F67" s="8">
        <f>VLOOKUP(B67,'[3]Sales Force'!$D:$L,9,0)</f>
        <v>1111329335</v>
      </c>
      <c r="G67" s="9">
        <f>VLOOKUP(B67,'[3]Sales Force'!$D:$M,10,0)</f>
        <v>45767</v>
      </c>
      <c r="H67" s="8" t="str">
        <f>VLOOKUP(B67,'[3]Sales Force'!$D:$H,5,0)</f>
        <v>Averozolid Line</v>
      </c>
      <c r="I67" s="8" t="str">
        <f>VLOOKUP(B67,'[3]Sales Force'!$D:$N,11,0)</f>
        <v>Ahmed.Fawzy.Abdelwahab@averroes-eg.com</v>
      </c>
      <c r="J67" s="8" t="str">
        <f>VLOOKUP(B67,'[3]Sales Force'!$D:$P,13,0)</f>
        <v>Embaba</v>
      </c>
    </row>
    <row r="68" spans="1:10">
      <c r="A68" s="5">
        <v>1554</v>
      </c>
      <c r="B68" s="13" t="s">
        <v>83</v>
      </c>
      <c r="C68" s="8" t="str">
        <f>VLOOKUP(B68,'[3]Sales Force'!$D:$E,2,0)</f>
        <v>Ahmed Fawzy Abdelwahab</v>
      </c>
      <c r="D68" s="8" t="str">
        <f>VLOOKUP(B68,'[3]Sales Force'!$D:$J,7,0)</f>
        <v>MR</v>
      </c>
      <c r="E68" s="8">
        <f>VLOOKUP(C68,'[3]Sales Force'!$D:$O,12,0)</f>
        <v>1619</v>
      </c>
      <c r="F68" s="8">
        <f>VLOOKUP(B68,'[3]Sales Force'!$D:$L,9,0)</f>
        <v>1020578275</v>
      </c>
      <c r="G68" s="9">
        <f>VLOOKUP(B68,'[3]Sales Force'!$D:$M,10,0)</f>
        <v>45708</v>
      </c>
      <c r="H68" s="8" t="str">
        <f>VLOOKUP(B68,'[3]Sales Force'!$D:$H,5,0)</f>
        <v>Averozolid Line</v>
      </c>
      <c r="I68" s="8"/>
      <c r="J68" s="8" t="str">
        <f>VLOOKUP(B68,'[3]Sales Force'!$D:$P,13,0)</f>
        <v>Mokattam</v>
      </c>
    </row>
    <row r="69" spans="1:10">
      <c r="A69" s="5">
        <v>1713</v>
      </c>
      <c r="B69" s="13" t="s">
        <v>84</v>
      </c>
      <c r="C69" s="8" t="str">
        <f>VLOOKUP(B69,'[3]Sales Force'!$D:$E,2,0)</f>
        <v>Ahmed Fawzy Abdelwahab</v>
      </c>
      <c r="D69" s="8" t="str">
        <f>VLOOKUP(B69,'[3]Sales Force'!$D:$J,7,0)</f>
        <v>MR</v>
      </c>
      <c r="E69" s="8">
        <f>VLOOKUP(C69,'[3]Sales Force'!$D:$O,12,0)</f>
        <v>1619</v>
      </c>
      <c r="F69" s="8">
        <f>VLOOKUP(B69,'[3]Sales Force'!$D:$L,9,0)</f>
        <v>1009620471</v>
      </c>
      <c r="G69" s="9">
        <f>VLOOKUP(B69,'[3]Sales Force'!$D:$M,10,0)</f>
        <v>45850</v>
      </c>
      <c r="H69" s="8" t="str">
        <f>VLOOKUP(B69,'[3]Sales Force'!$D:$H,5,0)</f>
        <v>Averozolid Line</v>
      </c>
      <c r="I69" s="8"/>
      <c r="J69" s="8" t="str">
        <f>VLOOKUP(B69,'[3]Sales Force'!$D:$P,13,0)</f>
        <v>DAR ELSALAM - CAIRO</v>
      </c>
    </row>
    <row r="70" spans="1:10">
      <c r="A70" s="5">
        <v>1608</v>
      </c>
      <c r="B70" s="13" t="s">
        <v>85</v>
      </c>
      <c r="C70" s="8" t="str">
        <f>VLOOKUP(B70,'[3]Sales Force'!$D:$E,2,0)</f>
        <v>Ahmed Fawzy Abdelwahab</v>
      </c>
      <c r="D70" s="8" t="str">
        <f>VLOOKUP(B70,'[3]Sales Force'!$D:$J,7,0)</f>
        <v>MR</v>
      </c>
      <c r="E70" s="8">
        <f>VLOOKUP(C70,'[3]Sales Force'!$D:$O,12,0)</f>
        <v>1619</v>
      </c>
      <c r="F70" s="8">
        <f>VLOOKUP(B70,'[3]Sales Force'!$D:$L,9,0)</f>
        <v>1148849956</v>
      </c>
      <c r="G70" s="9">
        <f>VLOOKUP(B70,'[3]Sales Force'!$D:$M,10,0)</f>
        <v>45752</v>
      </c>
      <c r="H70" s="8" t="str">
        <f>VLOOKUP(B70,'[3]Sales Force'!$D:$H,5,0)</f>
        <v>Averozolid Line</v>
      </c>
      <c r="I70" s="8"/>
      <c r="J70" s="8" t="str">
        <f>VLOOKUP(B70,'[3]Sales Force'!$D:$P,13,0)</f>
        <v>Embaba</v>
      </c>
    </row>
    <row r="71" spans="1:10">
      <c r="A71" s="5">
        <v>1103</v>
      </c>
      <c r="B71" s="13" t="s">
        <v>86</v>
      </c>
      <c r="C71" s="8" t="str">
        <f>VLOOKUP(B71,'[3]Sales Force'!$D:$E,2,0)</f>
        <v>Ahmed Fawzy Abdelwahab</v>
      </c>
      <c r="D71" s="8" t="str">
        <f>VLOOKUP(B71,'[3]Sales Force'!$D:$J,7,0)</f>
        <v>MR</v>
      </c>
      <c r="E71" s="8">
        <f>VLOOKUP(C71,'[3]Sales Force'!$D:$O,12,0)</f>
        <v>1619</v>
      </c>
      <c r="F71" s="8" t="str">
        <f>VLOOKUP(B71,'[3]Sales Force'!$D:$L,9,0)</f>
        <v> 1284584316</v>
      </c>
      <c r="G71" s="9">
        <f>VLOOKUP(B71,'[3]Sales Force'!$D:$M,10,0)</f>
        <v>44927</v>
      </c>
      <c r="H71" s="8" t="str">
        <f>VLOOKUP(B71,'[3]Sales Force'!$D:$H,5,0)</f>
        <v>Averozolid Line</v>
      </c>
      <c r="I71" s="8"/>
      <c r="J71" s="8" t="str">
        <f>VLOOKUP(B71,'[3]Sales Force'!$D:$P,13,0)</f>
        <v>El Maasara</v>
      </c>
    </row>
    <row r="72" spans="1:10">
      <c r="A72" s="5">
        <v>1523</v>
      </c>
      <c r="B72" s="13" t="s">
        <v>87</v>
      </c>
      <c r="C72" s="8" t="str">
        <f>VLOOKUP(B72,'[3]Sales Force'!$D:$E,2,0)</f>
        <v>Ahmed Fawzy Abdelwahab</v>
      </c>
      <c r="D72" s="8" t="str">
        <f>VLOOKUP(B72,'[3]Sales Force'!$D:$J,7,0)</f>
        <v>MR</v>
      </c>
      <c r="E72" s="8">
        <f>VLOOKUP(C72,'[3]Sales Force'!$D:$O,12,0)</f>
        <v>1619</v>
      </c>
      <c r="F72" s="8">
        <f>VLOOKUP(B72,'[3]Sales Force'!$D:$L,9,0)</f>
        <v>1098089404</v>
      </c>
      <c r="G72" s="9">
        <f>VLOOKUP(B72,'[3]Sales Force'!$D:$M,10,0)</f>
        <v>45691</v>
      </c>
      <c r="H72" s="8" t="str">
        <f>VLOOKUP(B72,'[3]Sales Force'!$D:$H,5,0)</f>
        <v>Averozolid Line</v>
      </c>
      <c r="I72" s="8"/>
      <c r="J72" s="8" t="str">
        <f>VLOOKUP(B72,'[3]Sales Force'!$D:$P,13,0)</f>
        <v>Suiz</v>
      </c>
    </row>
    <row r="73" spans="1:10">
      <c r="A73" s="5">
        <v>1400</v>
      </c>
      <c r="B73" s="13" t="s">
        <v>88</v>
      </c>
      <c r="C73" s="8" t="str">
        <f>VLOOKUP(B73,'[3]Sales Force'!$D:$E,2,0)</f>
        <v>Ahmed Fawzy Abdelwahab</v>
      </c>
      <c r="D73" s="8" t="str">
        <f>VLOOKUP(B73,'[3]Sales Force'!$D:$J,7,0)</f>
        <v>MR</v>
      </c>
      <c r="E73" s="8">
        <f>VLOOKUP(C73,'[3]Sales Force'!$D:$O,12,0)</f>
        <v>1619</v>
      </c>
      <c r="F73" s="8">
        <f>VLOOKUP(B73,'[3]Sales Force'!$D:$L,9,0)</f>
        <v>1221659472</v>
      </c>
      <c r="G73" s="9">
        <f>VLOOKUP(B73,'[3]Sales Force'!$D:$M,10,0)</f>
        <v>45465</v>
      </c>
      <c r="H73" s="8" t="str">
        <f>VLOOKUP(B73,'[3]Sales Force'!$D:$H,5,0)</f>
        <v>Averozolid Line</v>
      </c>
      <c r="I73" s="8"/>
      <c r="J73" s="8" t="str">
        <f>VLOOKUP(B73,'[3]Sales Force'!$D:$P,13,0)</f>
        <v>Hay El Salam</v>
      </c>
    </row>
    <row r="74" spans="1:10">
      <c r="A74" s="5">
        <v>857</v>
      </c>
      <c r="B74" s="12" t="s">
        <v>89</v>
      </c>
      <c r="C74" s="8" t="str">
        <f>VLOOKUP(B74,'[3]Sales Force'!$D:$F,3,0)</f>
        <v>Ahmed Omer Ali Mostafa</v>
      </c>
      <c r="D74" s="8" t="str">
        <f>VLOOKUP(B74,'[3]Sales Force'!$D:$J,7,0)</f>
        <v>DM</v>
      </c>
      <c r="E74" s="8">
        <f>VLOOKUP(C74,'[3]Sales Force'!$D:$O,12,0)</f>
        <v>1869</v>
      </c>
      <c r="F74" s="8">
        <f>VLOOKUP(B74,'[3]Sales Force'!$D:$L,9,0)</f>
        <v>1114248475</v>
      </c>
      <c r="G74" s="9">
        <f>VLOOKUP(B74,'[3]Sales Force'!$D:$M,10,0)</f>
        <v>44501</v>
      </c>
      <c r="H74" s="8" t="str">
        <f>VLOOKUP(B74,'[3]Sales Force'!$D:$H,5,0)</f>
        <v>Averozolid Line</v>
      </c>
      <c r="I74" s="8" t="str">
        <f>VLOOKUP(B74,'[3]Sales Force'!$D:$N,11,0)</f>
        <v>Mohamed.Khaled.Helal@averroes-eg.com</v>
      </c>
      <c r="J74" s="8" t="str">
        <f>VLOOKUP(B74,'[3]Sales Force'!$D:$P,13,0)</f>
        <v>El Marg</v>
      </c>
    </row>
    <row r="75" spans="1:10">
      <c r="A75" s="5">
        <v>1593</v>
      </c>
      <c r="B75" s="13" t="s">
        <v>90</v>
      </c>
      <c r="C75" s="8" t="str">
        <f>VLOOKUP(B75,'[3]Sales Force'!$D:$E,2,0)</f>
        <v>Mohamed Khaled Helal</v>
      </c>
      <c r="D75" s="8" t="str">
        <f>VLOOKUP(B75,'[3]Sales Force'!$D:$J,7,0)</f>
        <v>MR</v>
      </c>
      <c r="E75" s="8">
        <f>VLOOKUP(C75,'[3]Sales Force'!$D:$O,12,0)</f>
        <v>857</v>
      </c>
      <c r="F75" s="8">
        <f>VLOOKUP(B75,'[3]Sales Force'!$D:$L,9,0)</f>
        <v>1146909164</v>
      </c>
      <c r="G75" s="9">
        <f>VLOOKUP(B75,'[3]Sales Force'!$D:$M,10,0)</f>
        <v>45731</v>
      </c>
      <c r="H75" s="8" t="str">
        <f>VLOOKUP(B75,'[3]Sales Force'!$D:$H,5,0)</f>
        <v>Averozolid Line</v>
      </c>
      <c r="I75" s="8"/>
      <c r="J75" s="8" t="str">
        <f>VLOOKUP(B75,'[3]Sales Force'!$D:$P,13,0)</f>
        <v>NASR CITY II</v>
      </c>
    </row>
    <row r="76" spans="1:10">
      <c r="A76" s="5">
        <v>1938</v>
      </c>
      <c r="B76" s="14" t="s">
        <v>608</v>
      </c>
      <c r="C76" s="8" t="str">
        <f>VLOOKUP(B76,'[3]Sales Force'!$D:$E,2,0)</f>
        <v>Mohamed Khaled Helal</v>
      </c>
      <c r="D76" s="8" t="str">
        <f>VLOOKUP(B76,'[3]Sales Force'!$D:$J,7,0)</f>
        <v>MR</v>
      </c>
      <c r="E76" s="8">
        <f>VLOOKUP(C76,'[3]Sales Force'!$D:$O,12,0)</f>
        <v>857</v>
      </c>
      <c r="F76" s="8">
        <f>VLOOKUP(B76,'[3]Sales Force'!$D:$L,9,0)</f>
        <v>1152131840</v>
      </c>
      <c r="G76" s="9">
        <f>VLOOKUP(B76,'[3]Sales Force'!$D:$M,10,0)</f>
        <v>46123</v>
      </c>
      <c r="H76" s="8" t="str">
        <f>VLOOKUP(B76,'[3]Sales Force'!$D:$H,5,0)</f>
        <v>Averozolid Line</v>
      </c>
      <c r="I76" s="8"/>
      <c r="J76" s="8" t="str">
        <f>VLOOKUP(B76,'[3]Sales Force'!$D:$P,13,0)</f>
        <v>Bosh</v>
      </c>
    </row>
    <row r="77" spans="1:10">
      <c r="A77" s="5">
        <v>794</v>
      </c>
      <c r="B77" s="13" t="s">
        <v>91</v>
      </c>
      <c r="C77" s="8" t="str">
        <f>VLOOKUP(B77,'[3]Sales Force'!$D:$E,2,0)</f>
        <v>Mohamed Khaled Helal</v>
      </c>
      <c r="D77" s="8" t="str">
        <f>VLOOKUP(B77,'[3]Sales Force'!$D:$J,7,0)</f>
        <v>MR</v>
      </c>
      <c r="E77" s="8">
        <f>VLOOKUP(C77,'[3]Sales Force'!$D:$O,12,0)</f>
        <v>857</v>
      </c>
      <c r="F77" s="8">
        <f>VLOOKUP(B77,'[3]Sales Force'!$D:$L,9,0)</f>
        <v>1021022474</v>
      </c>
      <c r="G77" s="9">
        <f>VLOOKUP(B77,'[3]Sales Force'!$D:$M,10,0)</f>
        <v>44362</v>
      </c>
      <c r="H77" s="8" t="str">
        <f>VLOOKUP(B77,'[3]Sales Force'!$D:$H,5,0)</f>
        <v>Averozolid Line</v>
      </c>
      <c r="I77" s="8"/>
      <c r="J77" s="8" t="str">
        <f>VLOOKUP(B77,'[3]Sales Force'!$D:$P,13,0)</f>
        <v>6th of October City</v>
      </c>
    </row>
    <row r="78" spans="1:10">
      <c r="A78" s="5">
        <v>1740</v>
      </c>
      <c r="B78" s="13" t="s">
        <v>92</v>
      </c>
      <c r="C78" s="8" t="str">
        <f>VLOOKUP(B78,'[3]Sales Force'!$D:$E,2,0)</f>
        <v>Mohamed Khaled Helal</v>
      </c>
      <c r="D78" s="8" t="str">
        <f>VLOOKUP(B78,'[3]Sales Force'!$D:$J,7,0)</f>
        <v>MR</v>
      </c>
      <c r="E78" s="8">
        <f>VLOOKUP(C78,'[3]Sales Force'!$D:$O,12,0)</f>
        <v>857</v>
      </c>
      <c r="F78" s="8">
        <f>VLOOKUP(B78,'[3]Sales Force'!$D:$L,9,0)</f>
        <v>1156256210</v>
      </c>
      <c r="G78" s="9">
        <f>VLOOKUP(B78,'[3]Sales Force'!$D:$M,10,0)</f>
        <v>45901</v>
      </c>
      <c r="H78" s="8" t="str">
        <f>VLOOKUP(B78,'[3]Sales Force'!$D:$H,5,0)</f>
        <v>Averozolid Line</v>
      </c>
      <c r="I78" s="8"/>
      <c r="J78" s="8" t="str">
        <f>VLOOKUP(B78,'[3]Sales Force'!$D:$P,13,0)</f>
        <v>Madenet El Salam</v>
      </c>
    </row>
    <row r="79" spans="1:10">
      <c r="A79" s="5">
        <v>1685</v>
      </c>
      <c r="B79" s="13" t="s">
        <v>93</v>
      </c>
      <c r="C79" s="8" t="str">
        <f>VLOOKUP(B79,'[3]Sales Force'!$D:$E,2,0)</f>
        <v>Mohamed Khaled Helal</v>
      </c>
      <c r="D79" s="8" t="str">
        <f>VLOOKUP(B79,'[3]Sales Force'!$D:$J,7,0)</f>
        <v>MR</v>
      </c>
      <c r="E79" s="8">
        <f>VLOOKUP(C79,'[3]Sales Force'!$D:$O,12,0)</f>
        <v>857</v>
      </c>
      <c r="F79" s="8">
        <f>VLOOKUP(B79,'[3]Sales Force'!$D:$L,9,0)</f>
        <v>1005213439</v>
      </c>
      <c r="G79" s="9">
        <f>VLOOKUP(B79,'[3]Sales Force'!$D:$M,10,0)</f>
        <v>45809</v>
      </c>
      <c r="H79" s="8" t="str">
        <f>VLOOKUP(B79,'[3]Sales Force'!$D:$H,5,0)</f>
        <v>Averozolid Line</v>
      </c>
      <c r="I79" s="8"/>
      <c r="J79" s="8" t="str">
        <f>VLOOKUP(B79,'[3]Sales Force'!$D:$P,13,0)</f>
        <v>Bani Swaif City</v>
      </c>
    </row>
    <row r="80" spans="1:10">
      <c r="A80" s="5">
        <v>1512</v>
      </c>
      <c r="B80" s="13" t="s">
        <v>94</v>
      </c>
      <c r="C80" s="8" t="str">
        <f>VLOOKUP(B80,'[3]Sales Force'!$D:$E,2,0)</f>
        <v>Mohamed Khaled Helal</v>
      </c>
      <c r="D80" s="8" t="str">
        <f>VLOOKUP(B80,'[3]Sales Force'!$D:$J,7,0)</f>
        <v>MR</v>
      </c>
      <c r="E80" s="8">
        <f>VLOOKUP(C80,'[3]Sales Force'!$D:$O,12,0)</f>
        <v>857</v>
      </c>
      <c r="F80" s="8">
        <f>VLOOKUP(B80,'[3]Sales Force'!$D:$L,9,0)</f>
        <v>1114108412</v>
      </c>
      <c r="G80" s="9">
        <f>VLOOKUP(B80,'[3]Sales Force'!$D:$M,10,0)</f>
        <v>45689</v>
      </c>
      <c r="H80" s="8" t="str">
        <f>VLOOKUP(B80,'[3]Sales Force'!$D:$H,5,0)</f>
        <v>Averozolid Line</v>
      </c>
      <c r="I80" s="8"/>
      <c r="J80" s="8" t="str">
        <f>VLOOKUP(B80,'[3]Sales Force'!$D:$P,13,0)</f>
        <v>El Marg</v>
      </c>
    </row>
    <row r="81" spans="1:10">
      <c r="A81" s="5">
        <v>1253</v>
      </c>
      <c r="B81" s="13" t="s">
        <v>95</v>
      </c>
      <c r="C81" s="8" t="str">
        <f>VLOOKUP(B81,'[3]Sales Force'!$D:$E,2,0)</f>
        <v>Mohamed Khaled Helal</v>
      </c>
      <c r="D81" s="8" t="str">
        <f>VLOOKUP(B81,'[3]Sales Force'!$D:$J,7,0)</f>
        <v>MR</v>
      </c>
      <c r="E81" s="8">
        <f>VLOOKUP(C81,'[3]Sales Force'!$D:$O,12,0)</f>
        <v>857</v>
      </c>
      <c r="F81" s="8">
        <f>VLOOKUP(B81,'[3]Sales Force'!$D:$L,9,0)</f>
        <v>1289876655</v>
      </c>
      <c r="G81" s="9">
        <f>VLOOKUP(B81,'[3]Sales Force'!$D:$M,10,0)</f>
        <v>45171</v>
      </c>
      <c r="H81" s="8" t="str">
        <f>VLOOKUP(B81,'[3]Sales Force'!$D:$H,5,0)</f>
        <v>Averozolid Line</v>
      </c>
      <c r="I81" s="8"/>
      <c r="J81" s="8" t="str">
        <f>VLOOKUP(B81,'[3]Sales Force'!$D:$P,13,0)</f>
        <v>El Zawya El Hamra I</v>
      </c>
    </row>
    <row r="82" spans="1:10">
      <c r="A82" s="5">
        <v>206</v>
      </c>
      <c r="B82" s="12" t="s">
        <v>96</v>
      </c>
      <c r="C82" s="8" t="str">
        <f>VLOOKUP(B82,'[3]Sales Force'!$D:$F,3,0)</f>
        <v>Ahmed Omer Ali Mostafa</v>
      </c>
      <c r="D82" s="8" t="str">
        <f>VLOOKUP(B82,'[3]Sales Force'!$D:$J,7,0)</f>
        <v>DM</v>
      </c>
      <c r="E82" s="8">
        <f>VLOOKUP(C82,'[3]Sales Force'!$D:$O,12,0)</f>
        <v>1869</v>
      </c>
      <c r="F82" s="8" t="str">
        <f>VLOOKUP(B82,'[3]Sales Force'!$D:$L,9,0)</f>
        <v> 01225402590</v>
      </c>
      <c r="G82" s="9">
        <f>VLOOKUP(B82,'[3]Sales Force'!$D:$M,10,0)</f>
        <v>43150</v>
      </c>
      <c r="H82" s="8" t="str">
        <f>VLOOKUP(B82,'[3]Sales Force'!$D:$H,5,0)</f>
        <v>Averozolid Line</v>
      </c>
      <c r="I82" s="8" t="str">
        <f>VLOOKUP(B82,'[3]Sales Force'!$D:$N,11,0)</f>
        <v>Rania.Isaac.Wadea@averroes-eg.com</v>
      </c>
      <c r="J82" s="8" t="str">
        <f>VLOOKUP(B82,'[3]Sales Force'!$D:$P,13,0)</f>
        <v>El Mazallat</v>
      </c>
    </row>
    <row r="83" spans="1:10">
      <c r="A83" s="5">
        <v>1606</v>
      </c>
      <c r="B83" s="13" t="s">
        <v>97</v>
      </c>
      <c r="C83" s="8" t="str">
        <f>VLOOKUP(B83,'[3]Sales Force'!$D:$E,2,0)</f>
        <v>Rania Isaac Wadea</v>
      </c>
      <c r="D83" s="8" t="str">
        <f>VLOOKUP(B83,'[3]Sales Force'!$D:$J,7,0)</f>
        <v>MR</v>
      </c>
      <c r="E83" s="8">
        <f>VLOOKUP(C83,'[3]Sales Force'!$D:$O,12,0)</f>
        <v>206</v>
      </c>
      <c r="F83" s="8">
        <f>VLOOKUP(B83,'[3]Sales Force'!$D:$L,9,0)</f>
        <v>1141945376</v>
      </c>
      <c r="G83" s="9">
        <f>VLOOKUP(B83,'[3]Sales Force'!$D:$M,10,0)</f>
        <v>45752</v>
      </c>
      <c r="H83" s="8" t="str">
        <f>VLOOKUP(B83,'[3]Sales Force'!$D:$H,5,0)</f>
        <v>Averozolid Line</v>
      </c>
      <c r="I83" s="8"/>
      <c r="J83" s="8" t="str">
        <f>VLOOKUP(B83,'[3]Sales Force'!$D:$P,13,0)</f>
        <v>El Zaytoun</v>
      </c>
    </row>
    <row r="84" spans="1:10">
      <c r="A84" s="5">
        <v>1700</v>
      </c>
      <c r="B84" s="13" t="s">
        <v>98</v>
      </c>
      <c r="C84" s="8" t="str">
        <f>VLOOKUP(B84,'[3]Sales Force'!$D:$E,2,0)</f>
        <v>Rania Isaac Wadea</v>
      </c>
      <c r="D84" s="8" t="str">
        <f>VLOOKUP(B84,'[3]Sales Force'!$D:$J,7,0)</f>
        <v>MR</v>
      </c>
      <c r="E84" s="8">
        <f>VLOOKUP(C84,'[3]Sales Force'!$D:$O,12,0)</f>
        <v>206</v>
      </c>
      <c r="F84" s="8">
        <f>VLOOKUP(B84,'[3]Sales Force'!$D:$L,9,0)</f>
        <v>1115180440</v>
      </c>
      <c r="G84" s="9">
        <f>VLOOKUP(B84,'[3]Sales Force'!$D:$M,10,0)</f>
        <v>45839</v>
      </c>
      <c r="H84" s="8" t="str">
        <f>VLOOKUP(B84,'[3]Sales Force'!$D:$H,5,0)</f>
        <v>Averozolid Line</v>
      </c>
      <c r="I84" s="8"/>
      <c r="J84" s="8" t="str">
        <f>VLOOKUP(B84,'[3]Sales Force'!$D:$P,13,0)</f>
        <v>Shoubra El-Khima</v>
      </c>
    </row>
    <row r="85" spans="1:10">
      <c r="A85" s="5">
        <v>1605</v>
      </c>
      <c r="B85" s="13" t="s">
        <v>100</v>
      </c>
      <c r="C85" s="8" t="str">
        <f>VLOOKUP(B85,'[3]Sales Force'!$D:$E,2,0)</f>
        <v>Rania Isaac Wadea</v>
      </c>
      <c r="D85" s="8" t="str">
        <f>VLOOKUP(B85,'[3]Sales Force'!$D:$J,7,0)</f>
        <v>MR</v>
      </c>
      <c r="E85" s="8">
        <f>VLOOKUP(C85,'[3]Sales Force'!$D:$O,12,0)</f>
        <v>206</v>
      </c>
      <c r="F85" s="8">
        <f>VLOOKUP(B85,'[3]Sales Force'!$D:$L,9,0)</f>
        <v>1122973605</v>
      </c>
      <c r="G85" s="9">
        <f>VLOOKUP(B85,'[3]Sales Force'!$D:$M,10,0)</f>
        <v>45752</v>
      </c>
      <c r="H85" s="8" t="str">
        <f>VLOOKUP(B85,'[3]Sales Force'!$D:$H,5,0)</f>
        <v>Averozolid Line</v>
      </c>
      <c r="I85" s="8"/>
      <c r="J85" s="8" t="str">
        <f>VLOOKUP(B85,'[3]Sales Force'!$D:$P,13,0)</f>
        <v>Road El Farag</v>
      </c>
    </row>
    <row r="86" spans="1:10">
      <c r="A86" s="5">
        <v>1481</v>
      </c>
      <c r="B86" s="13" t="s">
        <v>101</v>
      </c>
      <c r="C86" s="8" t="str">
        <f>VLOOKUP(B86,'[3]Sales Force'!$D:$E,2,0)</f>
        <v>Rania Isaac Wadea</v>
      </c>
      <c r="D86" s="8" t="str">
        <f>VLOOKUP(B86,'[3]Sales Force'!$D:$J,7,0)</f>
        <v>MR</v>
      </c>
      <c r="E86" s="8">
        <f>VLOOKUP(C86,'[3]Sales Force'!$D:$O,12,0)</f>
        <v>206</v>
      </c>
      <c r="F86" s="8">
        <f>VLOOKUP(B86,'[3]Sales Force'!$D:$L,9,0)</f>
        <v>1212187020</v>
      </c>
      <c r="G86" s="9">
        <f>VLOOKUP(B86,'[3]Sales Force'!$D:$M,10,0)</f>
        <v>45658</v>
      </c>
      <c r="H86" s="8" t="str">
        <f>VLOOKUP(B86,'[3]Sales Force'!$D:$H,5,0)</f>
        <v>Averozolid Line</v>
      </c>
      <c r="I86" s="8"/>
      <c r="J86" s="8"/>
    </row>
    <row r="87" spans="1:10">
      <c r="A87" s="5">
        <v>988</v>
      </c>
      <c r="B87" s="12" t="s">
        <v>102</v>
      </c>
      <c r="C87" s="8" t="str">
        <f>VLOOKUP(B87,'[3]Sales Force'!$D:$F,3,0)</f>
        <v>Ahmed Omer Ali Mostafa</v>
      </c>
      <c r="D87" s="8" t="str">
        <f>VLOOKUP(B87,'[3]Sales Force'!$D:$J,7,0)</f>
        <v>DM</v>
      </c>
      <c r="E87" s="8">
        <f>VLOOKUP(C87,'[3]Sales Force'!$D:$O,12,0)</f>
        <v>1869</v>
      </c>
      <c r="F87" s="8">
        <f>VLOOKUP(B87,'[3]Sales Force'!$D:$L,9,0)</f>
        <v>1111615948</v>
      </c>
      <c r="G87" s="9">
        <f>VLOOKUP(B87,'[3]Sales Force'!$D:$M,10,0)</f>
        <v>44807</v>
      </c>
      <c r="H87" s="8" t="str">
        <f>VLOOKUP(B87,'[3]Sales Force'!$D:$H,5,0)</f>
        <v>Averozolid Line</v>
      </c>
      <c r="I87" s="8" t="str">
        <f>VLOOKUP(B87,'[3]Sales Force'!$D:$N,11,0)</f>
        <v>Tayseer.AbdElbary@averroes-eg.com</v>
      </c>
      <c r="J87" s="8" t="str">
        <f>VLOOKUP(B87,'[3]Sales Force'!$D:$P,13,0)</f>
        <v>El Haram</v>
      </c>
    </row>
    <row r="88" spans="1:10">
      <c r="A88" s="5">
        <v>1468</v>
      </c>
      <c r="B88" s="13" t="s">
        <v>103</v>
      </c>
      <c r="C88" s="8" t="str">
        <f>VLOOKUP(B88,'[3]Sales Force'!$D:$E,2,0)</f>
        <v>Tayseer ElSayed AbdElbary</v>
      </c>
      <c r="D88" s="8" t="str">
        <f>VLOOKUP(B88,'[3]Sales Force'!$D:$J,7,0)</f>
        <v>MR</v>
      </c>
      <c r="E88" s="8">
        <f>VLOOKUP(C88,'[3]Sales Force'!$D:$O,12,0)</f>
        <v>988</v>
      </c>
      <c r="F88" s="8">
        <f>VLOOKUP(B88,'[3]Sales Force'!$D:$L,9,0)</f>
        <v>1005263453</v>
      </c>
      <c r="G88" s="9">
        <f>VLOOKUP(B88,'[3]Sales Force'!$D:$M,10,0)</f>
        <v>45627</v>
      </c>
      <c r="H88" s="8" t="str">
        <f>VLOOKUP(B88,'[3]Sales Force'!$D:$H,5,0)</f>
        <v>Averozolid Line</v>
      </c>
      <c r="I88" s="8"/>
      <c r="J88" s="8" t="str">
        <f>VLOOKUP(B88,'[3]Sales Force'!$D:$P,13,0)</f>
        <v>Sakyet Mekky</v>
      </c>
    </row>
    <row r="89" spans="1:10">
      <c r="A89" s="5">
        <v>1909</v>
      </c>
      <c r="B89" s="14" t="s">
        <v>609</v>
      </c>
      <c r="C89" s="8" t="str">
        <f>VLOOKUP(B89,'[3]Sales Force'!$D:$E,2,0)</f>
        <v>Tayseer ElSayed AbdElbary</v>
      </c>
      <c r="D89" s="8" t="str">
        <f>VLOOKUP(B89,'[3]Sales Force'!$D:$J,7,0)</f>
        <v>MR</v>
      </c>
      <c r="E89" s="8">
        <f>VLOOKUP(C89,'[3]Sales Force'!$D:$O,12,0)</f>
        <v>988</v>
      </c>
      <c r="F89" s="8">
        <f>VLOOKUP(B89,'[3]Sales Force'!$D:$L,9,0)</f>
        <v>1025129745</v>
      </c>
      <c r="G89" s="9">
        <f>VLOOKUP(B89,'[3]Sales Force'!$D:$M,10,0)</f>
        <v>46111</v>
      </c>
      <c r="H89" s="8" t="str">
        <f>VLOOKUP(B89,'[3]Sales Force'!$D:$H,5,0)</f>
        <v>Averozolid Line</v>
      </c>
      <c r="I89" s="8"/>
      <c r="J89" s="8" t="str">
        <f>VLOOKUP(B89,'[3]Sales Force'!$D:$P,13,0)</f>
        <v>Fayoum City</v>
      </c>
    </row>
    <row r="90" spans="1:10">
      <c r="A90" s="5">
        <v>1902</v>
      </c>
      <c r="B90" s="14" t="s">
        <v>610</v>
      </c>
      <c r="C90" s="8" t="str">
        <f>VLOOKUP(B90,'[3]Sales Force'!$D:$E,2,0)</f>
        <v>Tayseer ElSayed AbdElbary</v>
      </c>
      <c r="D90" s="8" t="str">
        <f>VLOOKUP(B90,'[3]Sales Force'!$D:$J,7,0)</f>
        <v>MR</v>
      </c>
      <c r="E90" s="8">
        <f>VLOOKUP(C90,'[3]Sales Force'!$D:$O,12,0)</f>
        <v>988</v>
      </c>
      <c r="F90" s="8">
        <f>VLOOKUP(B90,'[3]Sales Force'!$D:$L,9,0)</f>
        <v>1158110890</v>
      </c>
      <c r="G90" s="9">
        <f>VLOOKUP(B90,'[3]Sales Force'!$D:$M,10,0)</f>
        <v>46095</v>
      </c>
      <c r="H90" s="8" t="str">
        <f>VLOOKUP(B90,'[3]Sales Force'!$D:$H,5,0)</f>
        <v>Averozolid Line</v>
      </c>
      <c r="I90" s="8"/>
      <c r="J90" s="8" t="str">
        <f>VLOOKUP(B90,'[3]Sales Force'!$D:$P,13,0)</f>
        <v>Faisal</v>
      </c>
    </row>
    <row r="91" spans="1:10">
      <c r="A91" s="5">
        <v>1894</v>
      </c>
      <c r="B91" s="14" t="s">
        <v>611</v>
      </c>
      <c r="C91" s="8" t="str">
        <f>VLOOKUP(B91,'[3]Sales Force'!$D:$E,2,0)</f>
        <v>Tayseer ElSayed AbdElbary</v>
      </c>
      <c r="D91" s="8" t="str">
        <f>VLOOKUP(B91,'[3]Sales Force'!$D:$J,7,0)</f>
        <v>MR</v>
      </c>
      <c r="E91" s="8">
        <f>VLOOKUP(C91,'[3]Sales Force'!$D:$O,12,0)</f>
        <v>988</v>
      </c>
      <c r="F91" s="8">
        <f>VLOOKUP(B91,'[3]Sales Force'!$D:$L,9,0)</f>
        <v>1027692281</v>
      </c>
      <c r="G91" s="9">
        <f>VLOOKUP(B91,'[3]Sales Force'!$D:$M,10,0)</f>
        <v>46084</v>
      </c>
      <c r="H91" s="8" t="str">
        <f>VLOOKUP(B91,'[3]Sales Force'!$D:$H,5,0)</f>
        <v>Averozolid Line</v>
      </c>
      <c r="I91" s="8"/>
      <c r="J91" s="8" t="str">
        <f>VLOOKUP(B91,'[3]Sales Force'!$D:$P,13,0)</f>
        <v>6th of October City</v>
      </c>
    </row>
    <row r="92" spans="1:10">
      <c r="A92" s="5">
        <v>1745</v>
      </c>
      <c r="B92" s="13" t="s">
        <v>104</v>
      </c>
      <c r="C92" s="8" t="str">
        <f>VLOOKUP(B92,'[3]Sales Force'!$D:$E,2,0)</f>
        <v>Tayseer ElSayed AbdElbary</v>
      </c>
      <c r="D92" s="8" t="str">
        <f>VLOOKUP(B92,'[3]Sales Force'!$D:$J,7,0)</f>
        <v>MR</v>
      </c>
      <c r="E92" s="8">
        <f>VLOOKUP(C92,'[3]Sales Force'!$D:$O,12,0)</f>
        <v>988</v>
      </c>
      <c r="F92" s="8">
        <f>VLOOKUP(B92,'[3]Sales Force'!$D:$L,9,0)</f>
        <v>1204449959</v>
      </c>
      <c r="G92" s="9">
        <f>VLOOKUP(B92,'[3]Sales Force'!$D:$M,10,0)</f>
        <v>45909</v>
      </c>
      <c r="H92" s="8" t="str">
        <f>VLOOKUP(B92,'[3]Sales Force'!$D:$H,5,0)</f>
        <v>Averozolid Line</v>
      </c>
      <c r="I92" s="8"/>
      <c r="J92" s="8" t="str">
        <f>VLOOKUP(B92,'[3]Sales Force'!$D:$P,13,0)</f>
        <v>Faisal</v>
      </c>
    </row>
    <row r="93" spans="1:10">
      <c r="A93" s="5">
        <v>1218</v>
      </c>
      <c r="B93" s="13" t="s">
        <v>105</v>
      </c>
      <c r="C93" s="8" t="str">
        <f>VLOOKUP(B93,'[3]Sales Force'!$D:$E,2,0)</f>
        <v>Tayseer ElSayed AbdElbary</v>
      </c>
      <c r="D93" s="8" t="str">
        <f>VLOOKUP(B93,'[3]Sales Force'!$D:$J,7,0)</f>
        <v>MR</v>
      </c>
      <c r="E93" s="8">
        <f>VLOOKUP(C93,'[3]Sales Force'!$D:$O,12,0)</f>
        <v>988</v>
      </c>
      <c r="F93" s="8">
        <f>VLOOKUP(B93,'[3]Sales Force'!$D:$L,9,0)</f>
        <v>1061890112</v>
      </c>
      <c r="G93" s="9">
        <f>VLOOKUP(B93,'[3]Sales Force'!$D:$M,10,0)</f>
        <v>45017</v>
      </c>
      <c r="H93" s="8" t="str">
        <f>VLOOKUP(B93,'[3]Sales Force'!$D:$H,5,0)</f>
        <v>Averozolid Line</v>
      </c>
      <c r="I93" s="8"/>
      <c r="J93" s="8" t="str">
        <f>VLOOKUP(B93,'[3]Sales Force'!$D:$P,13,0)</f>
        <v>El Basrawy</v>
      </c>
    </row>
    <row r="94" spans="1:10">
      <c r="A94" s="5">
        <v>68</v>
      </c>
      <c r="B94" s="11" t="s">
        <v>106</v>
      </c>
      <c r="C94" s="8" t="str">
        <f>VLOOKUP(B94,'[3]Sales Force'!$D:$G,4,0)</f>
        <v>Abd Elhameed Elshiekh</v>
      </c>
      <c r="D94" s="8" t="str">
        <f>VLOOKUP(B94,'[3]Sales Force'!$D:$J,7,0)</f>
        <v>AM</v>
      </c>
      <c r="E94" s="8">
        <f>VLOOKUP(C94,'[3]Sales Force'!$D:$O,12,0)</f>
        <v>59</v>
      </c>
      <c r="F94" s="8" t="str">
        <f>VLOOKUP(B94,'[3]Sales Force'!$D:$L,9,0)</f>
        <v> 01002999232</v>
      </c>
      <c r="G94" s="9">
        <f>VLOOKUP(B94,'[3]Sales Force'!$D:$M,10,0)</f>
        <v>41671</v>
      </c>
      <c r="H94" s="8" t="str">
        <f>VLOOKUP(B94,'[3]Sales Force'!$D:$H,5,0)</f>
        <v>Averocoxib Line</v>
      </c>
      <c r="I94" s="8" t="str">
        <f>VLOOKUP(B94,'[3]Sales Force'!$D:$N,11,0)</f>
        <v>hossam.elwakeel@averroes-eg.com</v>
      </c>
      <c r="J94" s="8" t="str">
        <f>VLOOKUP(B94,'[3]Sales Force'!$D:$P,13,0)</f>
        <v>Kafr El Shiekh</v>
      </c>
    </row>
    <row r="95" spans="1:10">
      <c r="A95" s="5">
        <v>176</v>
      </c>
      <c r="B95" s="12" t="s">
        <v>107</v>
      </c>
      <c r="C95" s="8" t="str">
        <f>VLOOKUP(B95,'[3]Sales Force'!$D:$F,3,0)</f>
        <v>Hossam Kamel ElWakeel</v>
      </c>
      <c r="D95" s="8" t="str">
        <f>VLOOKUP(B95,'[3]Sales Force'!$D:$J,7,0)</f>
        <v>DM</v>
      </c>
      <c r="E95" s="8">
        <f>VLOOKUP(C95,'[3]Sales Force'!$D:$O,12,0)</f>
        <v>68</v>
      </c>
      <c r="F95" s="8" t="str">
        <f>VLOOKUP(B95,'[3]Sales Force'!$D:$L,9,0)</f>
        <v> 01093198714</v>
      </c>
      <c r="G95" s="9">
        <f>VLOOKUP(B95,'[3]Sales Force'!$D:$M,10,0)</f>
        <v>43008</v>
      </c>
      <c r="H95" s="8" t="str">
        <f>VLOOKUP(B95,'[3]Sales Force'!$D:$H,5,0)</f>
        <v>Averocoxib Line</v>
      </c>
      <c r="I95" s="8" t="str">
        <f>VLOOKUP(B95,'[3]Sales Force'!$D:$N,11,0)</f>
        <v>ali.omar@averroes-eg.com</v>
      </c>
      <c r="J95" s="8" t="str">
        <f>VLOOKUP(B95,'[3]Sales Force'!$D:$P,13,0)</f>
        <v>Quariet Kherbetha</v>
      </c>
    </row>
    <row r="96" spans="1:10">
      <c r="A96" s="5">
        <v>1442</v>
      </c>
      <c r="B96" s="13" t="s">
        <v>108</v>
      </c>
      <c r="C96" s="8" t="str">
        <f>VLOOKUP(B96,'[3]Sales Force'!$D:$E,2,0)</f>
        <v>Ali Omar freag</v>
      </c>
      <c r="D96" s="8" t="str">
        <f>VLOOKUP(B96,'[3]Sales Force'!$D:$J,7,0)</f>
        <v>MR</v>
      </c>
      <c r="E96" s="8">
        <f>VLOOKUP(C96,'[3]Sales Force'!$D:$O,12,0)</f>
        <v>176</v>
      </c>
      <c r="F96" s="8">
        <f>VLOOKUP(B96,'[3]Sales Force'!$D:$L,9,0)</f>
        <v>1097123754</v>
      </c>
      <c r="G96" s="9">
        <f>VLOOKUP(B96,'[3]Sales Force'!$D:$M,10,0)</f>
        <v>45542</v>
      </c>
      <c r="H96" s="8" t="str">
        <f>VLOOKUP(B96,'[3]Sales Force'!$D:$H,5,0)</f>
        <v>Averocoxib Line</v>
      </c>
      <c r="I96" s="8"/>
      <c r="J96" s="8" t="str">
        <f>VLOOKUP(B96,'[3]Sales Force'!$D:$P,13,0)</f>
        <v>Kafr El Shiekh</v>
      </c>
    </row>
    <row r="97" spans="1:10">
      <c r="A97" s="5">
        <v>1095</v>
      </c>
      <c r="B97" s="13" t="s">
        <v>109</v>
      </c>
      <c r="C97" s="8" t="str">
        <f>VLOOKUP(B97,'[3]Sales Force'!$D:$E,2,0)</f>
        <v>Ali Omar freag</v>
      </c>
      <c r="D97" s="8" t="str">
        <f>VLOOKUP(B97,'[3]Sales Force'!$D:$J,7,0)</f>
        <v>MR</v>
      </c>
      <c r="E97" s="8">
        <f>VLOOKUP(C97,'[3]Sales Force'!$D:$O,12,0)</f>
        <v>176</v>
      </c>
      <c r="F97" s="8" t="str">
        <f>VLOOKUP(B97,'[3]Sales Force'!$D:$L,9,0)</f>
        <v> 01003761973</v>
      </c>
      <c r="G97" s="9">
        <f>VLOOKUP(B97,'[3]Sales Force'!$D:$M,10,0)</f>
        <v>44927</v>
      </c>
      <c r="H97" s="8" t="str">
        <f>VLOOKUP(B97,'[3]Sales Force'!$D:$H,5,0)</f>
        <v>Averocoxib Line</v>
      </c>
      <c r="I97" s="8"/>
      <c r="J97" s="8" t="str">
        <f>VLOOKUP(B97,'[3]Sales Force'!$D:$P,13,0)</f>
        <v>Etay El Baroud</v>
      </c>
    </row>
    <row r="98" spans="1:10">
      <c r="A98" s="5">
        <v>1387</v>
      </c>
      <c r="B98" s="13" t="s">
        <v>111</v>
      </c>
      <c r="C98" s="8" t="str">
        <f>VLOOKUP(B98,'[3]Sales Force'!$D:$E,2,0)</f>
        <v>Ali Omar freag</v>
      </c>
      <c r="D98" s="8" t="str">
        <f>VLOOKUP(B98,'[3]Sales Force'!$D:$J,7,0)</f>
        <v>MR</v>
      </c>
      <c r="E98" s="8">
        <f>VLOOKUP(C98,'[3]Sales Force'!$D:$O,12,0)</f>
        <v>176</v>
      </c>
      <c r="F98" s="8">
        <f>VLOOKUP(B98,'[3]Sales Force'!$D:$L,9,0)</f>
        <v>1011957365</v>
      </c>
      <c r="G98" s="9">
        <f>VLOOKUP(B98,'[3]Sales Force'!$D:$M,10,0)</f>
        <v>45446</v>
      </c>
      <c r="H98" s="8" t="str">
        <f>VLOOKUP(B98,'[3]Sales Force'!$D:$H,5,0)</f>
        <v>Averocoxib Line</v>
      </c>
      <c r="I98" s="8"/>
      <c r="J98" s="8" t="str">
        <f>VLOOKUP(B98,'[3]Sales Force'!$D:$P,13,0)</f>
        <v>Damanhour</v>
      </c>
    </row>
    <row r="99" spans="1:10">
      <c r="A99" s="5">
        <v>1235</v>
      </c>
      <c r="B99" s="13" t="s">
        <v>112</v>
      </c>
      <c r="C99" s="8" t="str">
        <f>VLOOKUP(B99,'[3]Sales Force'!$D:$E,2,0)</f>
        <v>Ali Omar freag</v>
      </c>
      <c r="D99" s="8" t="str">
        <f>VLOOKUP(B99,'[3]Sales Force'!$D:$J,7,0)</f>
        <v>MR</v>
      </c>
      <c r="E99" s="8">
        <f>VLOOKUP(C99,'[3]Sales Force'!$D:$O,12,0)</f>
        <v>176</v>
      </c>
      <c r="F99" s="8">
        <f>VLOOKUP(B99,'[3]Sales Force'!$D:$L,9,0)</f>
        <v>1022321401</v>
      </c>
      <c r="G99" s="9">
        <f>VLOOKUP(B99,'[3]Sales Force'!$D:$M,10,0)</f>
        <v>45111</v>
      </c>
      <c r="H99" s="8" t="str">
        <f>VLOOKUP(B99,'[3]Sales Force'!$D:$H,5,0)</f>
        <v>Averocoxib Line</v>
      </c>
      <c r="I99" s="8"/>
      <c r="J99" s="8" t="str">
        <f>VLOOKUP(B99,'[3]Sales Force'!$D:$P,13,0)</f>
        <v>Shoubra (Damanhour)</v>
      </c>
    </row>
    <row r="100" spans="1:10">
      <c r="A100" s="5">
        <v>1511</v>
      </c>
      <c r="B100" s="13" t="s">
        <v>113</v>
      </c>
      <c r="C100" s="8" t="str">
        <f>VLOOKUP(B100,'[3]Sales Force'!$D:$E,2,0)</f>
        <v>Ali Omar freag</v>
      </c>
      <c r="D100" s="8" t="str">
        <f>VLOOKUP(B100,'[3]Sales Force'!$D:$J,7,0)</f>
        <v>MR</v>
      </c>
      <c r="E100" s="8">
        <f>VLOOKUP(C100,'[3]Sales Force'!$D:$O,12,0)</f>
        <v>176</v>
      </c>
      <c r="F100" s="8">
        <f>VLOOKUP(B100,'[3]Sales Force'!$D:$L,9,0)</f>
        <v>1099180337</v>
      </c>
      <c r="G100" s="9">
        <f>VLOOKUP(B100,'[3]Sales Force'!$D:$M,10,0)</f>
        <v>45690</v>
      </c>
      <c r="H100" s="8" t="str">
        <f>VLOOKUP(B100,'[3]Sales Force'!$D:$H,5,0)</f>
        <v>Averocoxib Line</v>
      </c>
      <c r="I100" s="8"/>
      <c r="J100" s="8" t="str">
        <f>VLOOKUP(B100,'[3]Sales Force'!$D:$P,13,0)</f>
        <v>Kafr El Shiekh</v>
      </c>
    </row>
    <row r="101" spans="1:10">
      <c r="A101" s="5">
        <v>1779</v>
      </c>
      <c r="B101" s="13" t="s">
        <v>114</v>
      </c>
      <c r="C101" s="8" t="str">
        <f>VLOOKUP(B101,'[3]Sales Force'!$D:$E,2,0)</f>
        <v>Ali Omar freag</v>
      </c>
      <c r="D101" s="8" t="str">
        <f>VLOOKUP(B101,'[3]Sales Force'!$D:$J,7,0)</f>
        <v>MR</v>
      </c>
      <c r="E101" s="8">
        <f>VLOOKUP(C101,'[3]Sales Force'!$D:$O,12,0)</f>
        <v>176</v>
      </c>
      <c r="F101" s="8">
        <f>VLOOKUP(B101,'[3]Sales Force'!$D:$L,9,0)</f>
        <v>1095695938</v>
      </c>
      <c r="G101" s="9">
        <f>VLOOKUP(B101,'[3]Sales Force'!$D:$M,10,0)</f>
        <v>45962</v>
      </c>
      <c r="H101" s="8" t="str">
        <f>VLOOKUP(B101,'[3]Sales Force'!$D:$H,5,0)</f>
        <v>Averocoxib Line</v>
      </c>
      <c r="I101" s="8"/>
      <c r="J101" s="8" t="str">
        <f>VLOOKUP(B101,'[3]Sales Force'!$D:$P,13,0)</f>
        <v>Desouk</v>
      </c>
    </row>
    <row r="102" spans="1:10">
      <c r="A102" s="5">
        <v>543</v>
      </c>
      <c r="B102" s="12" t="s">
        <v>115</v>
      </c>
      <c r="C102" s="8" t="str">
        <f>VLOOKUP(B102,'[3]Sales Force'!$D:$F,3,0)</f>
        <v>Hossam Kamel ElWakeel</v>
      </c>
      <c r="D102" s="8" t="str">
        <f>VLOOKUP(B102,'[3]Sales Force'!$D:$J,7,0)</f>
        <v>DM</v>
      </c>
      <c r="E102" s="8">
        <f>VLOOKUP(C102,'[3]Sales Force'!$D:$O,12,0)</f>
        <v>68</v>
      </c>
      <c r="F102" s="8">
        <f>VLOOKUP(B102,'[3]Sales Force'!$D:$L,9,0)</f>
        <v>1200102243</v>
      </c>
      <c r="G102" s="9">
        <f>VLOOKUP(B102,'[3]Sales Force'!$D:$M,10,0)</f>
        <v>43846</v>
      </c>
      <c r="H102" s="8" t="str">
        <f>VLOOKUP(B102,'[3]Sales Force'!$D:$H,5,0)</f>
        <v>Averocoxib Line</v>
      </c>
      <c r="I102" s="8" t="str">
        <f>VLOOKUP(B102,'[3]Sales Force'!$D:$N,11,0)</f>
        <v>hebtallah.hanfy@averroes-eg.com</v>
      </c>
      <c r="J102" s="8" t="str">
        <f>VLOOKUP(B102,'[3]Sales Force'!$D:$P,13,0)</f>
        <v>El Asafra Kebly</v>
      </c>
    </row>
    <row r="103" spans="1:10">
      <c r="A103" s="5">
        <v>1398</v>
      </c>
      <c r="B103" s="13" t="s">
        <v>116</v>
      </c>
      <c r="C103" s="8" t="str">
        <f>VLOOKUP(B103,'[3]Sales Force'!$D:$E,2,0)</f>
        <v>Hebtallah Hanfy Elsaid</v>
      </c>
      <c r="D103" s="8" t="str">
        <f>VLOOKUP(B103,'[3]Sales Force'!$D:$J,7,0)</f>
        <v>MR</v>
      </c>
      <c r="E103" s="8">
        <f>VLOOKUP(C103,'[3]Sales Force'!$D:$O,12,0)</f>
        <v>543</v>
      </c>
      <c r="F103" s="8">
        <f>VLOOKUP(B103,'[3]Sales Force'!$D:$L,9,0)</f>
        <v>1270836966</v>
      </c>
      <c r="G103" s="9">
        <f>VLOOKUP(B103,'[3]Sales Force'!$D:$M,10,0)</f>
        <v>45465</v>
      </c>
      <c r="H103" s="8" t="str">
        <f>VLOOKUP(B103,'[3]Sales Force'!$D:$H,5,0)</f>
        <v>Averocoxib Line</v>
      </c>
      <c r="I103" s="8"/>
      <c r="J103" s="8" t="str">
        <f>VLOOKUP(B103,'[3]Sales Force'!$D:$P,13,0)</f>
        <v>El Falaky (Alex)</v>
      </c>
    </row>
    <row r="104" spans="1:10">
      <c r="A104" s="5">
        <v>1406</v>
      </c>
      <c r="B104" s="13" t="s">
        <v>117</v>
      </c>
      <c r="C104" s="8" t="str">
        <f>VLOOKUP(B104,'[3]Sales Force'!$D:$E,2,0)</f>
        <v>Hebtallah Hanfy Elsaid</v>
      </c>
      <c r="D104" s="8" t="str">
        <f>VLOOKUP(B104,'[3]Sales Force'!$D:$J,7,0)</f>
        <v>MR</v>
      </c>
      <c r="E104" s="8">
        <f>VLOOKUP(C104,'[3]Sales Force'!$D:$O,12,0)</f>
        <v>543</v>
      </c>
      <c r="F104" s="8">
        <f>VLOOKUP(B104,'[3]Sales Force'!$D:$L,9,0)</f>
        <v>1554098724</v>
      </c>
      <c r="G104" s="9">
        <f>VLOOKUP(B104,'[3]Sales Force'!$D:$M,10,0)</f>
        <v>45479</v>
      </c>
      <c r="H104" s="8" t="str">
        <f>VLOOKUP(B104,'[3]Sales Force'!$D:$H,5,0)</f>
        <v>Averocoxib Line</v>
      </c>
      <c r="I104" s="8"/>
      <c r="J104" s="8" t="str">
        <f>VLOOKUP(B104,'[3]Sales Force'!$D:$P,13,0)</f>
        <v>El Hanoveel</v>
      </c>
    </row>
    <row r="105" spans="1:10">
      <c r="A105" s="5">
        <v>1361</v>
      </c>
      <c r="B105" s="13" t="s">
        <v>118</v>
      </c>
      <c r="C105" s="8" t="str">
        <f>VLOOKUP(B105,'[3]Sales Force'!$D:$E,2,0)</f>
        <v>Hebtallah Hanfy Elsaid</v>
      </c>
      <c r="D105" s="8" t="str">
        <f>VLOOKUP(B105,'[3]Sales Force'!$D:$J,7,0)</f>
        <v>MR</v>
      </c>
      <c r="E105" s="8">
        <f>VLOOKUP(C105,'[3]Sales Force'!$D:$O,12,0)</f>
        <v>543</v>
      </c>
      <c r="F105" s="8">
        <f>VLOOKUP(B105,'[3]Sales Force'!$D:$L,9,0)</f>
        <v>1288635673</v>
      </c>
      <c r="G105" s="9">
        <f>VLOOKUP(B105,'[3]Sales Force'!$D:$M,10,0)</f>
        <v>45423</v>
      </c>
      <c r="H105" s="8" t="str">
        <f>VLOOKUP(B105,'[3]Sales Force'!$D:$H,5,0)</f>
        <v>Averocoxib Line</v>
      </c>
      <c r="I105" s="8"/>
      <c r="J105" s="8" t="str">
        <f>VLOOKUP(B105,'[3]Sales Force'!$D:$P,13,0)</f>
        <v>El Betash</v>
      </c>
    </row>
    <row r="106" spans="1:10">
      <c r="A106" s="5">
        <v>1594</v>
      </c>
      <c r="B106" s="13" t="s">
        <v>119</v>
      </c>
      <c r="C106" s="8" t="str">
        <f>VLOOKUP(B106,'[3]Sales Force'!$D:$E,2,0)</f>
        <v>Hebtallah Hanfy Elsaid</v>
      </c>
      <c r="D106" s="8" t="str">
        <f>VLOOKUP(B106,'[3]Sales Force'!$D:$J,7,0)</f>
        <v>MR</v>
      </c>
      <c r="E106" s="8">
        <f>VLOOKUP(C106,'[3]Sales Force'!$D:$O,12,0)</f>
        <v>543</v>
      </c>
      <c r="F106" s="8">
        <f>VLOOKUP(B106,'[3]Sales Force'!$D:$L,9,0)</f>
        <v>1212314471</v>
      </c>
      <c r="G106" s="9">
        <f>VLOOKUP(B106,'[3]Sales Force'!$D:$M,10,0)</f>
        <v>45717</v>
      </c>
      <c r="H106" s="8" t="str">
        <f>VLOOKUP(B106,'[3]Sales Force'!$D:$H,5,0)</f>
        <v>Averocoxib Line</v>
      </c>
      <c r="I106" s="8"/>
      <c r="J106" s="8" t="str">
        <f>VLOOKUP(B106,'[3]Sales Force'!$D:$P,13,0)</f>
        <v>El Asafra</v>
      </c>
    </row>
    <row r="107" spans="1:10">
      <c r="A107" s="5">
        <v>1595</v>
      </c>
      <c r="B107" s="13" t="s">
        <v>120</v>
      </c>
      <c r="C107" s="8" t="str">
        <f>VLOOKUP(B107,'[3]Sales Force'!$D:$E,2,0)</f>
        <v>Hebtallah Hanfy Elsaid</v>
      </c>
      <c r="D107" s="8" t="str">
        <f>VLOOKUP(B107,'[3]Sales Force'!$D:$J,7,0)</f>
        <v>MR</v>
      </c>
      <c r="E107" s="8">
        <f>VLOOKUP(C107,'[3]Sales Force'!$D:$O,12,0)</f>
        <v>543</v>
      </c>
      <c r="F107" s="8">
        <f>VLOOKUP(B107,'[3]Sales Force'!$D:$L,9,0)</f>
        <v>1287590852</v>
      </c>
      <c r="G107" s="9">
        <f>VLOOKUP(B107,'[3]Sales Force'!$D:$M,10,0)</f>
        <v>45728</v>
      </c>
      <c r="H107" s="8" t="str">
        <f>VLOOKUP(B107,'[3]Sales Force'!$D:$H,5,0)</f>
        <v>Averocoxib Line</v>
      </c>
      <c r="I107" s="8"/>
      <c r="J107" s="8" t="str">
        <f>VLOOKUP(B107,'[3]Sales Force'!$D:$P,13,0)</f>
        <v>Sidi Beshr Bahary</v>
      </c>
    </row>
    <row r="108" spans="1:10">
      <c r="A108" s="5">
        <v>1821</v>
      </c>
      <c r="B108" s="13" t="s">
        <v>121</v>
      </c>
      <c r="C108" s="8" t="str">
        <f>VLOOKUP(B108,'[3]Sales Force'!$D:$E,2,0)</f>
        <v>Hebtallah Hanfy Elsaid</v>
      </c>
      <c r="D108" s="8" t="str">
        <f>VLOOKUP(B108,'[3]Sales Force'!$D:$J,7,0)</f>
        <v>MR</v>
      </c>
      <c r="E108" s="8">
        <f>VLOOKUP(C108,'[3]Sales Force'!$D:$O,12,0)</f>
        <v>543</v>
      </c>
      <c r="F108" s="8">
        <f>VLOOKUP(B108,'[3]Sales Force'!$D:$L,9,0)</f>
        <v>1507111624</v>
      </c>
      <c r="G108" s="9">
        <f>VLOOKUP(B108,'[3]Sales Force'!$D:$M,10,0)</f>
        <v>46013</v>
      </c>
      <c r="H108" s="8" t="str">
        <f>VLOOKUP(B108,'[3]Sales Force'!$D:$H,5,0)</f>
        <v>Averocoxib Line</v>
      </c>
      <c r="I108" s="8"/>
      <c r="J108" s="8" t="str">
        <f>VLOOKUP(B108,'[3]Sales Force'!$D:$P,13,0)</f>
        <v>El Betash</v>
      </c>
    </row>
    <row r="109" spans="1:10">
      <c r="A109" s="5">
        <v>1706</v>
      </c>
      <c r="B109" s="13" t="s">
        <v>122</v>
      </c>
      <c r="C109" s="8" t="str">
        <f>VLOOKUP(B109,'[3]Sales Force'!$D:$E,2,0)</f>
        <v>Hebtallah Hanfy Elsaid</v>
      </c>
      <c r="D109" s="8" t="str">
        <f>VLOOKUP(B109,'[3]Sales Force'!$D:$J,7,0)</f>
        <v>MR</v>
      </c>
      <c r="E109" s="8">
        <f>VLOOKUP(C109,'[3]Sales Force'!$D:$O,12,0)</f>
        <v>543</v>
      </c>
      <c r="F109" s="8">
        <f>VLOOKUP(B109,'[3]Sales Force'!$D:$L,9,0)</f>
        <v>1550447381</v>
      </c>
      <c r="G109" s="9">
        <f>VLOOKUP(B109,'[3]Sales Force'!$D:$M,10,0)</f>
        <v>45839</v>
      </c>
      <c r="H109" s="8" t="str">
        <f>VLOOKUP(B109,'[3]Sales Force'!$D:$H,5,0)</f>
        <v>Averocoxib Line</v>
      </c>
      <c r="I109" s="8"/>
      <c r="J109" s="8" t="str">
        <f>VLOOKUP(B109,'[3]Sales Force'!$D:$P,13,0)</f>
        <v>El Siuf Bahary</v>
      </c>
    </row>
    <row r="110" spans="1:10">
      <c r="A110" s="5">
        <v>959</v>
      </c>
      <c r="B110" s="11" t="s">
        <v>123</v>
      </c>
      <c r="C110" s="8" t="str">
        <f>VLOOKUP(B110,'[3]Sales Force'!$D:$G,4,0)</f>
        <v>Abd Elhameed Elshiekh</v>
      </c>
      <c r="D110" s="8" t="str">
        <f>VLOOKUP(B110,'[3]Sales Force'!$D:$J,7,0)</f>
        <v>AM</v>
      </c>
      <c r="E110" s="8">
        <f>VLOOKUP(C110,'[3]Sales Force'!$D:$O,12,0)</f>
        <v>59</v>
      </c>
      <c r="F110" s="8">
        <f>VLOOKUP(B110,'[3]Sales Force'!$D:$L,9,0)</f>
        <v>1147609346</v>
      </c>
      <c r="G110" s="9">
        <f>VLOOKUP(B110,'[3]Sales Force'!$D:$M,10,0)</f>
        <v>44615</v>
      </c>
      <c r="H110" s="8" t="str">
        <f>VLOOKUP(B110,'[3]Sales Force'!$D:$H,5,0)</f>
        <v>Averocoxib Line</v>
      </c>
      <c r="I110" s="8" t="str">
        <f>VLOOKUP(B110,'[3]Sales Force'!$D:$N,11,0)</f>
        <v>Mohamed.Nagar.Abdelrhim@averroes-eg.com</v>
      </c>
      <c r="J110" s="8" t="str">
        <f>VLOOKUP(B110,'[3]Sales Force'!$D:$P,13,0)</f>
        <v>Helwan</v>
      </c>
    </row>
    <row r="111" spans="1:10">
      <c r="A111" s="5">
        <v>1863</v>
      </c>
      <c r="B111" s="14" t="s">
        <v>125</v>
      </c>
      <c r="C111" s="8" t="str">
        <f>VLOOKUP(B111,'[3]Sales Force'!$D:$E,2,0)</f>
        <v>L9_Vacant_Cairo 1</v>
      </c>
      <c r="D111" s="8" t="str">
        <f>VLOOKUP(B111,'[3]Sales Force'!$D:$J,7,0)</f>
        <v>MR</v>
      </c>
      <c r="E111" s="8">
        <f>VLOOKUP(C111,'[3]Sales Force'!$D:$O,12,0)</f>
        <v>0</v>
      </c>
      <c r="F111" s="8">
        <f>VLOOKUP(B111,'[3]Sales Force'!$D:$L,9,0)</f>
        <v>1156870485</v>
      </c>
      <c r="G111" s="9">
        <f>VLOOKUP(B111,'[3]Sales Force'!$D:$M,10,0)</f>
        <v>46060</v>
      </c>
      <c r="H111" s="8" t="str">
        <f>VLOOKUP(B111,'[3]Sales Force'!$D:$H,5,0)</f>
        <v>Averocoxib Line</v>
      </c>
      <c r="I111" s="8"/>
      <c r="J111" s="8" t="str">
        <f>VLOOKUP(B111,'[3]Sales Force'!$D:$P,13,0)</f>
        <v>El Sahel</v>
      </c>
    </row>
    <row r="112" spans="1:10">
      <c r="A112" s="5">
        <v>1330</v>
      </c>
      <c r="B112" s="13" t="s">
        <v>126</v>
      </c>
      <c r="C112" s="8" t="str">
        <f>VLOOKUP(B112,'[3]Sales Force'!$D:$E,2,0)</f>
        <v>L9_Vacant_Cairo 1</v>
      </c>
      <c r="D112" s="8" t="str">
        <f>VLOOKUP(B112,'[3]Sales Force'!$D:$J,7,0)</f>
        <v>MR</v>
      </c>
      <c r="E112" s="8">
        <f>VLOOKUP(C112,'[3]Sales Force'!$D:$O,12,0)</f>
        <v>0</v>
      </c>
      <c r="F112" s="8">
        <f>VLOOKUP(B112,'[3]Sales Force'!$D:$L,9,0)</f>
        <v>1066171906</v>
      </c>
      <c r="G112" s="9">
        <f>VLOOKUP(B112,'[3]Sales Force'!$D:$M,10,0)</f>
        <v>45311</v>
      </c>
      <c r="H112" s="8" t="str">
        <f>VLOOKUP(B112,'[3]Sales Force'!$D:$H,5,0)</f>
        <v>Averocoxib Line</v>
      </c>
      <c r="I112" s="8"/>
      <c r="J112" s="8" t="str">
        <f>VLOOKUP(B112,'[3]Sales Force'!$D:$P,13,0)</f>
        <v>Suiz</v>
      </c>
    </row>
    <row r="113" spans="1:10">
      <c r="A113" s="5">
        <v>925</v>
      </c>
      <c r="B113" s="13" t="s">
        <v>127</v>
      </c>
      <c r="C113" s="8" t="str">
        <f>VLOOKUP(B113,'[3]Sales Force'!$D:$E,2,0)</f>
        <v>L9_Vacant_Cairo 1</v>
      </c>
      <c r="D113" s="8" t="str">
        <f>VLOOKUP(B113,'[3]Sales Force'!$D:$J,7,0)</f>
        <v>MR</v>
      </c>
      <c r="E113" s="8">
        <f>VLOOKUP(C113,'[3]Sales Force'!$D:$O,12,0)</f>
        <v>0</v>
      </c>
      <c r="F113" s="8">
        <f>VLOOKUP(B113,'[3]Sales Force'!$D:$L,9,0)</f>
        <v>1287737504</v>
      </c>
      <c r="G113" s="9">
        <f>VLOOKUP(B113,'[3]Sales Force'!$D:$M,10,0)</f>
        <v>44597</v>
      </c>
      <c r="H113" s="8" t="str">
        <f>VLOOKUP(B113,'[3]Sales Force'!$D:$H,5,0)</f>
        <v>Averocoxib Line</v>
      </c>
      <c r="I113" s="8"/>
      <c r="J113" s="8" t="str">
        <f>VLOOKUP(B113,'[3]Sales Force'!$D:$P,13,0)</f>
        <v>El Basateen</v>
      </c>
    </row>
    <row r="114" spans="1:10">
      <c r="A114" s="5">
        <v>1432</v>
      </c>
      <c r="B114" s="13" t="s">
        <v>72</v>
      </c>
      <c r="C114" s="8" t="str">
        <f>VLOOKUP(B114,'[3]Sales Force'!$D:$E,2,0)</f>
        <v>L9_Vacant_Cairo 1</v>
      </c>
      <c r="D114" s="8" t="str">
        <f>VLOOKUP(B114,'[3]Sales Force'!$D:$J,7,0)</f>
        <v>MR</v>
      </c>
      <c r="E114" s="8">
        <f>VLOOKUP(C114,'[3]Sales Force'!$D:$O,12,0)</f>
        <v>0</v>
      </c>
      <c r="F114" s="8">
        <f>VLOOKUP(B114,'[3]Sales Force'!$D:$L,9,0)</f>
        <v>1271977642</v>
      </c>
      <c r="G114" s="9">
        <f>VLOOKUP(B114,'[3]Sales Force'!$D:$M,10,0)</f>
        <v>45521</v>
      </c>
      <c r="H114" s="8" t="str">
        <f>VLOOKUP(B114,'[3]Sales Force'!$D:$H,5,0)</f>
        <v>Averocoxib Line</v>
      </c>
      <c r="I114" s="8"/>
      <c r="J114" s="8"/>
    </row>
    <row r="115" spans="1:10">
      <c r="A115" s="5">
        <v>311</v>
      </c>
      <c r="B115" s="13" t="s">
        <v>128</v>
      </c>
      <c r="C115" s="8" t="str">
        <f>VLOOKUP(B115,'[3]Sales Force'!$D:$E,2,0)</f>
        <v>L9_Vacant_Cairo 1</v>
      </c>
      <c r="D115" s="8" t="str">
        <f>VLOOKUP(B115,'[3]Sales Force'!$D:$J,7,0)</f>
        <v>MR</v>
      </c>
      <c r="E115" s="8">
        <f>VLOOKUP(C115,'[3]Sales Force'!$D:$O,12,0)</f>
        <v>0</v>
      </c>
      <c r="F115" s="8" t="str">
        <f>VLOOKUP(B115,'[3]Sales Force'!$D:$L,9,0)</f>
        <v> 01129050807</v>
      </c>
      <c r="G115" s="9">
        <f>VLOOKUP(B115,'[3]Sales Force'!$D:$M,10,0)</f>
        <v>43282</v>
      </c>
      <c r="H115" s="8" t="str">
        <f>VLOOKUP(B115,'[3]Sales Force'!$D:$H,5,0)</f>
        <v>Averocoxib Line</v>
      </c>
      <c r="I115" s="8"/>
      <c r="J115" s="8" t="str">
        <f>VLOOKUP(B115,'[3]Sales Force'!$D:$P,13,0)</f>
        <v>Helwan</v>
      </c>
    </row>
    <row r="116" spans="1:10">
      <c r="A116" s="5">
        <v>1591</v>
      </c>
      <c r="B116" s="12" t="s">
        <v>129</v>
      </c>
      <c r="C116" s="8" t="str">
        <f>VLOOKUP(B116,'[3]Sales Force'!$D:$F,3,0)</f>
        <v>Mohamed Nagar Abdelrhim</v>
      </c>
      <c r="D116" s="8" t="str">
        <f>VLOOKUP(B116,'[3]Sales Force'!$D:$J,7,0)</f>
        <v>DM</v>
      </c>
      <c r="E116" s="8">
        <f>VLOOKUP(C116,'[3]Sales Force'!$D:$O,12,0)</f>
        <v>959</v>
      </c>
      <c r="F116" s="8">
        <f>VLOOKUP(B116,'[3]Sales Force'!$D:$L,9,0)</f>
        <v>1015864146</v>
      </c>
      <c r="G116" s="9">
        <f>VLOOKUP(B116,'[3]Sales Force'!$D:$M,10,0)</f>
        <v>45735</v>
      </c>
      <c r="H116" s="8" t="str">
        <f>VLOOKUP(B116,'[3]Sales Force'!$D:$H,5,0)</f>
        <v>Averocoxib Line</v>
      </c>
      <c r="I116" s="8" t="str">
        <f>VLOOKUP(B116,'[3]Sales Force'!$D:$N,11,0)</f>
        <v>Mahmoud.Mohsen.Mahmoud@averroes-eg.com</v>
      </c>
      <c r="J116" s="8" t="str">
        <f>VLOOKUP(B116,'[3]Sales Force'!$D:$P,13,0)</f>
        <v>Hadayek Al Ahram</v>
      </c>
    </row>
    <row r="117" spans="1:10">
      <c r="A117" s="5">
        <v>1359</v>
      </c>
      <c r="B117" s="13" t="s">
        <v>130</v>
      </c>
      <c r="C117" s="8" t="str">
        <f>VLOOKUP(B117,'[3]Sales Force'!$D:$E,2,0)</f>
        <v>Mahmoud Mohsen Mahmoud</v>
      </c>
      <c r="D117" s="8" t="str">
        <f>VLOOKUP(B117,'[3]Sales Force'!$D:$J,7,0)</f>
        <v>MR</v>
      </c>
      <c r="E117" s="8">
        <f>VLOOKUP(C117,'[3]Sales Force'!$D:$O,12,0)</f>
        <v>1591</v>
      </c>
      <c r="F117" s="8">
        <f>VLOOKUP(B117,'[3]Sales Force'!$D:$L,9,0)</f>
        <v>1126176336</v>
      </c>
      <c r="G117" s="9">
        <f>VLOOKUP(B117,'[3]Sales Force'!$D:$M,10,0)</f>
        <v>45423</v>
      </c>
      <c r="H117" s="8" t="str">
        <f>VLOOKUP(B117,'[3]Sales Force'!$D:$H,5,0)</f>
        <v>Averocoxib Line</v>
      </c>
      <c r="I117" s="8"/>
      <c r="J117" s="8" t="str">
        <f>VLOOKUP(B117,'[3]Sales Force'!$D:$P,13,0)</f>
        <v>Abo El Nomros</v>
      </c>
    </row>
    <row r="118" spans="1:10">
      <c r="A118" s="5">
        <v>1841</v>
      </c>
      <c r="B118" s="17" t="s">
        <v>131</v>
      </c>
      <c r="C118" s="8" t="str">
        <f>VLOOKUP(B118,'[3]Sales Force'!$D:$E,2,0)</f>
        <v>Mahmoud Mohsen Mahmoud</v>
      </c>
      <c r="D118" s="8" t="str">
        <f>VLOOKUP(B118,'[3]Sales Force'!$D:$J,7,0)</f>
        <v>MR</v>
      </c>
      <c r="E118" s="8">
        <f>VLOOKUP(C118,'[3]Sales Force'!$D:$O,12,0)</f>
        <v>1591</v>
      </c>
      <c r="F118" s="41" t="s">
        <v>601</v>
      </c>
      <c r="G118" s="9">
        <f>VLOOKUP(B118,'[3]Sales Force'!$D:$M,10,0)</f>
        <v>46021</v>
      </c>
      <c r="H118" s="8" t="str">
        <f>VLOOKUP(B118,'[3]Sales Force'!$D:$H,5,0)</f>
        <v>Averocoxib Line</v>
      </c>
      <c r="I118" s="8"/>
      <c r="J118" s="8"/>
    </row>
    <row r="119" spans="1:10">
      <c r="A119" s="5">
        <v>1627</v>
      </c>
      <c r="B119" s="13" t="s">
        <v>132</v>
      </c>
      <c r="C119" s="8" t="str">
        <f>VLOOKUP(B119,'[3]Sales Force'!$D:$E,2,0)</f>
        <v>Mahmoud Mohsen Mahmoud</v>
      </c>
      <c r="D119" s="8" t="str">
        <f>VLOOKUP(B119,'[3]Sales Force'!$D:$J,7,0)</f>
        <v>MR</v>
      </c>
      <c r="E119" s="8">
        <f>VLOOKUP(C119,'[3]Sales Force'!$D:$O,12,0)</f>
        <v>1591</v>
      </c>
      <c r="F119" s="8">
        <f>VLOOKUP(B119,'[3]Sales Force'!$D:$L,9,0)</f>
        <v>1066917854</v>
      </c>
      <c r="G119" s="9">
        <f>VLOOKUP(B119,'[3]Sales Force'!$D:$M,10,0)</f>
        <v>45777</v>
      </c>
      <c r="H119" s="8" t="str">
        <f>VLOOKUP(B119,'[3]Sales Force'!$D:$H,5,0)</f>
        <v>Averocoxib Line</v>
      </c>
      <c r="I119" s="8"/>
      <c r="J119" s="8" t="str">
        <f>VLOOKUP(B119,'[3]Sales Force'!$D:$P,13,0)</f>
        <v>Embaba</v>
      </c>
    </row>
    <row r="120" spans="1:10">
      <c r="A120" s="5">
        <v>1209</v>
      </c>
      <c r="B120" s="13" t="s">
        <v>133</v>
      </c>
      <c r="C120" s="8" t="str">
        <f>VLOOKUP(B120,'[3]Sales Force'!$D:$E,2,0)</f>
        <v>Mahmoud Mohsen Mahmoud</v>
      </c>
      <c r="D120" s="8" t="str">
        <f>VLOOKUP(B120,'[3]Sales Force'!$D:$J,7,0)</f>
        <v>MR</v>
      </c>
      <c r="E120" s="8">
        <f>VLOOKUP(C120,'[3]Sales Force'!$D:$O,12,0)</f>
        <v>1591</v>
      </c>
      <c r="F120" s="8">
        <f>VLOOKUP(B120,'[3]Sales Force'!$D:$L,9,0)</f>
        <v>1019670169</v>
      </c>
      <c r="G120" s="9">
        <f>VLOOKUP(B120,'[3]Sales Force'!$D:$M,10,0)</f>
        <v>44998</v>
      </c>
      <c r="H120" s="8" t="str">
        <f>VLOOKUP(B120,'[3]Sales Force'!$D:$H,5,0)</f>
        <v>Averocoxib Line</v>
      </c>
      <c r="I120" s="8"/>
      <c r="J120" s="8" t="str">
        <f>VLOOKUP(B120,'[3]Sales Force'!$D:$P,13,0)</f>
        <v>Fayoum City</v>
      </c>
    </row>
    <row r="121" spans="1:10">
      <c r="A121" s="5">
        <v>1501</v>
      </c>
      <c r="B121" s="13" t="s">
        <v>134</v>
      </c>
      <c r="C121" s="8" t="str">
        <f>VLOOKUP(B121,'[3]Sales Force'!$D:$E,2,0)</f>
        <v>Mahmoud Mohsen Mahmoud</v>
      </c>
      <c r="D121" s="8" t="str">
        <f>VLOOKUP(B121,'[3]Sales Force'!$D:$J,7,0)</f>
        <v>MR</v>
      </c>
      <c r="E121" s="8">
        <f>VLOOKUP(C121,'[3]Sales Force'!$D:$O,12,0)</f>
        <v>1591</v>
      </c>
      <c r="F121" s="8">
        <f>VLOOKUP(B121,'[3]Sales Force'!$D:$L,9,0)</f>
        <v>1272921499</v>
      </c>
      <c r="G121" s="9">
        <f>VLOOKUP(B121,'[3]Sales Force'!$D:$M,10,0)</f>
        <v>45675</v>
      </c>
      <c r="H121" s="8" t="str">
        <f>VLOOKUP(B121,'[3]Sales Force'!$D:$H,5,0)</f>
        <v>Averocoxib Line</v>
      </c>
      <c r="I121" s="8"/>
      <c r="J121" s="8" t="str">
        <f>VLOOKUP(B121,'[3]Sales Force'!$D:$P,13,0)</f>
        <v>El Talbia (Haram)</v>
      </c>
    </row>
    <row r="122" spans="1:10">
      <c r="A122" s="5">
        <v>1836</v>
      </c>
      <c r="B122" s="13" t="s">
        <v>135</v>
      </c>
      <c r="C122" s="8" t="str">
        <f>VLOOKUP(B122,'[3]Sales Force'!$D:$E,2,0)</f>
        <v>Mahmoud Mohsen Mahmoud</v>
      </c>
      <c r="D122" s="8" t="str">
        <f>VLOOKUP(B122,'[3]Sales Force'!$D:$J,7,0)</f>
        <v>MR</v>
      </c>
      <c r="E122" s="8">
        <f>VLOOKUP(C122,'[3]Sales Force'!$D:$O,12,0)</f>
        <v>1591</v>
      </c>
      <c r="F122" s="8">
        <f>VLOOKUP(B122,'[3]Sales Force'!$D:$L,9,0)</f>
        <v>1271459622</v>
      </c>
      <c r="G122" s="9">
        <f>VLOOKUP(B122,'[3]Sales Force'!$D:$M,10,0)</f>
        <v>46025</v>
      </c>
      <c r="H122" s="8" t="str">
        <f>VLOOKUP(B122,'[3]Sales Force'!$D:$H,5,0)</f>
        <v>Averocoxib Line</v>
      </c>
      <c r="I122" s="8"/>
      <c r="J122" s="8" t="str">
        <f>VLOOKUP(B122,'[3]Sales Force'!$D:$P,13,0)</f>
        <v>El Omrania</v>
      </c>
    </row>
    <row r="123" spans="1:10">
      <c r="A123" s="5">
        <v>412</v>
      </c>
      <c r="B123" s="12" t="s">
        <v>136</v>
      </c>
      <c r="C123" s="8" t="str">
        <f>VLOOKUP(B123,'[3]Sales Force'!$D:$F,3,0)</f>
        <v>Mohamed Nagar Abdelrhim</v>
      </c>
      <c r="D123" s="8" t="str">
        <f>VLOOKUP(B123,'[3]Sales Force'!$D:$J,7,0)</f>
        <v>DM</v>
      </c>
      <c r="E123" s="8">
        <f>VLOOKUP(C123,'[3]Sales Force'!$D:$O,12,0)</f>
        <v>959</v>
      </c>
      <c r="F123" s="8">
        <f>VLOOKUP(B123,'[3]Sales Force'!$D:$L,9,0)</f>
        <v>1111329335</v>
      </c>
      <c r="G123" s="9">
        <f>VLOOKUP(B123,'[3]Sales Force'!$D:$M,10,0)</f>
        <v>43497</v>
      </c>
      <c r="H123" s="8" t="str">
        <f>VLOOKUP(B123,'[3]Sales Force'!$D:$H,5,0)</f>
        <v>Averocoxib Line</v>
      </c>
      <c r="I123" s="8" t="str">
        <f>VLOOKUP(B123,'[3]Sales Force'!$D:$N,11,0)</f>
        <v>mohamed.nassar@averroes-eg.com</v>
      </c>
      <c r="J123" s="8" t="str">
        <f>VLOOKUP(B123,'[3]Sales Force'!$D:$P,13,0)</f>
        <v>ELMATARIA - CAIRO</v>
      </c>
    </row>
    <row r="124" spans="1:10">
      <c r="A124" s="5">
        <v>1823</v>
      </c>
      <c r="B124" s="13" t="s">
        <v>137</v>
      </c>
      <c r="C124" s="8" t="str">
        <f>VLOOKUP(B124,'[3]Sales Force'!$D:$E,2,0)</f>
        <v>Mohamed Mostafa Nassar</v>
      </c>
      <c r="D124" s="8" t="str">
        <f>VLOOKUP(B124,'[3]Sales Force'!$D:$J,7,0)</f>
        <v>MR</v>
      </c>
      <c r="E124" s="8">
        <f>VLOOKUP(C124,'[3]Sales Force'!$D:$O,12,0)</f>
        <v>412</v>
      </c>
      <c r="F124" s="8">
        <f>VLOOKUP(B124,'[3]Sales Force'!$D:$L,9,0)</f>
        <v>1122010177</v>
      </c>
      <c r="G124" s="9">
        <f>VLOOKUP(B124,'[3]Sales Force'!$D:$M,10,0)</f>
        <v>46022</v>
      </c>
      <c r="H124" s="8" t="str">
        <f>VLOOKUP(B124,'[3]Sales Force'!$D:$H,5,0)</f>
        <v>Averocoxib Line</v>
      </c>
      <c r="I124" s="8"/>
      <c r="J124" s="8" t="str">
        <f>VLOOKUP(B124,'[3]Sales Force'!$D:$P,13,0)</f>
        <v>Ain Shams El Sharqeya</v>
      </c>
    </row>
    <row r="125" spans="1:10">
      <c r="A125" s="5">
        <v>713</v>
      </c>
      <c r="B125" s="13" t="s">
        <v>138</v>
      </c>
      <c r="C125" s="8" t="str">
        <f>VLOOKUP(B125,'[3]Sales Force'!$D:$E,2,0)</f>
        <v>Mohamed Mostafa Nassar</v>
      </c>
      <c r="D125" s="8" t="str">
        <f>VLOOKUP(B125,'[3]Sales Force'!$D:$J,7,0)</f>
        <v>MR</v>
      </c>
      <c r="E125" s="8">
        <f>VLOOKUP(C125,'[3]Sales Force'!$D:$O,12,0)</f>
        <v>412</v>
      </c>
      <c r="F125" s="41" t="s">
        <v>601</v>
      </c>
      <c r="G125" s="9">
        <f>VLOOKUP(B125,'[3]Sales Force'!$D:$M,10,0)</f>
        <v>44222</v>
      </c>
      <c r="H125" s="8" t="str">
        <f>VLOOKUP(B125,'[3]Sales Force'!$D:$H,5,0)</f>
        <v>Averocoxib Line</v>
      </c>
      <c r="I125" s="8"/>
      <c r="J125" s="8" t="str">
        <f>VLOOKUP(B125,'[3]Sales Force'!$D:$P,13,0)</f>
        <v>El Marg</v>
      </c>
    </row>
    <row r="126" spans="1:10">
      <c r="A126" s="5">
        <v>1892</v>
      </c>
      <c r="B126" s="14" t="s">
        <v>612</v>
      </c>
      <c r="C126" s="8" t="str">
        <f>VLOOKUP(B126,'[3]Sales Force'!$D:$E,2,0)</f>
        <v>Mohamed Mostafa Nassar</v>
      </c>
      <c r="D126" s="8" t="str">
        <f>VLOOKUP(B126,'[3]Sales Force'!$D:$J,7,0)</f>
        <v>MR</v>
      </c>
      <c r="E126" s="8">
        <f>VLOOKUP(C126,'[3]Sales Force'!$D:$O,12,0)</f>
        <v>412</v>
      </c>
      <c r="F126" s="8">
        <f>VLOOKUP(B126,'[3]Sales Force'!$D:$L,9,0)</f>
        <v>1228427014</v>
      </c>
      <c r="G126" s="9">
        <f>VLOOKUP(B126,'[3]Sales Force'!$D:$M,10,0)</f>
        <v>46082</v>
      </c>
      <c r="H126" s="8" t="str">
        <f>VLOOKUP(B126,'[3]Sales Force'!$D:$H,5,0)</f>
        <v>Averocoxib Line</v>
      </c>
      <c r="I126" s="8"/>
      <c r="J126" s="8" t="str">
        <f>VLOOKUP(B126,'[3]Sales Force'!$D:$P,13,0)</f>
        <v>El Marg</v>
      </c>
    </row>
    <row r="127" spans="1:10">
      <c r="A127" s="5">
        <v>1842</v>
      </c>
      <c r="B127" s="14" t="s">
        <v>139</v>
      </c>
      <c r="C127" s="8" t="str">
        <f>VLOOKUP(B127,'[3]Sales Force'!$D:$E,2,0)</f>
        <v>Mohamed Mostafa Nassar</v>
      </c>
      <c r="D127" s="8" t="str">
        <f>VLOOKUP(B127,'[3]Sales Force'!$D:$J,7,0)</f>
        <v>MR</v>
      </c>
      <c r="E127" s="8">
        <f>VLOOKUP(C127,'[3]Sales Force'!$D:$O,12,0)</f>
        <v>412</v>
      </c>
      <c r="F127" s="8">
        <f>VLOOKUP(B127,'[3]Sales Force'!$D:$L,9,0)</f>
        <v>1006626097</v>
      </c>
      <c r="G127" s="9">
        <f>VLOOKUP(B127,'[3]Sales Force'!$D:$M,10,0)</f>
        <v>46049</v>
      </c>
      <c r="H127" s="8" t="str">
        <f>VLOOKUP(B127,'[3]Sales Force'!$D:$H,5,0)</f>
        <v>Averocoxib Line</v>
      </c>
      <c r="I127" s="8"/>
      <c r="J127" s="8" t="str">
        <f>VLOOKUP(B127,'[3]Sales Force'!$D:$P,13,0)</f>
        <v>Bahteem</v>
      </c>
    </row>
    <row r="128" spans="1:10">
      <c r="A128" s="5">
        <v>395</v>
      </c>
      <c r="B128" s="13" t="s">
        <v>140</v>
      </c>
      <c r="C128" s="8" t="str">
        <f>VLOOKUP(B128,'[3]Sales Force'!$D:$E,2,0)</f>
        <v>Mohamed Mostafa Nassar</v>
      </c>
      <c r="D128" s="8" t="str">
        <f>VLOOKUP(B128,'[3]Sales Force'!$D:$J,7,0)</f>
        <v>MR</v>
      </c>
      <c r="E128" s="8">
        <f>VLOOKUP(C128,'[3]Sales Force'!$D:$O,12,0)</f>
        <v>412</v>
      </c>
      <c r="F128" s="8">
        <f>VLOOKUP(B128,'[3]Sales Force'!$D:$L,9,0)</f>
        <v>1060137342</v>
      </c>
      <c r="G128" s="9">
        <f>VLOOKUP(B128,'[3]Sales Force'!$D:$M,10,0)</f>
        <v>43132</v>
      </c>
      <c r="H128" s="8" t="str">
        <f>VLOOKUP(B128,'[3]Sales Force'!$D:$H,5,0)</f>
        <v>Averocoxib Line</v>
      </c>
      <c r="I128" s="8"/>
      <c r="J128" s="8" t="str">
        <f>VLOOKUP(B128,'[3]Sales Force'!$D:$P,13,0)</f>
        <v>Ismaelia City</v>
      </c>
    </row>
    <row r="129" spans="1:10">
      <c r="A129" s="5">
        <v>1572</v>
      </c>
      <c r="B129" s="13" t="s">
        <v>141</v>
      </c>
      <c r="C129" s="8" t="str">
        <f>VLOOKUP(B129,'[3]Sales Force'!$D:$E,2,0)</f>
        <v>Mohamed Mostafa Nassar</v>
      </c>
      <c r="D129" s="8" t="str">
        <f>VLOOKUP(B129,'[3]Sales Force'!$D:$J,7,0)</f>
        <v>MR</v>
      </c>
      <c r="E129" s="8">
        <f>VLOOKUP(C129,'[3]Sales Force'!$D:$O,12,0)</f>
        <v>412</v>
      </c>
      <c r="F129" s="8">
        <f>VLOOKUP(B129,'[3]Sales Force'!$D:$L,9,0)</f>
        <v>1142614491</v>
      </c>
      <c r="G129" s="9">
        <f>VLOOKUP(B129,'[3]Sales Force'!$D:$M,10,0)</f>
        <v>45718</v>
      </c>
      <c r="H129" s="8" t="str">
        <f>VLOOKUP(B129,'[3]Sales Force'!$D:$H,5,0)</f>
        <v>Averocoxib Line</v>
      </c>
      <c r="I129" s="8"/>
      <c r="J129" s="8" t="str">
        <f>VLOOKUP(B129,'[3]Sales Force'!$D:$P,13,0)</f>
        <v>Ain shams</v>
      </c>
    </row>
    <row r="130" spans="1:10">
      <c r="A130" s="5">
        <v>149</v>
      </c>
      <c r="B130" s="11" t="s">
        <v>142</v>
      </c>
      <c r="C130" s="8" t="str">
        <f>VLOOKUP(B130,'[3]Sales Force'!$D:$G,4,0)</f>
        <v>Abd Elhameed Elshiekh</v>
      </c>
      <c r="D130" s="8" t="str">
        <f>VLOOKUP(B130,'[3]Sales Force'!$D:$J,7,0)</f>
        <v>AM</v>
      </c>
      <c r="E130" s="8">
        <f>VLOOKUP(C130,'[3]Sales Force'!$D:$O,12,0)</f>
        <v>59</v>
      </c>
      <c r="F130" s="8">
        <f>VLOOKUP(B130,'[3]Sales Force'!$D:$L,9,0)</f>
        <v>1022228972</v>
      </c>
      <c r="G130" s="9">
        <f>VLOOKUP(B130,'[3]Sales Force'!$D:$M,10,0)</f>
        <v>41091</v>
      </c>
      <c r="H130" s="8" t="str">
        <f>VLOOKUP(B130,'[3]Sales Force'!$D:$H,5,0)</f>
        <v>Averocoxib Line</v>
      </c>
      <c r="I130" s="8" t="str">
        <f>VLOOKUP(B130,'[3]Sales Force'!$D:$N,11,0)</f>
        <v>Mohamed.farag@averroes-eg.com</v>
      </c>
      <c r="J130" s="8" t="str">
        <f>VLOOKUP(B130,'[3]Sales Force'!$D:$P,13,0)</f>
        <v>Menyet Elkamh</v>
      </c>
    </row>
    <row r="131" spans="1:10">
      <c r="A131" s="5">
        <v>1338</v>
      </c>
      <c r="B131" s="12" t="s">
        <v>143</v>
      </c>
      <c r="C131" s="8" t="str">
        <f>VLOOKUP(B131,'[3]Sales Force'!$D:$F,3,0)</f>
        <v>Mohamed Taha Mohamed</v>
      </c>
      <c r="D131" s="8" t="str">
        <f>VLOOKUP(B131,'[3]Sales Force'!$D:$J,7,0)</f>
        <v>DM</v>
      </c>
      <c r="E131" s="8">
        <f>VLOOKUP(C131,'[3]Sales Force'!$D:$O,12,0)</f>
        <v>149</v>
      </c>
      <c r="F131" s="8">
        <f>VLOOKUP(B131,'[3]Sales Force'!$D:$L,9,0)</f>
        <v>1145736809</v>
      </c>
      <c r="G131" s="9">
        <f>VLOOKUP(B131,'[3]Sales Force'!$D:$M,10,0)</f>
        <v>45383</v>
      </c>
      <c r="H131" s="8" t="str">
        <f>VLOOKUP(B131,'[3]Sales Force'!$D:$H,5,0)</f>
        <v>Averocoxib Line</v>
      </c>
      <c r="I131" s="8" t="str">
        <f>VLOOKUP(B131,'[3]Sales Force'!$D:$N,11,0)</f>
        <v>Ali.Salem@averroes-eg.com</v>
      </c>
      <c r="J131" s="8" t="str">
        <f>VLOOKUP(B131,'[3]Sales Force'!$D:$P,13,0)</f>
        <v>diest</v>
      </c>
    </row>
    <row r="132" spans="1:10">
      <c r="A132" s="5">
        <v>1470</v>
      </c>
      <c r="B132" s="13" t="s">
        <v>144</v>
      </c>
      <c r="C132" s="8" t="str">
        <f>VLOOKUP(B132,'[3]Sales Force'!$D:$E,2,0)</f>
        <v>Ali Salem Ali</v>
      </c>
      <c r="D132" s="8" t="str">
        <f>VLOOKUP(B132,'[3]Sales Force'!$D:$J,7,0)</f>
        <v>MR</v>
      </c>
      <c r="E132" s="8">
        <f>VLOOKUP(C132,'[3]Sales Force'!$D:$O,12,0)</f>
        <v>1338</v>
      </c>
      <c r="F132" s="8">
        <f>VLOOKUP(B132,'[3]Sales Force'!$D:$L,9,0)</f>
        <v>1025345205</v>
      </c>
      <c r="G132" s="9">
        <f>VLOOKUP(B132,'[3]Sales Force'!$D:$M,10,0)</f>
        <v>45634</v>
      </c>
      <c r="H132" s="8" t="str">
        <f>VLOOKUP(B132,'[3]Sales Force'!$D:$H,5,0)</f>
        <v>Averocoxib Line</v>
      </c>
      <c r="I132" s="8"/>
      <c r="J132" s="8" t="str">
        <f>VLOOKUP(B132,'[3]Sales Force'!$D:$P,13,0)</f>
        <v>Aga</v>
      </c>
    </row>
    <row r="133" spans="1:10">
      <c r="A133" s="5">
        <v>725</v>
      </c>
      <c r="B133" s="13" t="s">
        <v>145</v>
      </c>
      <c r="C133" s="8" t="str">
        <f>VLOOKUP(B133,'[3]Sales Force'!$D:$E,2,0)</f>
        <v>Ali Salem Ali</v>
      </c>
      <c r="D133" s="8" t="str">
        <f>VLOOKUP(B133,'[3]Sales Force'!$D:$J,7,0)</f>
        <v>MR</v>
      </c>
      <c r="E133" s="8">
        <f>VLOOKUP(C133,'[3]Sales Force'!$D:$O,12,0)</f>
        <v>1338</v>
      </c>
      <c r="F133" s="41" t="s">
        <v>601</v>
      </c>
      <c r="G133" s="9">
        <f>VLOOKUP(B133,'[3]Sales Force'!$D:$M,10,0)</f>
        <v>44227</v>
      </c>
      <c r="H133" s="8" t="str">
        <f>VLOOKUP(B133,'[3]Sales Force'!$D:$H,5,0)</f>
        <v>Averocoxib Line</v>
      </c>
      <c r="I133" s="8"/>
      <c r="J133" s="8" t="str">
        <f>VLOOKUP(B133,'[3]Sales Force'!$D:$P,13,0)</f>
        <v>Dekernes</v>
      </c>
    </row>
    <row r="134" spans="1:10">
      <c r="A134" s="5">
        <v>1805</v>
      </c>
      <c r="B134" s="13" t="s">
        <v>146</v>
      </c>
      <c r="C134" s="8" t="str">
        <f>VLOOKUP(B134,'[3]Sales Force'!$D:$E,2,0)</f>
        <v>Ali Salem Ali</v>
      </c>
      <c r="D134" s="8" t="str">
        <f>VLOOKUP(B134,'[3]Sales Force'!$D:$J,7,0)</f>
        <v>MR</v>
      </c>
      <c r="E134" s="8">
        <f>VLOOKUP(C134,'[3]Sales Force'!$D:$O,12,0)</f>
        <v>1338</v>
      </c>
      <c r="F134" s="8">
        <f>VLOOKUP(B134,'[3]Sales Force'!$D:$L,9,0)</f>
        <v>1025739069</v>
      </c>
      <c r="G134" s="9">
        <f>VLOOKUP(B134,'[3]Sales Force'!$D:$M,10,0)</f>
        <v>45992</v>
      </c>
      <c r="H134" s="8" t="str">
        <f>VLOOKUP(B134,'[3]Sales Force'!$D:$H,5,0)</f>
        <v>Averocoxib Line</v>
      </c>
      <c r="I134" s="8"/>
      <c r="J134" s="8" t="str">
        <f>VLOOKUP(B134,'[3]Sales Force'!$D:$P,13,0)</f>
        <v>Domiat New</v>
      </c>
    </row>
    <row r="135" spans="1:10">
      <c r="A135" s="5">
        <v>1824</v>
      </c>
      <c r="B135" s="13" t="s">
        <v>147</v>
      </c>
      <c r="C135" s="8" t="str">
        <f>VLOOKUP(B135,'[3]Sales Force'!$D:$E,2,0)</f>
        <v>Ali Salem Ali</v>
      </c>
      <c r="D135" s="8" t="str">
        <f>VLOOKUP(B135,'[3]Sales Force'!$D:$J,7,0)</f>
        <v>MR</v>
      </c>
      <c r="E135" s="8">
        <f>VLOOKUP(C135,'[3]Sales Force'!$D:$O,12,0)</f>
        <v>1338</v>
      </c>
      <c r="F135" s="8">
        <f>VLOOKUP(B135,'[3]Sales Force'!$D:$L,9,0)</f>
        <v>1223148304</v>
      </c>
      <c r="G135" s="9">
        <f>VLOOKUP(B135,'[3]Sales Force'!$D:$M,10,0)</f>
        <v>46023</v>
      </c>
      <c r="H135" s="8" t="str">
        <f>VLOOKUP(B135,'[3]Sales Force'!$D:$H,5,0)</f>
        <v>Averocoxib Line</v>
      </c>
      <c r="I135" s="8"/>
      <c r="J135" s="8" t="str">
        <f>VLOOKUP(B135,'[3]Sales Force'!$D:$P,13,0)</f>
        <v>Port Saed</v>
      </c>
    </row>
    <row r="136" spans="1:10">
      <c r="A136" s="5">
        <v>1806</v>
      </c>
      <c r="B136" s="13" t="s">
        <v>148</v>
      </c>
      <c r="C136" s="8" t="str">
        <f>VLOOKUP(B136,'[3]Sales Force'!$D:$E,2,0)</f>
        <v>Ali Salem Ali</v>
      </c>
      <c r="D136" s="8" t="str">
        <f>VLOOKUP(B136,'[3]Sales Force'!$D:$J,7,0)</f>
        <v>MR</v>
      </c>
      <c r="E136" s="8">
        <f>VLOOKUP(C136,'[3]Sales Force'!$D:$O,12,0)</f>
        <v>1338</v>
      </c>
      <c r="F136" s="8">
        <f>VLOOKUP(B136,'[3]Sales Force'!$D:$L,9,0)</f>
        <v>1050977899</v>
      </c>
      <c r="G136" s="9">
        <f>VLOOKUP(B136,'[3]Sales Force'!$D:$M,10,0)</f>
        <v>45992</v>
      </c>
      <c r="H136" s="8" t="str">
        <f>VLOOKUP(B136,'[3]Sales Force'!$D:$H,5,0)</f>
        <v>Averocoxib Line</v>
      </c>
      <c r="I136" s="8"/>
      <c r="J136" s="8" t="str">
        <f>VLOOKUP(B136,'[3]Sales Force'!$D:$P,13,0)</f>
        <v>El Mansoura</v>
      </c>
    </row>
    <row r="137" spans="1:10">
      <c r="A137" s="5">
        <v>1356</v>
      </c>
      <c r="B137" s="13" t="s">
        <v>149</v>
      </c>
      <c r="C137" s="8" t="str">
        <f>VLOOKUP(B137,'[3]Sales Force'!$D:$E,2,0)</f>
        <v>Ali Salem Ali</v>
      </c>
      <c r="D137" s="8" t="str">
        <f>VLOOKUP(B137,'[3]Sales Force'!$D:$J,7,0)</f>
        <v>MR</v>
      </c>
      <c r="E137" s="8">
        <f>VLOOKUP(C137,'[3]Sales Force'!$D:$O,12,0)</f>
        <v>1338</v>
      </c>
      <c r="F137" s="8">
        <f>VLOOKUP(B137,'[3]Sales Force'!$D:$L,9,0)</f>
        <v>1021798296</v>
      </c>
      <c r="G137" s="9">
        <f>VLOOKUP(B137,'[3]Sales Force'!$D:$M,10,0)</f>
        <v>45419</v>
      </c>
      <c r="H137" s="8" t="str">
        <f>VLOOKUP(B137,'[3]Sales Force'!$D:$H,5,0)</f>
        <v>Averocoxib Line</v>
      </c>
      <c r="I137" s="8"/>
      <c r="J137" s="8" t="str">
        <f>VLOOKUP(B137,'[3]Sales Force'!$D:$P,13,0)</f>
        <v>El Mansoura</v>
      </c>
    </row>
    <row r="138" spans="1:10">
      <c r="A138" s="5">
        <v>1373</v>
      </c>
      <c r="B138" s="13" t="s">
        <v>150</v>
      </c>
      <c r="C138" s="8" t="str">
        <f>VLOOKUP(B138,'[3]Sales Force'!$D:$E,2,0)</f>
        <v>L9_Vacant_Gharbia &amp; Minufia</v>
      </c>
      <c r="D138" s="8" t="str">
        <f>VLOOKUP(B138,'[3]Sales Force'!$D:$J,7,0)</f>
        <v>MR</v>
      </c>
      <c r="E138" s="8">
        <f>VLOOKUP(C138,'[3]Sales Force'!$D:$O,12,0)</f>
        <v>0</v>
      </c>
      <c r="F138" s="8">
        <f>VLOOKUP(B138,'[3]Sales Force'!$D:$L,9,0)</f>
        <v>1010647325</v>
      </c>
      <c r="G138" s="9">
        <f>VLOOKUP(B138,'[3]Sales Force'!$D:$M,10,0)</f>
        <v>45444</v>
      </c>
      <c r="H138" s="8" t="str">
        <f>VLOOKUP(B138,'[3]Sales Force'!$D:$H,5,0)</f>
        <v>Averocoxib Line</v>
      </c>
      <c r="I138" s="8"/>
      <c r="J138" s="8" t="str">
        <f>VLOOKUP(B138,'[3]Sales Force'!$D:$P,13,0)</f>
        <v>El Mahala El Kobra</v>
      </c>
    </row>
    <row r="139" spans="1:10">
      <c r="A139" s="5">
        <v>1537</v>
      </c>
      <c r="B139" s="13" t="s">
        <v>151</v>
      </c>
      <c r="C139" s="8" t="str">
        <f>VLOOKUP(B139,'[3]Sales Force'!$D:$E,2,0)</f>
        <v>L9_Vacant_Gharbia &amp; Minufia</v>
      </c>
      <c r="D139" s="8" t="str">
        <f>VLOOKUP(B139,'[3]Sales Force'!$D:$J,7,0)</f>
        <v>MR</v>
      </c>
      <c r="E139" s="8">
        <f>VLOOKUP(C139,'[3]Sales Force'!$D:$O,12,0)</f>
        <v>0</v>
      </c>
      <c r="F139" s="8">
        <f>VLOOKUP(B139,'[3]Sales Force'!$D:$L,9,0)</f>
        <v>1008728749</v>
      </c>
      <c r="G139" s="9">
        <f>VLOOKUP(B139,'[3]Sales Force'!$D:$M,10,0)</f>
        <v>45698</v>
      </c>
      <c r="H139" s="8" t="str">
        <f>VLOOKUP(B139,'[3]Sales Force'!$D:$H,5,0)</f>
        <v>Averocoxib Line</v>
      </c>
      <c r="I139" s="8"/>
      <c r="J139" s="8" t="str">
        <f>VLOOKUP(B139,'[3]Sales Force'!$D:$P,13,0)</f>
        <v>Shebien El Kom</v>
      </c>
    </row>
    <row r="140" spans="1:10">
      <c r="A140" s="5">
        <v>1073</v>
      </c>
      <c r="B140" s="13" t="s">
        <v>152</v>
      </c>
      <c r="C140" s="8" t="str">
        <f>VLOOKUP(B140,'[3]Sales Force'!$D:$E,2,0)</f>
        <v>L9_Vacant_Gharbia &amp; Minufia</v>
      </c>
      <c r="D140" s="8" t="str">
        <f>VLOOKUP(B140,'[3]Sales Force'!$D:$J,7,0)</f>
        <v>MR</v>
      </c>
      <c r="E140" s="8">
        <f>VLOOKUP(C140,'[3]Sales Force'!$D:$O,12,0)</f>
        <v>0</v>
      </c>
      <c r="F140" s="8" t="str">
        <f>VLOOKUP(B140,'[3]Sales Force'!$D:$L,9,0)</f>
        <v> 01158438120</v>
      </c>
      <c r="G140" s="9">
        <f>VLOOKUP(B140,'[3]Sales Force'!$D:$M,10,0)</f>
        <v>44927</v>
      </c>
      <c r="H140" s="8" t="str">
        <f>VLOOKUP(B140,'[3]Sales Force'!$D:$H,5,0)</f>
        <v>Averocoxib Line</v>
      </c>
      <c r="I140" s="8"/>
      <c r="J140" s="8" t="str">
        <f>VLOOKUP(B140,'[3]Sales Force'!$D:$P,13,0)</f>
        <v>Kafr El zayat</v>
      </c>
    </row>
    <row r="141" spans="1:10">
      <c r="A141" s="5">
        <v>1460</v>
      </c>
      <c r="B141" s="13" t="s">
        <v>153</v>
      </c>
      <c r="C141" s="8" t="str">
        <f>VLOOKUP(B141,'[3]Sales Force'!$D:$E,2,0)</f>
        <v>L9_Vacant_Gharbia &amp; Minufia</v>
      </c>
      <c r="D141" s="8" t="str">
        <f>VLOOKUP(B141,'[3]Sales Force'!$D:$J,7,0)</f>
        <v>MR</v>
      </c>
      <c r="E141" s="8">
        <f>VLOOKUP(C141,'[3]Sales Force'!$D:$O,12,0)</f>
        <v>0</v>
      </c>
      <c r="F141" s="8">
        <f>VLOOKUP(B141,'[3]Sales Force'!$D:$L,9,0)</f>
        <v>1206231103</v>
      </c>
      <c r="G141" s="9">
        <f>VLOOKUP(B141,'[3]Sales Force'!$D:$M,10,0)</f>
        <v>45601</v>
      </c>
      <c r="H141" s="8" t="str">
        <f>VLOOKUP(B141,'[3]Sales Force'!$D:$H,5,0)</f>
        <v>Averocoxib Line</v>
      </c>
      <c r="I141" s="8"/>
      <c r="J141" s="8" t="str">
        <f>VLOOKUP(B141,'[3]Sales Force'!$D:$P,13,0)</f>
        <v>Tanta City</v>
      </c>
    </row>
    <row r="142" spans="1:10">
      <c r="A142" s="5">
        <v>1281</v>
      </c>
      <c r="B142" s="13" t="s">
        <v>154</v>
      </c>
      <c r="C142" s="8" t="str">
        <f>VLOOKUP(B142,'[3]Sales Force'!$D:$E,2,0)</f>
        <v>L9_Vacant_Gharbia &amp; Minufia</v>
      </c>
      <c r="D142" s="8" t="str">
        <f>VLOOKUP(B142,'[3]Sales Force'!$D:$J,7,0)</f>
        <v>MR</v>
      </c>
      <c r="E142" s="8">
        <f>VLOOKUP(C142,'[3]Sales Force'!$D:$O,12,0)</f>
        <v>0</v>
      </c>
      <c r="F142" s="8">
        <f>VLOOKUP(B142,'[3]Sales Force'!$D:$L,9,0)</f>
        <v>1100609661</v>
      </c>
      <c r="G142" s="9">
        <f>VLOOKUP(B142,'[3]Sales Force'!$D:$M,10,0)</f>
        <v>45206</v>
      </c>
      <c r="H142" s="8" t="str">
        <f>VLOOKUP(B142,'[3]Sales Force'!$D:$H,5,0)</f>
        <v>Averocoxib Line</v>
      </c>
      <c r="I142" s="8"/>
      <c r="J142" s="8" t="str">
        <f>VLOOKUP(B142,'[3]Sales Force'!$D:$P,13,0)</f>
        <v>Tanta City</v>
      </c>
    </row>
    <row r="143" spans="1:10">
      <c r="A143" s="5">
        <v>1122</v>
      </c>
      <c r="B143" s="13" t="s">
        <v>155</v>
      </c>
      <c r="C143" s="8" t="str">
        <f>VLOOKUP(B143,'[3]Sales Force'!$D:$E,2,0)</f>
        <v>L9_Vacant_Gharbia &amp; Minufia</v>
      </c>
      <c r="D143" s="8" t="str">
        <f>VLOOKUP(B143,'[3]Sales Force'!$D:$J,7,0)</f>
        <v>MR</v>
      </c>
      <c r="E143" s="8">
        <f>VLOOKUP(C143,'[3]Sales Force'!$D:$O,12,0)</f>
        <v>0</v>
      </c>
      <c r="F143" s="8">
        <f>VLOOKUP(B143,'[3]Sales Force'!$D:$L,9,0)</f>
        <v>1062167578</v>
      </c>
      <c r="G143" s="9">
        <f>VLOOKUP(B143,'[3]Sales Force'!$D:$M,10,0)</f>
        <v>44962</v>
      </c>
      <c r="H143" s="8" t="str">
        <f>VLOOKUP(B143,'[3]Sales Force'!$D:$H,5,0)</f>
        <v>Averocoxib Line</v>
      </c>
      <c r="I143" s="8"/>
      <c r="J143" s="8" t="str">
        <f>VLOOKUP(B143,'[3]Sales Force'!$D:$P,13,0)</f>
        <v>Meleeg</v>
      </c>
    </row>
    <row r="144" spans="1:10">
      <c r="A144" s="5">
        <v>1317</v>
      </c>
      <c r="B144" s="13" t="s">
        <v>156</v>
      </c>
      <c r="C144" s="8" t="str">
        <f>VLOOKUP(B144,'[3]Sales Force'!$D:$E,2,0)</f>
        <v>L9_Vacant_Gharbia &amp; Minufia</v>
      </c>
      <c r="D144" s="8" t="str">
        <f>VLOOKUP(B144,'[3]Sales Force'!$D:$J,7,0)</f>
        <v>MR</v>
      </c>
      <c r="E144" s="8">
        <f>VLOOKUP(C144,'[3]Sales Force'!$D:$O,12,0)</f>
        <v>0</v>
      </c>
      <c r="F144" s="8">
        <f>VLOOKUP(B144,'[3]Sales Force'!$D:$L,9,0)</f>
        <v>1206828331</v>
      </c>
      <c r="G144" s="9">
        <f>VLOOKUP(B144,'[3]Sales Force'!$D:$M,10,0)</f>
        <v>45279</v>
      </c>
      <c r="H144" s="8" t="str">
        <f>VLOOKUP(B144,'[3]Sales Force'!$D:$H,5,0)</f>
        <v>Averocoxib Line</v>
      </c>
      <c r="I144" s="8"/>
      <c r="J144" s="8" t="str">
        <f>VLOOKUP(B144,'[3]Sales Force'!$D:$P,13,0)</f>
        <v>El Bagour</v>
      </c>
    </row>
    <row r="145" spans="1:10">
      <c r="A145" s="5">
        <v>773</v>
      </c>
      <c r="B145" s="12" t="s">
        <v>157</v>
      </c>
      <c r="C145" s="8" t="str">
        <f>VLOOKUP(B145,'[3]Sales Force'!$D:$F,3,0)</f>
        <v>Mohamed Taha Mohamed</v>
      </c>
      <c r="D145" s="8" t="str">
        <f>VLOOKUP(B145,'[3]Sales Force'!$D:$J,7,0)</f>
        <v>DM</v>
      </c>
      <c r="E145" s="8">
        <f>VLOOKUP(C145,'[3]Sales Force'!$D:$O,12,0)</f>
        <v>149</v>
      </c>
      <c r="F145" s="8">
        <f>VLOOKUP(B145,'[3]Sales Force'!$D:$L,9,0)</f>
        <v>1033823538</v>
      </c>
      <c r="G145" s="9">
        <f>VLOOKUP(B145,'[3]Sales Force'!$D:$M,10,0)</f>
        <v>44310</v>
      </c>
      <c r="H145" s="8" t="str">
        <f>VLOOKUP(B145,'[3]Sales Force'!$D:$H,5,0)</f>
        <v>Averocoxib Line</v>
      </c>
      <c r="I145" s="8" t="str">
        <f>VLOOKUP(B145,'[3]Sales Force'!$D:$N,11,0)</f>
        <v>Salma.Magdy.Shaaban@averroes-eg.com</v>
      </c>
      <c r="J145" s="8" t="str">
        <f>VLOOKUP(B145,'[3]Sales Force'!$D:$P,13,0)</f>
        <v>El Zakazik City</v>
      </c>
    </row>
    <row r="146" spans="1:10">
      <c r="A146" s="5">
        <v>1599</v>
      </c>
      <c r="B146" s="13" t="s">
        <v>158</v>
      </c>
      <c r="C146" s="8" t="str">
        <f>VLOOKUP(B146,'[3]Sales Force'!$D:$E,2,0)</f>
        <v>Salma Magdy Shaaban</v>
      </c>
      <c r="D146" s="8" t="str">
        <f>VLOOKUP(B146,'[3]Sales Force'!$D:$J,7,0)</f>
        <v>MR</v>
      </c>
      <c r="E146" s="8">
        <f>VLOOKUP(C146,'[3]Sales Force'!$D:$O,12,0)</f>
        <v>773</v>
      </c>
      <c r="F146" s="8">
        <f>VLOOKUP(B146,'[3]Sales Force'!$D:$L,9,0)</f>
        <v>1068347745</v>
      </c>
      <c r="G146" s="9">
        <f>VLOOKUP(B146,'[3]Sales Force'!$D:$M,10,0)</f>
        <v>45752</v>
      </c>
      <c r="H146" s="8" t="str">
        <f>VLOOKUP(B146,'[3]Sales Force'!$D:$H,5,0)</f>
        <v>Averocoxib Line</v>
      </c>
      <c r="I146" s="8"/>
      <c r="J146" s="8" t="str">
        <f>VLOOKUP(B146,'[3]Sales Force'!$D:$P,13,0)</f>
        <v>Shebin elqanater</v>
      </c>
    </row>
    <row r="147" spans="1:10">
      <c r="A147" s="5">
        <v>1078</v>
      </c>
      <c r="B147" s="13" t="s">
        <v>160</v>
      </c>
      <c r="C147" s="8" t="str">
        <f>VLOOKUP(B147,'[3]Sales Force'!$D:$E,2,0)</f>
        <v>Salma Magdy Shaaban</v>
      </c>
      <c r="D147" s="8" t="str">
        <f>VLOOKUP(B147,'[3]Sales Force'!$D:$J,7,0)</f>
        <v>MR</v>
      </c>
      <c r="E147" s="8">
        <f>VLOOKUP(C147,'[3]Sales Force'!$D:$O,12,0)</f>
        <v>773</v>
      </c>
      <c r="F147" s="8" t="str">
        <f>VLOOKUP(B147,'[3]Sales Force'!$D:$L,9,0)</f>
        <v> 01032498890</v>
      </c>
      <c r="G147" s="9">
        <f>VLOOKUP(B147,'[3]Sales Force'!$D:$M,10,0)</f>
        <v>44927</v>
      </c>
      <c r="H147" s="8" t="str">
        <f>VLOOKUP(B147,'[3]Sales Force'!$D:$H,5,0)</f>
        <v>Averocoxib Line</v>
      </c>
      <c r="I147" s="8"/>
      <c r="J147" s="8" t="str">
        <f>VLOOKUP(B147,'[3]Sales Force'!$D:$P,13,0)</f>
        <v>Belbais</v>
      </c>
    </row>
    <row r="148" spans="1:10">
      <c r="A148" s="5">
        <v>1083</v>
      </c>
      <c r="B148" s="13" t="s">
        <v>161</v>
      </c>
      <c r="C148" s="8" t="str">
        <f>VLOOKUP(B148,'[3]Sales Force'!$D:$E,2,0)</f>
        <v>Salma Magdy Shaaban</v>
      </c>
      <c r="D148" s="8" t="str">
        <f>VLOOKUP(B148,'[3]Sales Force'!$D:$J,7,0)</f>
        <v>MR</v>
      </c>
      <c r="E148" s="8">
        <f>VLOOKUP(C148,'[3]Sales Force'!$D:$O,12,0)</f>
        <v>773</v>
      </c>
      <c r="F148" s="8" t="str">
        <f>VLOOKUP(B148,'[3]Sales Force'!$D:$L,9,0)</f>
        <v> 01019935605</v>
      </c>
      <c r="G148" s="9">
        <f>VLOOKUP(B148,'[3]Sales Force'!$D:$M,10,0)</f>
        <v>44927</v>
      </c>
      <c r="H148" s="8" t="str">
        <f>VLOOKUP(B148,'[3]Sales Force'!$D:$H,5,0)</f>
        <v>Averocoxib Line</v>
      </c>
      <c r="I148" s="8"/>
      <c r="J148" s="8" t="str">
        <f>VLOOKUP(B148,'[3]Sales Force'!$D:$P,13,0)</f>
        <v>El Ebrahemia</v>
      </c>
    </row>
    <row r="149" spans="1:10">
      <c r="A149" s="5">
        <v>1759</v>
      </c>
      <c r="B149" s="13" t="s">
        <v>162</v>
      </c>
      <c r="C149" s="8" t="str">
        <f>VLOOKUP(B149,'[3]Sales Force'!$D:$E,2,0)</f>
        <v>Salma Magdy Shaaban</v>
      </c>
      <c r="D149" s="8" t="str">
        <f>VLOOKUP(B149,'[3]Sales Force'!$D:$J,7,0)</f>
        <v>MR</v>
      </c>
      <c r="E149" s="8">
        <f>VLOOKUP(C149,'[3]Sales Force'!$D:$O,12,0)</f>
        <v>773</v>
      </c>
      <c r="F149" s="8">
        <f>VLOOKUP(B149,'[3]Sales Force'!$D:$L,9,0)</f>
        <v>1559985777</v>
      </c>
      <c r="G149" s="9">
        <f>VLOOKUP(B149,'[3]Sales Force'!$D:$M,10,0)</f>
        <v>45931</v>
      </c>
      <c r="H149" s="8" t="str">
        <f>VLOOKUP(B149,'[3]Sales Force'!$D:$H,5,0)</f>
        <v>Averocoxib Line</v>
      </c>
      <c r="I149" s="8"/>
      <c r="J149" s="8" t="str">
        <f>VLOOKUP(B149,'[3]Sales Force'!$D:$P,13,0)</f>
        <v>Dyarb Negm</v>
      </c>
    </row>
    <row r="150" spans="1:10">
      <c r="A150" s="5">
        <v>229</v>
      </c>
      <c r="B150" s="13" t="s">
        <v>163</v>
      </c>
      <c r="C150" s="8" t="str">
        <f>VLOOKUP(B150,'[3]Sales Force'!$D:$E,2,0)</f>
        <v>Salma Magdy Shaaban</v>
      </c>
      <c r="D150" s="8" t="str">
        <f>VLOOKUP(B150,'[3]Sales Force'!$D:$J,7,0)</f>
        <v>MR</v>
      </c>
      <c r="E150" s="8">
        <f>VLOOKUP(C150,'[3]Sales Force'!$D:$O,12,0)</f>
        <v>773</v>
      </c>
      <c r="F150" s="8" t="str">
        <f>VLOOKUP(B150,'[3]Sales Force'!$D:$L,9,0)</f>
        <v> 1014444130</v>
      </c>
      <c r="G150" s="9">
        <f>VLOOKUP(B150,'[3]Sales Force'!$D:$M,10,0)</f>
        <v>43171</v>
      </c>
      <c r="H150" s="8" t="str">
        <f>VLOOKUP(B150,'[3]Sales Force'!$D:$H,5,0)</f>
        <v>Averocoxib Line</v>
      </c>
      <c r="I150" s="8"/>
      <c r="J150" s="8" t="str">
        <f>VLOOKUP(B150,'[3]Sales Force'!$D:$P,13,0)</f>
        <v>Banha - Atreeb</v>
      </c>
    </row>
    <row r="151" spans="1:10">
      <c r="A151" s="5">
        <v>223</v>
      </c>
      <c r="B151" s="11" t="s">
        <v>164</v>
      </c>
      <c r="C151" s="8" t="str">
        <f>VLOOKUP(B151,'[3]Sales Force'!$D:$G,4,0)</f>
        <v>Abd Elhameed Elshiekh</v>
      </c>
      <c r="D151" s="8" t="str">
        <f>VLOOKUP(B151,'[3]Sales Force'!$D:$J,7,0)</f>
        <v>AM</v>
      </c>
      <c r="E151" s="8">
        <f>VLOOKUP(C151,'[3]Sales Force'!$D:$O,12,0)</f>
        <v>59</v>
      </c>
      <c r="F151" s="8" t="str">
        <f>VLOOKUP(B151,'[3]Sales Force'!$D:$L,9,0)</f>
        <v> 01092376231</v>
      </c>
      <c r="G151" s="9">
        <f>VLOOKUP(B151,'[3]Sales Force'!$D:$M,10,0)</f>
        <v>43170</v>
      </c>
      <c r="H151" s="8" t="str">
        <f>VLOOKUP(B151,'[3]Sales Force'!$D:$H,5,0)</f>
        <v>Averocoxib Line</v>
      </c>
      <c r="I151" s="8" t="str">
        <f>VLOOKUP(B151,'[3]Sales Force'!$D:$N,11,0)</f>
        <v>osama.abdelhamed@averroes-eg.com</v>
      </c>
      <c r="J151" s="8" t="str">
        <f>VLOOKUP(B151,'[3]Sales Force'!$D:$P,13,0)</f>
        <v>Sohag city</v>
      </c>
    </row>
    <row r="152" spans="1:10">
      <c r="A152" s="5">
        <v>1690</v>
      </c>
      <c r="B152" s="12" t="s">
        <v>165</v>
      </c>
      <c r="C152" s="8" t="str">
        <f>VLOOKUP(B152,'[3]Sales Force'!$D:$F,3,0)</f>
        <v>Osama AbdelHamid Hassan</v>
      </c>
      <c r="D152" s="8" t="str">
        <f>VLOOKUP(B152,'[3]Sales Force'!$D:$J,7,0)</f>
        <v>DM</v>
      </c>
      <c r="E152" s="8">
        <f>VLOOKUP(C152,'[3]Sales Force'!$D:$O,12,0)</f>
        <v>223</v>
      </c>
      <c r="F152" s="8">
        <f>VLOOKUP(B152,'[3]Sales Force'!$D:$L,9,0)</f>
        <v>1067675293</v>
      </c>
      <c r="G152" s="9">
        <f>VLOOKUP(B152,'[3]Sales Force'!$D:$M,10,0)</f>
        <v>45820</v>
      </c>
      <c r="H152" s="8" t="str">
        <f>VLOOKUP(B152,'[3]Sales Force'!$D:$H,5,0)</f>
        <v>Averocoxib Line</v>
      </c>
      <c r="I152" s="8" t="str">
        <f>VLOOKUP(B152,'[3]Sales Force'!$D:$N,11,0)</f>
        <v>Amr.Hafez@averroes-eg.com</v>
      </c>
      <c r="J152" s="8" t="str">
        <f>VLOOKUP(B152,'[3]Sales Force'!$D:$P,13,0)</f>
        <v>Malawy</v>
      </c>
    </row>
    <row r="153" spans="1:10">
      <c r="A153" s="5">
        <v>1945</v>
      </c>
      <c r="B153" s="14" t="s">
        <v>613</v>
      </c>
      <c r="C153" s="8" t="str">
        <f>VLOOKUP(B153,'[3]Sales Force'!$D:$E,2,0)</f>
        <v>Amr Ahmed Hafez Ahmed</v>
      </c>
      <c r="D153" s="8" t="str">
        <f>VLOOKUP(B153,'[3]Sales Force'!$D:$J,7,0)</f>
        <v>MR</v>
      </c>
      <c r="E153" s="8">
        <f>VLOOKUP(C153,'[3]Sales Force'!$D:$O,12,0)</f>
        <v>1690</v>
      </c>
      <c r="F153" s="8">
        <f>VLOOKUP(B153,'[3]Sales Force'!$D:$L,9,0)</f>
        <v>1287288606</v>
      </c>
      <c r="G153" s="9">
        <f>VLOOKUP(B153,'[3]Sales Force'!$D:$M,10,0)</f>
        <v>46137</v>
      </c>
      <c r="H153" s="8" t="str">
        <f>VLOOKUP(B153,'[3]Sales Force'!$D:$H,5,0)</f>
        <v>Averocoxib Line</v>
      </c>
      <c r="I153" s="8"/>
      <c r="J153" s="8" t="str">
        <f>VLOOKUP(B153,'[3]Sales Force'!$D:$P,13,0)</f>
        <v>Samalout</v>
      </c>
    </row>
    <row r="154" spans="1:10">
      <c r="A154" s="5">
        <v>1936</v>
      </c>
      <c r="B154" s="14" t="s">
        <v>614</v>
      </c>
      <c r="C154" s="8" t="str">
        <f>VLOOKUP(B154,'[3]Sales Force'!$D:$E,2,0)</f>
        <v>Amr Ahmed Hafez Ahmed</v>
      </c>
      <c r="D154" s="8" t="str">
        <f>VLOOKUP(B154,'[3]Sales Force'!$D:$J,7,0)</f>
        <v>MR</v>
      </c>
      <c r="E154" s="8">
        <f>VLOOKUP(C154,'[3]Sales Force'!$D:$O,12,0)</f>
        <v>1690</v>
      </c>
      <c r="F154" s="8">
        <f>VLOOKUP(B154,'[3]Sales Force'!$D:$L,9,0)</f>
        <v>1095581583</v>
      </c>
      <c r="G154" s="9">
        <f>VLOOKUP(B154,'[3]Sales Force'!$D:$M,10,0)</f>
        <v>46123</v>
      </c>
      <c r="H154" s="8" t="str">
        <f>VLOOKUP(B154,'[3]Sales Force'!$D:$H,5,0)</f>
        <v>Averocoxib Line</v>
      </c>
      <c r="I154" s="8"/>
      <c r="J154" s="8" t="str">
        <f>VLOOKUP(B154,'[3]Sales Force'!$D:$P,13,0)</f>
        <v>El Menia City</v>
      </c>
    </row>
    <row r="155" spans="1:10">
      <c r="A155" s="5">
        <v>1837</v>
      </c>
      <c r="B155" s="13" t="s">
        <v>166</v>
      </c>
      <c r="C155" s="8" t="str">
        <f>VLOOKUP(B155,'[3]Sales Force'!$D:$E,2,0)</f>
        <v>Amr Ahmed Hafez Ahmed</v>
      </c>
      <c r="D155" s="8" t="str">
        <f>VLOOKUP(B155,'[3]Sales Force'!$D:$J,7,0)</f>
        <v>MR</v>
      </c>
      <c r="E155" s="8">
        <f>VLOOKUP(C155,'[3]Sales Force'!$D:$O,12,0)</f>
        <v>1690</v>
      </c>
      <c r="F155" s="8">
        <f>VLOOKUP(B155,'[3]Sales Force'!$D:$L,9,0)</f>
        <v>1221680259</v>
      </c>
      <c r="G155" s="9">
        <f>VLOOKUP(B155,'[3]Sales Force'!$D:$M,10,0)</f>
        <v>46021</v>
      </c>
      <c r="H155" s="8" t="str">
        <f>VLOOKUP(B155,'[3]Sales Force'!$D:$H,5,0)</f>
        <v>Averocoxib Line</v>
      </c>
      <c r="I155" s="8"/>
      <c r="J155" s="8" t="str">
        <f>VLOOKUP(B155,'[3]Sales Force'!$D:$P,13,0)</f>
        <v>Assuit City</v>
      </c>
    </row>
    <row r="156" spans="1:10">
      <c r="A156" s="5">
        <v>1587</v>
      </c>
      <c r="B156" s="13" t="s">
        <v>167</v>
      </c>
      <c r="C156" s="8" t="str">
        <f>VLOOKUP(B156,'[3]Sales Force'!$D:$E,2,0)</f>
        <v>Amr Ahmed Hafez Ahmed</v>
      </c>
      <c r="D156" s="8" t="str">
        <f>VLOOKUP(B156,'[3]Sales Force'!$D:$J,7,0)</f>
        <v>MR</v>
      </c>
      <c r="E156" s="8">
        <f>VLOOKUP(C156,'[3]Sales Force'!$D:$O,12,0)</f>
        <v>1690</v>
      </c>
      <c r="F156" s="8">
        <f>VLOOKUP(B156,'[3]Sales Force'!$D:$L,9,0)</f>
        <v>1204846722</v>
      </c>
      <c r="G156" s="9">
        <f>VLOOKUP(B156,'[3]Sales Force'!$D:$M,10,0)</f>
        <v>45717</v>
      </c>
      <c r="H156" s="8" t="str">
        <f>VLOOKUP(B156,'[3]Sales Force'!$D:$H,5,0)</f>
        <v>Averocoxib Line</v>
      </c>
      <c r="I156" s="8"/>
      <c r="J156" s="8" t="str">
        <f>VLOOKUP(B156,'[3]Sales Force'!$D:$P,13,0)</f>
        <v>Abou Korkas</v>
      </c>
    </row>
    <row r="157" spans="1:10">
      <c r="A157" s="5">
        <v>1366</v>
      </c>
      <c r="B157" s="13" t="s">
        <v>168</v>
      </c>
      <c r="C157" s="8" t="str">
        <f>VLOOKUP(B157,'[3]Sales Force'!$D:$E,2,0)</f>
        <v>Amr Ahmed Hafez Ahmed</v>
      </c>
      <c r="D157" s="8" t="str">
        <f>VLOOKUP(B157,'[3]Sales Force'!$D:$J,7,0)</f>
        <v>MR</v>
      </c>
      <c r="E157" s="8">
        <f>VLOOKUP(C157,'[3]Sales Force'!$D:$O,12,0)</f>
        <v>1690</v>
      </c>
      <c r="F157" s="8">
        <f>VLOOKUP(B157,'[3]Sales Force'!$D:$L,9,0)</f>
        <v>1280552892</v>
      </c>
      <c r="G157" s="9">
        <f>VLOOKUP(B157,'[3]Sales Force'!$D:$M,10,0)</f>
        <v>45431</v>
      </c>
      <c r="H157" s="8" t="str">
        <f>VLOOKUP(B157,'[3]Sales Force'!$D:$H,5,0)</f>
        <v>Averocoxib Line</v>
      </c>
      <c r="I157" s="8"/>
      <c r="J157" s="8" t="str">
        <f>VLOOKUP(B157,'[3]Sales Force'!$D:$P,13,0)</f>
        <v>Manfalout</v>
      </c>
    </row>
    <row r="158" spans="1:10">
      <c r="A158" s="5">
        <v>1691</v>
      </c>
      <c r="B158" s="13" t="s">
        <v>169</v>
      </c>
      <c r="C158" s="8" t="str">
        <f>VLOOKUP(B158,'[3]Sales Force'!$D:$E,2,0)</f>
        <v>Amr Ahmed Hafez Ahmed</v>
      </c>
      <c r="D158" s="8" t="str">
        <f>VLOOKUP(B158,'[3]Sales Force'!$D:$J,7,0)</f>
        <v>MR</v>
      </c>
      <c r="E158" s="8">
        <f>VLOOKUP(C158,'[3]Sales Force'!$D:$O,12,0)</f>
        <v>1690</v>
      </c>
      <c r="F158" s="8">
        <f>VLOOKUP(B158,'[3]Sales Force'!$D:$L,9,0)</f>
        <v>1203043035</v>
      </c>
      <c r="G158" s="9">
        <f>VLOOKUP(B158,'[3]Sales Force'!$D:$M,10,0)</f>
        <v>45820</v>
      </c>
      <c r="H158" s="8" t="str">
        <f>VLOOKUP(B158,'[3]Sales Force'!$D:$H,5,0)</f>
        <v>Averocoxib Line</v>
      </c>
      <c r="I158" s="8"/>
      <c r="J158" s="8" t="str">
        <f>VLOOKUP(B158,'[3]Sales Force'!$D:$P,13,0)</f>
        <v>Sedfa</v>
      </c>
    </row>
    <row r="159" spans="1:10">
      <c r="A159" s="5">
        <v>1098</v>
      </c>
      <c r="B159" s="13" t="s">
        <v>170</v>
      </c>
      <c r="C159" s="8" t="str">
        <f>VLOOKUP(B159,'[3]Sales Force'!$D:$E,2,0)</f>
        <v>L9_Vacant DM Upper 2</v>
      </c>
      <c r="D159" s="8" t="str">
        <f>VLOOKUP(B159,'[3]Sales Force'!$D:$J,7,0)</f>
        <v>MR</v>
      </c>
      <c r="E159" s="8">
        <f>VLOOKUP(C159,'[3]Sales Force'!$D:$O,12,0)</f>
        <v>0</v>
      </c>
      <c r="F159" s="8" t="str">
        <f>VLOOKUP(B159,'[3]Sales Force'!$D:$L,9,0)</f>
        <v> 01015052727</v>
      </c>
      <c r="G159" s="9">
        <f>VLOOKUP(B159,'[3]Sales Force'!$D:$M,10,0)</f>
        <v>44927</v>
      </c>
      <c r="H159" s="8" t="str">
        <f>VLOOKUP(B159,'[3]Sales Force'!$D:$H,5,0)</f>
        <v>Averocoxib Line</v>
      </c>
      <c r="I159" s="8"/>
      <c r="J159" s="8" t="str">
        <f>VLOOKUP(B159,'[3]Sales Force'!$D:$P,13,0)</f>
        <v>Gerga</v>
      </c>
    </row>
    <row r="160" spans="1:10">
      <c r="A160" s="5">
        <v>1340</v>
      </c>
      <c r="B160" s="13" t="s">
        <v>171</v>
      </c>
      <c r="C160" s="8" t="str">
        <f>VLOOKUP(B160,'[3]Sales Force'!$D:$E,2,0)</f>
        <v>L9_Vacant DM Upper 2</v>
      </c>
      <c r="D160" s="8" t="str">
        <f>VLOOKUP(B160,'[3]Sales Force'!$D:$J,7,0)</f>
        <v>MR</v>
      </c>
      <c r="E160" s="8">
        <f>VLOOKUP(C160,'[3]Sales Force'!$D:$O,12,0)</f>
        <v>0</v>
      </c>
      <c r="F160" s="8">
        <f>VLOOKUP(B160,'[3]Sales Force'!$D:$L,9,0)</f>
        <v>1229718344</v>
      </c>
      <c r="G160" s="9">
        <f>VLOOKUP(B160,'[3]Sales Force'!$D:$M,10,0)</f>
        <v>45403</v>
      </c>
      <c r="H160" s="8" t="str">
        <f>VLOOKUP(B160,'[3]Sales Force'!$D:$H,5,0)</f>
        <v>Averocoxib Line</v>
      </c>
      <c r="I160" s="8"/>
      <c r="J160" s="8" t="str">
        <f>VLOOKUP(B160,'[3]Sales Force'!$D:$P,13,0)</f>
        <v>Sohag City</v>
      </c>
    </row>
    <row r="161" spans="1:10">
      <c r="A161" s="5">
        <v>1930</v>
      </c>
      <c r="B161" s="14" t="s">
        <v>615</v>
      </c>
      <c r="C161" s="8" t="str">
        <f>VLOOKUP(B161,'[3]Sales Force'!$D:$E,2,0)</f>
        <v>L9_Vacant DM Upper 2</v>
      </c>
      <c r="D161" s="8" t="str">
        <f>VLOOKUP(B161,'[3]Sales Force'!$D:$J,7,0)</f>
        <v>MR</v>
      </c>
      <c r="E161" s="8">
        <f>VLOOKUP(C161,'[3]Sales Force'!$D:$O,12,0)</f>
        <v>0</v>
      </c>
      <c r="F161" s="8">
        <f>VLOOKUP(B161,'[3]Sales Force'!$D:$L,9,0)</f>
        <v>1283028678</v>
      </c>
      <c r="G161" s="9">
        <f>VLOOKUP(B161,'[3]Sales Force'!$D:$M,10,0)</f>
        <v>46116</v>
      </c>
      <c r="H161" s="8" t="str">
        <f>VLOOKUP(B161,'[3]Sales Force'!$D:$H,5,0)</f>
        <v>Averocoxib Line</v>
      </c>
      <c r="I161" s="8"/>
      <c r="J161" s="8" t="str">
        <f>VLOOKUP(B161,'[3]Sales Force'!$D:$P,13,0)</f>
        <v>Tahta</v>
      </c>
    </row>
    <row r="162" spans="1:10">
      <c r="A162" s="5">
        <v>1325</v>
      </c>
      <c r="B162" s="13" t="s">
        <v>172</v>
      </c>
      <c r="C162" s="8" t="str">
        <f>VLOOKUP(B162,'[3]Sales Force'!$D:$E,2,0)</f>
        <v>L9_Vacant DM Upper 2</v>
      </c>
      <c r="D162" s="8" t="str">
        <f>VLOOKUP(B162,'[3]Sales Force'!$D:$J,7,0)</f>
        <v>MR</v>
      </c>
      <c r="E162" s="8">
        <f>VLOOKUP(C162,'[3]Sales Force'!$D:$O,12,0)</f>
        <v>0</v>
      </c>
      <c r="F162" s="8">
        <f>VLOOKUP(B162,'[3]Sales Force'!$D:$L,9,0)</f>
        <v>1000583597</v>
      </c>
      <c r="G162" s="9">
        <f>VLOOKUP(B162,'[3]Sales Force'!$D:$M,10,0)</f>
        <v>45304</v>
      </c>
      <c r="H162" s="8" t="str">
        <f>VLOOKUP(B162,'[3]Sales Force'!$D:$H,5,0)</f>
        <v>Averocoxib Line</v>
      </c>
      <c r="I162" s="8"/>
      <c r="J162" s="8" t="str">
        <f>VLOOKUP(B162,'[3]Sales Force'!$D:$P,13,0)</f>
        <v>Nagaa Hamady</v>
      </c>
    </row>
    <row r="163" spans="1:10">
      <c r="A163" s="5">
        <v>1548</v>
      </c>
      <c r="B163" s="13" t="s">
        <v>173</v>
      </c>
      <c r="C163" s="8" t="str">
        <f>VLOOKUP(B163,'[3]Sales Force'!$D:$E,2,0)</f>
        <v>L9_Vacant DM Upper 2</v>
      </c>
      <c r="D163" s="8" t="str">
        <f>VLOOKUP(B163,'[3]Sales Force'!$D:$J,7,0)</f>
        <v>MR</v>
      </c>
      <c r="E163" s="8">
        <f>VLOOKUP(C163,'[3]Sales Force'!$D:$O,12,0)</f>
        <v>0</v>
      </c>
      <c r="F163" s="8">
        <f>VLOOKUP(B163,'[3]Sales Force'!$D:$L,9,0)</f>
        <v>1096655515</v>
      </c>
      <c r="G163" s="9">
        <f>VLOOKUP(B163,'[3]Sales Force'!$D:$M,10,0)</f>
        <v>45703</v>
      </c>
      <c r="H163" s="8" t="str">
        <f>VLOOKUP(B163,'[3]Sales Force'!$D:$H,5,0)</f>
        <v>Averocoxib Line</v>
      </c>
      <c r="I163" s="8"/>
      <c r="J163" s="8" t="str">
        <f>VLOOKUP(B163,'[3]Sales Force'!$D:$P,13,0)</f>
        <v>Hurgada</v>
      </c>
    </row>
    <row r="164" spans="1:10">
      <c r="A164" s="5">
        <v>1100</v>
      </c>
      <c r="B164" s="13" t="s">
        <v>174</v>
      </c>
      <c r="C164" s="8" t="str">
        <f>VLOOKUP(B164,'[3]Sales Force'!$D:$E,2,0)</f>
        <v>L9_Vacant DM Upper 2</v>
      </c>
      <c r="D164" s="8" t="str">
        <f>VLOOKUP(B164,'[3]Sales Force'!$D:$J,7,0)</f>
        <v>MR</v>
      </c>
      <c r="E164" s="8">
        <f>VLOOKUP(C164,'[3]Sales Force'!$D:$O,12,0)</f>
        <v>0</v>
      </c>
      <c r="F164" s="8" t="str">
        <f>VLOOKUP(B164,'[3]Sales Force'!$D:$L,9,0)</f>
        <v> 01288819031</v>
      </c>
      <c r="G164" s="9">
        <f>VLOOKUP(B164,'[3]Sales Force'!$D:$M,10,0)</f>
        <v>44927</v>
      </c>
      <c r="H164" s="8" t="str">
        <f>VLOOKUP(B164,'[3]Sales Force'!$D:$H,5,0)</f>
        <v>Averocoxib Line</v>
      </c>
      <c r="I164" s="8"/>
      <c r="J164" s="8" t="str">
        <f>VLOOKUP(B164,'[3]Sales Force'!$D:$P,13,0)</f>
        <v>Aswan City</v>
      </c>
    </row>
    <row r="165" spans="1:10">
      <c r="A165" s="5">
        <v>1106</v>
      </c>
      <c r="B165" s="13" t="s">
        <v>175</v>
      </c>
      <c r="C165" s="8" t="str">
        <f>VLOOKUP(B165,'[3]Sales Force'!$D:$E,2,0)</f>
        <v>L9_Vacant DM Upper 2</v>
      </c>
      <c r="D165" s="8" t="str">
        <f>VLOOKUP(B165,'[3]Sales Force'!$D:$J,7,0)</f>
        <v>MR</v>
      </c>
      <c r="E165" s="8">
        <f>VLOOKUP(C165,'[3]Sales Force'!$D:$O,12,0)</f>
        <v>0</v>
      </c>
      <c r="F165" s="8" t="str">
        <f>VLOOKUP(B165,'[3]Sales Force'!$D:$L,9,0)</f>
        <v> 01287794953</v>
      </c>
      <c r="G165" s="9">
        <f>VLOOKUP(B165,'[3]Sales Force'!$D:$M,10,0)</f>
        <v>44935</v>
      </c>
      <c r="H165" s="8" t="str">
        <f>VLOOKUP(B165,'[3]Sales Force'!$D:$H,5,0)</f>
        <v>Averocoxib Line</v>
      </c>
      <c r="I165" s="8"/>
      <c r="J165" s="8" t="str">
        <f>VLOOKUP(B165,'[3]Sales Force'!$D:$P,13,0)</f>
        <v>Armant</v>
      </c>
    </row>
    <row r="166" spans="1:10">
      <c r="A166" s="5">
        <v>598</v>
      </c>
      <c r="B166" s="11" t="s">
        <v>176</v>
      </c>
      <c r="C166" s="8" t="str">
        <f>VLOOKUP(B166,'[3]Sales Force'!$D:$G,4,0)</f>
        <v>Ibrahim Ammar</v>
      </c>
      <c r="D166" s="8" t="str">
        <f>VLOOKUP(B166,'[3]Sales Force'!$D:$J,7,0)</f>
        <v>AM</v>
      </c>
      <c r="E166" s="8">
        <f>VLOOKUP(C166,'[3]Sales Force'!$D:$O,12,0)</f>
        <v>60</v>
      </c>
      <c r="F166" s="8">
        <f>VLOOKUP(B166,'[3]Sales Force'!$D:$L,9,0)</f>
        <v>1064782445</v>
      </c>
      <c r="G166" s="9">
        <f>VLOOKUP(B166,'[3]Sales Force'!$D:$M,10,0)</f>
        <v>43864</v>
      </c>
      <c r="H166" s="8" t="str">
        <f>VLOOKUP(B166,'[3]Sales Force'!$D:$H,5,0)</f>
        <v>Fulprazal Line</v>
      </c>
      <c r="I166" s="8" t="str">
        <f>VLOOKUP(B166,'[3]Sales Force'!$D:$N,11,0)</f>
        <v>saleh.ahmed@averroes-eg.com</v>
      </c>
      <c r="J166" s="8" t="str">
        <f>VLOOKUP(B166,'[3]Sales Force'!$D:$P,13,0)</f>
        <v>EL KHANKA</v>
      </c>
    </row>
    <row r="167" spans="1:10">
      <c r="A167" s="5">
        <v>1870</v>
      </c>
      <c r="B167" s="15" t="s">
        <v>616</v>
      </c>
      <c r="C167" s="8" t="str">
        <f>VLOOKUP(B167,'[3]Sales Force'!$D:$F,3,0)</f>
        <v>Saleh Ahmed Saleh</v>
      </c>
      <c r="D167" s="8" t="str">
        <f>VLOOKUP(B167,'[3]Sales Force'!$D:$J,7,0)</f>
        <v>DM</v>
      </c>
      <c r="E167" s="8">
        <f>VLOOKUP(C167,'[3]Sales Force'!$D:$O,12,0)</f>
        <v>598</v>
      </c>
      <c r="F167" s="8">
        <f>VLOOKUP(B167,'[3]Sales Force'!$D:$L,9,0)</f>
        <v>1020993066</v>
      </c>
      <c r="G167" s="9">
        <f>VLOOKUP(B167,'[3]Sales Force'!$D:$M,10,0)</f>
        <v>46065</v>
      </c>
      <c r="H167" s="8" t="str">
        <f>VLOOKUP(B167,'[3]Sales Force'!$D:$H,5,0)</f>
        <v>Fulprazal Line</v>
      </c>
      <c r="I167" s="8" t="str">
        <f>VLOOKUP(B167,'[3]Sales Force'!$D:$N,11,0)</f>
        <v>Ali.Kamal.Mohamed@averroes-eg.com</v>
      </c>
      <c r="J167" s="8" t="str">
        <f>VLOOKUP(B167,'[3]Sales Force'!$D:$P,13,0)</f>
        <v>El Mokattam</v>
      </c>
    </row>
    <row r="168" spans="1:10">
      <c r="A168" s="5">
        <v>1727</v>
      </c>
      <c r="B168" s="13" t="s">
        <v>177</v>
      </c>
      <c r="C168" s="8" t="str">
        <f>VLOOKUP(B168,'[3]Sales Force'!$D:$E,2,0)</f>
        <v>Ali Kamal Mohamed</v>
      </c>
      <c r="D168" s="8" t="str">
        <f>VLOOKUP(B168,'[3]Sales Force'!$D:$J,7,0)</f>
        <v>MR</v>
      </c>
      <c r="E168" s="8">
        <f>VLOOKUP(C168,'[3]Sales Force'!$D:$O,12,0)</f>
        <v>1870</v>
      </c>
      <c r="F168" s="8">
        <f>VLOOKUP(B168,'[3]Sales Force'!$D:$L,9,0)</f>
        <v>1146343694</v>
      </c>
      <c r="G168" s="9">
        <f>VLOOKUP(B168,'[3]Sales Force'!$D:$M,10,0)</f>
        <v>45866</v>
      </c>
      <c r="H168" s="8" t="str">
        <f>VLOOKUP(B168,'[3]Sales Force'!$D:$H,5,0)</f>
        <v>Fulprazal Line</v>
      </c>
      <c r="I168" s="8"/>
      <c r="J168" s="8" t="str">
        <f>VLOOKUP(B168,'[3]Sales Force'!$D:$P,13,0)</f>
        <v>Helwan</v>
      </c>
    </row>
    <row r="169" spans="1:10">
      <c r="A169" s="5">
        <v>1357</v>
      </c>
      <c r="B169" s="13" t="s">
        <v>178</v>
      </c>
      <c r="C169" s="8" t="str">
        <f>VLOOKUP(B169,'[3]Sales Force'!$D:$E,2,0)</f>
        <v>Ali Kamal Mohamed</v>
      </c>
      <c r="D169" s="8" t="str">
        <f>VLOOKUP(B169,'[3]Sales Force'!$D:$J,7,0)</f>
        <v>MR</v>
      </c>
      <c r="E169" s="8">
        <f>VLOOKUP(C169,'[3]Sales Force'!$D:$O,12,0)</f>
        <v>1870</v>
      </c>
      <c r="F169" s="8">
        <f>VLOOKUP(B169,'[3]Sales Force'!$D:$L,9,0)</f>
        <v>1156326788</v>
      </c>
      <c r="G169" s="9">
        <f>VLOOKUP(B169,'[3]Sales Force'!$D:$M,10,0)</f>
        <v>45423</v>
      </c>
      <c r="H169" s="8" t="str">
        <f>VLOOKUP(B169,'[3]Sales Force'!$D:$H,5,0)</f>
        <v>Fulprazal Line</v>
      </c>
      <c r="I169" s="8"/>
      <c r="J169" s="8" t="str">
        <f>VLOOKUP(B169,'[3]Sales Force'!$D:$P,13,0)</f>
        <v>Shobra El Khiema</v>
      </c>
    </row>
    <row r="170" spans="1:10">
      <c r="A170" s="5">
        <v>1516</v>
      </c>
      <c r="B170" s="13" t="s">
        <v>179</v>
      </c>
      <c r="C170" s="8" t="str">
        <f>VLOOKUP(B170,'[3]Sales Force'!$D:$E,2,0)</f>
        <v>Ali Kamal Mohamed</v>
      </c>
      <c r="D170" s="8" t="str">
        <f>VLOOKUP(B170,'[3]Sales Force'!$D:$J,7,0)</f>
        <v>MR</v>
      </c>
      <c r="E170" s="8">
        <f>VLOOKUP(C170,'[3]Sales Force'!$D:$O,12,0)</f>
        <v>1870</v>
      </c>
      <c r="F170" s="8">
        <f>VLOOKUP(B170,'[3]Sales Force'!$D:$L,9,0)</f>
        <v>1278728885</v>
      </c>
      <c r="G170" s="9">
        <f>VLOOKUP(B170,'[3]Sales Force'!$D:$M,10,0)</f>
        <v>45689</v>
      </c>
      <c r="H170" s="8" t="str">
        <f>VLOOKUP(B170,'[3]Sales Force'!$D:$H,5,0)</f>
        <v>Fulprazal Line</v>
      </c>
      <c r="I170" s="8"/>
      <c r="J170" s="8" t="str">
        <f>VLOOKUP(B170,'[3]Sales Force'!$D:$P,13,0)</f>
        <v>Suez</v>
      </c>
    </row>
    <row r="171" spans="1:10">
      <c r="A171" s="5">
        <v>1752</v>
      </c>
      <c r="B171" s="13" t="s">
        <v>180</v>
      </c>
      <c r="C171" s="8" t="str">
        <f>VLOOKUP(B171,'[3]Sales Force'!$D:$E,2,0)</f>
        <v>Ali Kamal Mohamed</v>
      </c>
      <c r="D171" s="8" t="str">
        <f>VLOOKUP(B171,'[3]Sales Force'!$D:$J,7,0)</f>
        <v>MR</v>
      </c>
      <c r="E171" s="8">
        <f>VLOOKUP(C171,'[3]Sales Force'!$D:$O,12,0)</f>
        <v>1870</v>
      </c>
      <c r="F171" s="8">
        <f>VLOOKUP(B171,'[3]Sales Force'!$D:$L,9,0)</f>
        <v>1140083383</v>
      </c>
      <c r="G171" s="9">
        <f>VLOOKUP(B171,'[3]Sales Force'!$D:$M,10,0)</f>
        <v>45920</v>
      </c>
      <c r="H171" s="8" t="str">
        <f>VLOOKUP(B171,'[3]Sales Force'!$D:$H,5,0)</f>
        <v>Fulprazal Line</v>
      </c>
      <c r="I171" s="8"/>
      <c r="J171" s="8" t="str">
        <f>VLOOKUP(B171,'[3]Sales Force'!$D:$P,13,0)</f>
        <v>Rod Elfarag</v>
      </c>
    </row>
    <row r="172" spans="1:10">
      <c r="A172" s="5">
        <v>1843</v>
      </c>
      <c r="B172" s="14" t="s">
        <v>181</v>
      </c>
      <c r="C172" s="8" t="str">
        <f>VLOOKUP(B172,'[3]Sales Force'!$D:$E,2,0)</f>
        <v>Ali Kamal Mohamed</v>
      </c>
      <c r="D172" s="8" t="str">
        <f>VLOOKUP(B172,'[3]Sales Force'!$D:$J,7,0)</f>
        <v>MR</v>
      </c>
      <c r="E172" s="8">
        <f>VLOOKUP(C172,'[3]Sales Force'!$D:$O,12,0)</f>
        <v>1870</v>
      </c>
      <c r="F172" s="8">
        <f>VLOOKUP(B172,'[3]Sales Force'!$D:$L,9,0)</f>
        <v>1222642062</v>
      </c>
      <c r="G172" s="9">
        <f>VLOOKUP(B172,'[3]Sales Force'!$D:$M,10,0)</f>
        <v>46046</v>
      </c>
      <c r="H172" s="8" t="str">
        <f>VLOOKUP(B172,'[3]Sales Force'!$D:$H,5,0)</f>
        <v>Fulprazal Line</v>
      </c>
      <c r="I172" s="8"/>
      <c r="J172" s="8" t="str">
        <f>VLOOKUP(B172,'[3]Sales Force'!$D:$P,13,0)</f>
        <v>Masr ElQadiama</v>
      </c>
    </row>
    <row r="173" spans="1:10">
      <c r="A173" s="5">
        <v>1616</v>
      </c>
      <c r="B173" s="13" t="s">
        <v>182</v>
      </c>
      <c r="C173" s="8" t="str">
        <f>VLOOKUP(B173,'[3]Sales Force'!$D:$E,2,0)</f>
        <v>Ali Kamal Mohamed</v>
      </c>
      <c r="D173" s="8" t="str">
        <f>VLOOKUP(B173,'[3]Sales Force'!$D:$J,7,0)</f>
        <v>MR</v>
      </c>
      <c r="E173" s="8">
        <f>VLOOKUP(C173,'[3]Sales Force'!$D:$O,12,0)</f>
        <v>1870</v>
      </c>
      <c r="F173" s="8">
        <f>VLOOKUP(B173,'[3]Sales Force'!$D:$L,9,0)</f>
        <v>1204293521</v>
      </c>
      <c r="G173" s="9">
        <f>VLOOKUP(B173,'[3]Sales Force'!$D:$M,10,0)</f>
        <v>45769</v>
      </c>
      <c r="H173" s="8" t="str">
        <f>VLOOKUP(B173,'[3]Sales Force'!$D:$H,5,0)</f>
        <v>Fulprazal Line</v>
      </c>
      <c r="I173" s="8"/>
      <c r="J173" s="8" t="str">
        <f>VLOOKUP(B173,'[3]Sales Force'!$D:$P,13,0)</f>
        <v>El Maadi El Gedeeda</v>
      </c>
    </row>
    <row r="174" spans="1:10">
      <c r="A174" s="5">
        <v>1018</v>
      </c>
      <c r="B174" s="12" t="s">
        <v>183</v>
      </c>
      <c r="C174" s="8" t="str">
        <f>VLOOKUP(B174,'[3]Sales Force'!$D:$F,3,0)</f>
        <v>Saleh Ahmed Saleh</v>
      </c>
      <c r="D174" s="8" t="str">
        <f>VLOOKUP(B174,'[3]Sales Force'!$D:$J,7,0)</f>
        <v>DM</v>
      </c>
      <c r="E174" s="8">
        <f>VLOOKUP(C174,'[3]Sales Force'!$D:$O,12,0)</f>
        <v>598</v>
      </c>
      <c r="F174" s="8">
        <f>VLOOKUP(B174,'[3]Sales Force'!$D:$L,9,0)</f>
        <v>1202232402</v>
      </c>
      <c r="G174" s="9">
        <f>VLOOKUP(B174,'[3]Sales Force'!$D:$M,10,0)</f>
        <v>44870</v>
      </c>
      <c r="H174" s="8" t="str">
        <f>VLOOKUP(B174,'[3]Sales Force'!$D:$H,5,0)</f>
        <v>Fulprazal Line</v>
      </c>
      <c r="I174" s="8" t="str">
        <f>VLOOKUP(B174,'[3]Sales Force'!$D:$N,11,0)</f>
        <v>Marina.Mourad.Roshdy@averroes-eg.com</v>
      </c>
      <c r="J174" s="8" t="str">
        <f>VLOOKUP(B174,'[3]Sales Force'!$D:$P,13,0)</f>
        <v>El Marg</v>
      </c>
    </row>
    <row r="175" spans="1:10">
      <c r="A175" s="5">
        <v>1924</v>
      </c>
      <c r="B175" s="14" t="s">
        <v>617</v>
      </c>
      <c r="C175" s="8" t="str">
        <f>VLOOKUP(B175,'[3]Sales Force'!$D:$E,2,0)</f>
        <v>Marina Mourad Roshdy</v>
      </c>
      <c r="D175" s="8" t="str">
        <f>VLOOKUP(B175,'[3]Sales Force'!$D:$J,7,0)</f>
        <v>MR</v>
      </c>
      <c r="E175" s="8">
        <f>VLOOKUP(C175,'[3]Sales Force'!$D:$O,12,0)</f>
        <v>1018</v>
      </c>
      <c r="F175" s="8">
        <f>VLOOKUP(B175,'[3]Sales Force'!$D:$L,9,0)</f>
        <v>1099487754</v>
      </c>
      <c r="G175" s="9">
        <f>VLOOKUP(B175,'[3]Sales Force'!$D:$M,10,0)</f>
        <v>46117</v>
      </c>
      <c r="H175" s="8" t="str">
        <f>VLOOKUP(B175,'[3]Sales Force'!$D:$H,5,0)</f>
        <v>Fulprazal Line</v>
      </c>
      <c r="I175" s="8"/>
      <c r="J175" s="8" t="str">
        <f>VLOOKUP(B175,'[3]Sales Force'!$D:$P,13,0)</f>
        <v>Hadaek El Kobbah</v>
      </c>
    </row>
    <row r="176" spans="1:10">
      <c r="A176" s="5">
        <v>1919</v>
      </c>
      <c r="B176" s="14" t="s">
        <v>618</v>
      </c>
      <c r="C176" s="8" t="str">
        <f>VLOOKUP(B176,'[3]Sales Force'!$D:$E,2,0)</f>
        <v>Marina Mourad Roshdy</v>
      </c>
      <c r="D176" s="8" t="str">
        <f>VLOOKUP(B176,'[3]Sales Force'!$D:$J,7,0)</f>
        <v>MR</v>
      </c>
      <c r="E176" s="8">
        <f>VLOOKUP(C176,'[3]Sales Force'!$D:$O,12,0)</f>
        <v>1018</v>
      </c>
      <c r="F176" s="8">
        <f>VLOOKUP(B176,'[3]Sales Force'!$D:$L,9,0)</f>
        <v>1121224754</v>
      </c>
      <c r="G176" s="9">
        <f>VLOOKUP(B176,'[3]Sales Force'!$D:$M,10,0)</f>
        <v>46113</v>
      </c>
      <c r="H176" s="8" t="str">
        <f>VLOOKUP(B176,'[3]Sales Force'!$D:$H,5,0)</f>
        <v>Fulprazal Line</v>
      </c>
      <c r="I176" s="8"/>
      <c r="J176" s="8" t="str">
        <f>VLOOKUP(B176,'[3]Sales Force'!$D:$P,13,0)</f>
        <v>El Marg</v>
      </c>
    </row>
    <row r="177" spans="1:10">
      <c r="A177" s="5">
        <v>1910</v>
      </c>
      <c r="B177" s="14" t="s">
        <v>619</v>
      </c>
      <c r="C177" s="8" t="str">
        <f>VLOOKUP(B177,'[3]Sales Force'!$D:$E,2,0)</f>
        <v>Marina Mourad Roshdy</v>
      </c>
      <c r="D177" s="8" t="str">
        <f>VLOOKUP(B177,'[3]Sales Force'!$D:$J,7,0)</f>
        <v>MR</v>
      </c>
      <c r="E177" s="8">
        <f>VLOOKUP(C177,'[3]Sales Force'!$D:$O,12,0)</f>
        <v>1018</v>
      </c>
      <c r="F177" s="8">
        <f>VLOOKUP(B177,'[3]Sales Force'!$D:$L,9,0)</f>
        <v>1226400745</v>
      </c>
      <c r="G177" s="9">
        <f>VLOOKUP(B177,'[3]Sales Force'!$D:$M,10,0)</f>
        <v>46113</v>
      </c>
      <c r="H177" s="8" t="str">
        <f>VLOOKUP(B177,'[3]Sales Force'!$D:$H,5,0)</f>
        <v>Fulprazal Line</v>
      </c>
      <c r="I177" s="8"/>
      <c r="J177" s="8" t="str">
        <f>VLOOKUP(B177,'[3]Sales Force'!$D:$P,13,0)</f>
        <v>El Zaytoun</v>
      </c>
    </row>
    <row r="178" spans="1:10">
      <c r="A178" s="5">
        <v>1794</v>
      </c>
      <c r="B178" s="13" t="s">
        <v>184</v>
      </c>
      <c r="C178" s="8" t="str">
        <f>VLOOKUP(B178,'[3]Sales Force'!$D:$E,2,0)</f>
        <v>Marina Mourad Roshdy</v>
      </c>
      <c r="D178" s="8" t="str">
        <f>VLOOKUP(B178,'[3]Sales Force'!$D:$J,7,0)</f>
        <v>MR</v>
      </c>
      <c r="E178" s="8">
        <f>VLOOKUP(C178,'[3]Sales Force'!$D:$O,12,0)</f>
        <v>1018</v>
      </c>
      <c r="F178" s="8">
        <f>VLOOKUP(B178,'[3]Sales Force'!$D:$L,9,0)</f>
        <v>1140938457</v>
      </c>
      <c r="G178" s="9">
        <f>VLOOKUP(B178,'[3]Sales Force'!$D:$M,10,0)</f>
        <v>45962</v>
      </c>
      <c r="H178" s="8" t="str">
        <f>VLOOKUP(B178,'[3]Sales Force'!$D:$H,5,0)</f>
        <v>Fulprazal Line</v>
      </c>
      <c r="I178" s="8"/>
      <c r="J178" s="8" t="str">
        <f>VLOOKUP(B178,'[3]Sales Force'!$D:$P,13,0)</f>
        <v>EL KHANKA</v>
      </c>
    </row>
    <row r="179" spans="1:10">
      <c r="A179" s="5">
        <v>1732</v>
      </c>
      <c r="B179" s="13" t="s">
        <v>185</v>
      </c>
      <c r="C179" s="8" t="str">
        <f>VLOOKUP(B179,'[3]Sales Force'!$D:$E,2,0)</f>
        <v>Marina Mourad Roshdy</v>
      </c>
      <c r="D179" s="8" t="str">
        <f>VLOOKUP(B179,'[3]Sales Force'!$D:$J,7,0)</f>
        <v>MR</v>
      </c>
      <c r="E179" s="8">
        <f>VLOOKUP(C179,'[3]Sales Force'!$D:$O,12,0)</f>
        <v>1018</v>
      </c>
      <c r="F179" s="8">
        <f>VLOOKUP(B179,'[3]Sales Force'!$D:$L,9,0)</f>
        <v>1559462246</v>
      </c>
      <c r="G179" s="9">
        <f>VLOOKUP(B179,'[3]Sales Force'!$D:$M,10,0)</f>
        <v>45885</v>
      </c>
      <c r="H179" s="8" t="str">
        <f>VLOOKUP(B179,'[3]Sales Force'!$D:$H,5,0)</f>
        <v>Fulprazal Line</v>
      </c>
      <c r="I179" s="8"/>
      <c r="J179" s="8" t="str">
        <f>VLOOKUP(B179,'[3]Sales Force'!$D:$P,13,0)</f>
        <v>El Sharabeya</v>
      </c>
    </row>
    <row r="180" spans="1:10">
      <c r="A180" s="5">
        <v>1466</v>
      </c>
      <c r="B180" s="13" t="s">
        <v>186</v>
      </c>
      <c r="C180" s="8" t="str">
        <f>VLOOKUP(B180,'[3]Sales Force'!$D:$E,2,0)</f>
        <v>Marina Mourad Roshdy</v>
      </c>
      <c r="D180" s="8" t="str">
        <f>VLOOKUP(B180,'[3]Sales Force'!$D:$J,7,0)</f>
        <v>MR</v>
      </c>
      <c r="E180" s="8">
        <f>VLOOKUP(C180,'[3]Sales Force'!$D:$O,12,0)</f>
        <v>1018</v>
      </c>
      <c r="F180" s="8">
        <f>VLOOKUP(B180,'[3]Sales Force'!$D:$L,9,0)</f>
        <v>1205748726</v>
      </c>
      <c r="G180" s="9">
        <f>VLOOKUP(B180,'[3]Sales Force'!$D:$M,10,0)</f>
        <v>45627</v>
      </c>
      <c r="H180" s="8" t="str">
        <f>VLOOKUP(B180,'[3]Sales Force'!$D:$H,5,0)</f>
        <v>Fulprazal Line</v>
      </c>
      <c r="I180" s="8"/>
      <c r="J180" s="8" t="str">
        <f>VLOOKUP(B180,'[3]Sales Force'!$D:$P,13,0)</f>
        <v>Ismaelia City</v>
      </c>
    </row>
    <row r="181" spans="1:10">
      <c r="A181" s="5">
        <v>1246</v>
      </c>
      <c r="B181" s="12" t="s">
        <v>187</v>
      </c>
      <c r="C181" s="8" t="str">
        <f>VLOOKUP(B181,'[3]Sales Force'!$D:$F,3,0)</f>
        <v>Saleh Ahmed Saleh</v>
      </c>
      <c r="D181" s="8" t="str">
        <f>VLOOKUP(B181,'[3]Sales Force'!$D:$J,7,0)</f>
        <v>DM</v>
      </c>
      <c r="E181" s="8">
        <f>VLOOKUP(C181,'[3]Sales Force'!$D:$O,12,0)</f>
        <v>598</v>
      </c>
      <c r="F181" s="8">
        <f>VLOOKUP(B181,'[3]Sales Force'!$D:$L,9,0)</f>
        <v>1154772559</v>
      </c>
      <c r="G181" s="9">
        <f>VLOOKUP(B181,'[3]Sales Force'!$D:$M,10,0)</f>
        <v>45143</v>
      </c>
      <c r="H181" s="8" t="str">
        <f>VLOOKUP(B181,'[3]Sales Force'!$D:$H,5,0)</f>
        <v>Fulprazal Line</v>
      </c>
      <c r="I181" s="8" t="str">
        <f>VLOOKUP(B181,'[3]Sales Force'!$D:$N,11,0)</f>
        <v>Walaa.Samy.Mohamed@averroes-eg.com</v>
      </c>
      <c r="J181" s="8" t="str">
        <f>VLOOKUP(B181,'[3]Sales Force'!$D:$P,13,0)</f>
        <v>Faisal</v>
      </c>
    </row>
    <row r="182" spans="1:10">
      <c r="A182" s="5">
        <v>1949</v>
      </c>
      <c r="B182" s="14" t="s">
        <v>620</v>
      </c>
      <c r="C182" s="8" t="str">
        <f>VLOOKUP(B182,'[3]Sales Force'!$D:$E,2,0)</f>
        <v>Walaa Samy Mohamed</v>
      </c>
      <c r="D182" s="8" t="str">
        <f>VLOOKUP(B182,'[3]Sales Force'!$D:$J,7,0)</f>
        <v>MR</v>
      </c>
      <c r="E182" s="8">
        <f>VLOOKUP(C182,'[3]Sales Force'!$D:$O,12,0)</f>
        <v>1246</v>
      </c>
      <c r="F182" s="8">
        <f>VLOOKUP(B182,'[3]Sales Force'!$D:$L,9,0)</f>
        <v>1119470945</v>
      </c>
      <c r="G182" s="9">
        <f>VLOOKUP(B182,'[3]Sales Force'!$D:$M,10,0)</f>
        <v>46143</v>
      </c>
      <c r="H182" s="8" t="str">
        <f>VLOOKUP(B182,'[3]Sales Force'!$D:$H,5,0)</f>
        <v>Fulprazal Line</v>
      </c>
      <c r="I182" s="8"/>
      <c r="J182" s="8" t="str">
        <f>VLOOKUP(B182,'[3]Sales Force'!$D:$P,13,0)</f>
        <v>El Kawmia</v>
      </c>
    </row>
    <row r="183" spans="1:10">
      <c r="A183" s="5">
        <v>1921</v>
      </c>
      <c r="B183" s="14" t="s">
        <v>621</v>
      </c>
      <c r="C183" s="8" t="str">
        <f>VLOOKUP(B183,'[3]Sales Force'!$D:$E,2,0)</f>
        <v>Walaa Samy Mohamed</v>
      </c>
      <c r="D183" s="8" t="str">
        <f>VLOOKUP(B183,'[3]Sales Force'!$D:$J,7,0)</f>
        <v>MR</v>
      </c>
      <c r="E183" s="8">
        <f>VLOOKUP(C183,'[3]Sales Force'!$D:$O,12,0)</f>
        <v>1246</v>
      </c>
      <c r="F183" s="8">
        <f>VLOOKUP(B183,'[3]Sales Force'!$D:$L,9,0)</f>
        <v>1111958205</v>
      </c>
      <c r="G183" s="9">
        <f>VLOOKUP(B183,'[3]Sales Force'!$D:$M,10,0)</f>
        <v>46113</v>
      </c>
      <c r="H183" s="8" t="str">
        <f>VLOOKUP(B183,'[3]Sales Force'!$D:$H,5,0)</f>
        <v>Fulprazal Line</v>
      </c>
      <c r="I183" s="8"/>
      <c r="J183" s="8" t="str">
        <f>VLOOKUP(B183,'[3]Sales Force'!$D:$P,13,0)</f>
        <v>El Haram</v>
      </c>
    </row>
    <row r="184" spans="1:10">
      <c r="A184" s="5">
        <v>1918</v>
      </c>
      <c r="B184" s="14" t="s">
        <v>622</v>
      </c>
      <c r="C184" s="8" t="str">
        <f>VLOOKUP(B184,'[3]Sales Force'!$D:$E,2,0)</f>
        <v>Walaa Samy Mohamed</v>
      </c>
      <c r="D184" s="8" t="str">
        <f>VLOOKUP(B184,'[3]Sales Force'!$D:$J,7,0)</f>
        <v>MR</v>
      </c>
      <c r="E184" s="8">
        <f>VLOOKUP(C184,'[3]Sales Force'!$D:$O,12,0)</f>
        <v>1246</v>
      </c>
      <c r="F184" s="8">
        <f>VLOOKUP(B184,'[3]Sales Force'!$D:$L,9,0)</f>
        <v>1098535275</v>
      </c>
      <c r="G184" s="9">
        <f>VLOOKUP(B184,'[3]Sales Force'!$D:$M,10,0)</f>
        <v>46113</v>
      </c>
      <c r="H184" s="8" t="str">
        <f>VLOOKUP(B184,'[3]Sales Force'!$D:$H,5,0)</f>
        <v>Fulprazal Line</v>
      </c>
      <c r="I184" s="8"/>
      <c r="J184" s="8" t="str">
        <f>VLOOKUP(B184,'[3]Sales Force'!$D:$P,13,0)</f>
        <v>Fayoum City</v>
      </c>
    </row>
    <row r="185" spans="1:10">
      <c r="A185" s="5">
        <v>1767</v>
      </c>
      <c r="B185" s="13" t="s">
        <v>188</v>
      </c>
      <c r="C185" s="8" t="str">
        <f>VLOOKUP(B185,'[3]Sales Force'!$D:$E,2,0)</f>
        <v>Walaa Samy Mohamed</v>
      </c>
      <c r="D185" s="8" t="str">
        <f>VLOOKUP(B185,'[3]Sales Force'!$D:$J,7,0)</f>
        <v>MR</v>
      </c>
      <c r="E185" s="8">
        <f>VLOOKUP(C185,'[3]Sales Force'!$D:$O,12,0)</f>
        <v>1246</v>
      </c>
      <c r="F185" s="8">
        <f>VLOOKUP(B185,'[3]Sales Force'!$D:$L,9,0)</f>
        <v>1126216801</v>
      </c>
      <c r="G185" s="9">
        <f>VLOOKUP(B185,'[3]Sales Force'!$D:$M,10,0)</f>
        <v>45934</v>
      </c>
      <c r="H185" s="8" t="str">
        <f>VLOOKUP(B185,'[3]Sales Force'!$D:$H,5,0)</f>
        <v>Fulprazal Line</v>
      </c>
      <c r="I185" s="8"/>
      <c r="J185" s="8" t="str">
        <f>VLOOKUP(B185,'[3]Sales Force'!$D:$P,13,0)</f>
        <v>Haram</v>
      </c>
    </row>
    <row r="186" spans="1:10">
      <c r="A186" s="5">
        <v>1766</v>
      </c>
      <c r="B186" s="13" t="s">
        <v>189</v>
      </c>
      <c r="C186" s="8" t="str">
        <f>VLOOKUP(B186,'[3]Sales Force'!$D:$E,2,0)</f>
        <v>Walaa Samy Mohamed</v>
      </c>
      <c r="D186" s="8" t="str">
        <f>VLOOKUP(B186,'[3]Sales Force'!$D:$J,7,0)</f>
        <v>MR</v>
      </c>
      <c r="E186" s="8">
        <f>VLOOKUP(C186,'[3]Sales Force'!$D:$O,12,0)</f>
        <v>1246</v>
      </c>
      <c r="F186" s="8">
        <f>VLOOKUP(B186,'[3]Sales Force'!$D:$L,9,0)</f>
        <v>1095596027</v>
      </c>
      <c r="G186" s="9">
        <f>VLOOKUP(B186,'[3]Sales Force'!$D:$M,10,0)</f>
        <v>45934</v>
      </c>
      <c r="H186" s="8" t="str">
        <f>VLOOKUP(B186,'[3]Sales Force'!$D:$H,5,0)</f>
        <v>Fulprazal Line</v>
      </c>
      <c r="I186" s="8"/>
      <c r="J186" s="8" t="str">
        <f>VLOOKUP(B186,'[3]Sales Force'!$D:$P,13,0)</f>
        <v>el mohandesein</v>
      </c>
    </row>
    <row r="187" spans="1:10">
      <c r="A187" s="5">
        <v>1704</v>
      </c>
      <c r="B187" s="13" t="s">
        <v>190</v>
      </c>
      <c r="C187" s="8" t="str">
        <f>VLOOKUP(B187,'[3]Sales Force'!$D:$E,2,0)</f>
        <v>Walaa Samy Mohamed</v>
      </c>
      <c r="D187" s="8" t="str">
        <f>VLOOKUP(B187,'[3]Sales Force'!$D:$J,7,0)</f>
        <v>MR</v>
      </c>
      <c r="E187" s="8">
        <f>VLOOKUP(C187,'[3]Sales Force'!$D:$O,12,0)</f>
        <v>1246</v>
      </c>
      <c r="F187" s="8">
        <f>VLOOKUP(B187,'[3]Sales Force'!$D:$L,9,0)</f>
        <v>1143176042</v>
      </c>
      <c r="G187" s="9">
        <f>VLOOKUP(B187,'[3]Sales Force'!$D:$M,10,0)</f>
        <v>45843</v>
      </c>
      <c r="H187" s="8" t="str">
        <f>VLOOKUP(B187,'[3]Sales Force'!$D:$H,5,0)</f>
        <v>Fulprazal Line</v>
      </c>
      <c r="I187" s="8"/>
      <c r="J187" s="8" t="str">
        <f>VLOOKUP(B187,'[3]Sales Force'!$D:$P,13,0)</f>
        <v>El Badrashien</v>
      </c>
    </row>
    <row r="188" spans="1:10">
      <c r="A188" s="5">
        <v>318</v>
      </c>
      <c r="B188" s="11" t="s">
        <v>191</v>
      </c>
      <c r="C188" s="8" t="str">
        <f>VLOOKUP(B188,'[3]Sales Force'!$D:$G,4,0)</f>
        <v>Ibrahim Ammar</v>
      </c>
      <c r="D188" s="8" t="str">
        <f>VLOOKUP(B188,'[3]Sales Force'!$D:$J,7,0)</f>
        <v>AM</v>
      </c>
      <c r="E188" s="8">
        <f>VLOOKUP(C188,'[3]Sales Force'!$D:$O,12,0)</f>
        <v>60</v>
      </c>
      <c r="F188" s="8" t="str">
        <f>VLOOKUP(B188,'[3]Sales Force'!$D:$L,9,0)</f>
        <v> 01151376379</v>
      </c>
      <c r="G188" s="9">
        <f>VLOOKUP(B188,'[3]Sales Force'!$D:$M,10,0)</f>
        <v>43288</v>
      </c>
      <c r="H188" s="8" t="str">
        <f>VLOOKUP(B188,'[3]Sales Force'!$D:$H,5,0)</f>
        <v>Pumpizan Line</v>
      </c>
      <c r="I188" s="8" t="str">
        <f>VLOOKUP(B188,'[3]Sales Force'!$D:$N,11,0)</f>
        <v>mosaab.mahmoud@averroes-eg.com</v>
      </c>
      <c r="J188" s="8" t="str">
        <f>VLOOKUP(B188,'[3]Sales Force'!$D:$P,13,0)</f>
        <v>Hadayek El Maadi</v>
      </c>
    </row>
    <row r="189" spans="1:10">
      <c r="A189" s="5">
        <v>1009</v>
      </c>
      <c r="B189" s="12" t="s">
        <v>192</v>
      </c>
      <c r="C189" s="8" t="str">
        <f>VLOOKUP(B189,'[3]Sales Force'!$D:$F,3,0)</f>
        <v>Mousab Mahmoud Abdelkhalek</v>
      </c>
      <c r="D189" s="8" t="str">
        <f>VLOOKUP(B189,'[3]Sales Force'!$D:$J,7,0)</f>
        <v>DM</v>
      </c>
      <c r="E189" s="8">
        <f>VLOOKUP(C189,'[3]Sales Force'!$D:$O,12,0)</f>
        <v>318</v>
      </c>
      <c r="F189" s="8">
        <f>VLOOKUP(B189,'[3]Sales Force'!$D:$L,9,0)</f>
        <v>1141868792</v>
      </c>
      <c r="G189" s="9">
        <f>VLOOKUP(B189,'[3]Sales Force'!$D:$M,10,0)</f>
        <v>44835</v>
      </c>
      <c r="H189" s="8" t="str">
        <f>VLOOKUP(B189,'[3]Sales Force'!$D:$H,5,0)</f>
        <v>Pumpizan Line</v>
      </c>
      <c r="I189" s="8" t="str">
        <f>VLOOKUP(B189,'[3]Sales Force'!$D:$N,11,0)</f>
        <v>Eman.Samir.Mohamed@averroes-eg.com</v>
      </c>
      <c r="J189" s="8" t="str">
        <f>VLOOKUP(B189,'[3]Sales Force'!$D:$P,13,0)</f>
        <v>Helwan</v>
      </c>
    </row>
    <row r="190" spans="1:10">
      <c r="A190" s="5">
        <v>1784</v>
      </c>
      <c r="B190" s="13" t="s">
        <v>193</v>
      </c>
      <c r="C190" s="8" t="str">
        <f>VLOOKUP(B190,'[3]Sales Force'!$D:$E,2,0)</f>
        <v>Eman Samir Mohamed</v>
      </c>
      <c r="D190" s="8" t="str">
        <f>VLOOKUP(B190,'[3]Sales Force'!$D:$J,7,0)</f>
        <v>MR</v>
      </c>
      <c r="E190" s="8">
        <f>VLOOKUP(C190,'[3]Sales Force'!$D:$O,12,0)</f>
        <v>1009</v>
      </c>
      <c r="F190" s="8">
        <f>VLOOKUP(B190,'[3]Sales Force'!$D:$L,9,0)</f>
        <v>1227605698</v>
      </c>
      <c r="G190" s="9">
        <f>VLOOKUP(B190,'[3]Sales Force'!$D:$M,10,0)</f>
        <v>45964</v>
      </c>
      <c r="H190" s="8" t="str">
        <f>VLOOKUP(B190,'[3]Sales Force'!$D:$H,5,0)</f>
        <v>Pumpizan Line</v>
      </c>
      <c r="I190" s="8"/>
      <c r="J190" s="8" t="str">
        <f>VLOOKUP(B190,'[3]Sales Force'!$D:$P,13,0)</f>
        <v>Masr El Qadima</v>
      </c>
    </row>
    <row r="191" spans="1:10">
      <c r="A191" s="5">
        <v>1497</v>
      </c>
      <c r="B191" s="13" t="s">
        <v>194</v>
      </c>
      <c r="C191" s="8" t="str">
        <f>VLOOKUP(B191,'[3]Sales Force'!$D:$E,2,0)</f>
        <v>Eman Samir Mohamed</v>
      </c>
      <c r="D191" s="8" t="str">
        <f>VLOOKUP(B191,'[3]Sales Force'!$D:$J,7,0)</f>
        <v>MR</v>
      </c>
      <c r="E191" s="8">
        <f>VLOOKUP(C191,'[3]Sales Force'!$D:$O,12,0)</f>
        <v>1009</v>
      </c>
      <c r="F191" s="8">
        <f>VLOOKUP(B191,'[3]Sales Force'!$D:$L,9,0)</f>
        <v>1009121775</v>
      </c>
      <c r="G191" s="9">
        <f>VLOOKUP(B191,'[3]Sales Force'!$D:$M,10,0)</f>
        <v>45675</v>
      </c>
      <c r="H191" s="8" t="str">
        <f>VLOOKUP(B191,'[3]Sales Force'!$D:$H,5,0)</f>
        <v>Pumpizan Line</v>
      </c>
      <c r="I191" s="8"/>
      <c r="J191" s="8" t="str">
        <f>VLOOKUP(B191,'[3]Sales Force'!$D:$P,13,0)</f>
        <v>El Badrashien</v>
      </c>
    </row>
    <row r="192" spans="1:10">
      <c r="A192" s="5">
        <v>1415</v>
      </c>
      <c r="B192" s="13" t="s">
        <v>195</v>
      </c>
      <c r="C192" s="8" t="str">
        <f>VLOOKUP(B192,'[3]Sales Force'!$D:$E,2,0)</f>
        <v>Eman Samir Mohamed</v>
      </c>
      <c r="D192" s="8" t="str">
        <f>VLOOKUP(B192,'[3]Sales Force'!$D:$J,7,0)</f>
        <v>MR</v>
      </c>
      <c r="E192" s="8">
        <f>VLOOKUP(C192,'[3]Sales Force'!$D:$O,12,0)</f>
        <v>1009</v>
      </c>
      <c r="F192" s="8">
        <f>VLOOKUP(B192,'[3]Sales Force'!$D:$L,9,0)</f>
        <v>1122435600</v>
      </c>
      <c r="G192" s="9">
        <f>VLOOKUP(B192,'[3]Sales Force'!$D:$M,10,0)</f>
        <v>45505</v>
      </c>
      <c r="H192" s="8" t="str">
        <f>VLOOKUP(B192,'[3]Sales Force'!$D:$H,5,0)</f>
        <v>Pumpizan Line</v>
      </c>
      <c r="I192" s="8"/>
      <c r="J192" s="8" t="str">
        <f>VLOOKUP(B192,'[3]Sales Force'!$D:$P,13,0)</f>
        <v>El Sahel</v>
      </c>
    </row>
    <row r="193" spans="1:10">
      <c r="A193" s="5">
        <v>1895</v>
      </c>
      <c r="B193" s="14" t="s">
        <v>623</v>
      </c>
      <c r="C193" s="8" t="str">
        <f>VLOOKUP(B193,'[3]Sales Force'!$D:$E,2,0)</f>
        <v>Eman Samir Mohamed</v>
      </c>
      <c r="D193" s="8" t="str">
        <f>VLOOKUP(B193,'[3]Sales Force'!$D:$J,7,0)</f>
        <v>MR</v>
      </c>
      <c r="E193" s="8">
        <f>VLOOKUP(C193,'[3]Sales Force'!$D:$O,12,0)</f>
        <v>1009</v>
      </c>
      <c r="F193" s="8">
        <f>VLOOKUP(B193,'[3]Sales Force'!$D:$L,9,0)</f>
        <v>1154363735</v>
      </c>
      <c r="G193" s="9">
        <f>VLOOKUP(B193,'[3]Sales Force'!$D:$M,10,0)</f>
        <v>46082</v>
      </c>
      <c r="H193" s="8" t="str">
        <f>VLOOKUP(B193,'[3]Sales Force'!$D:$H,5,0)</f>
        <v>Pumpizan Line</v>
      </c>
      <c r="I193" s="8"/>
      <c r="J193" s="8" t="str">
        <f>VLOOKUP(B193,'[3]Sales Force'!$D:$P,13,0)</f>
        <v>Shobra El Khiema</v>
      </c>
    </row>
    <row r="194" spans="1:10">
      <c r="A194" s="5">
        <v>1578</v>
      </c>
      <c r="B194" s="13" t="s">
        <v>196</v>
      </c>
      <c r="C194" s="8" t="str">
        <f>VLOOKUP(B194,'[3]Sales Force'!$D:$E,2,0)</f>
        <v>Eman Samir Mohamed</v>
      </c>
      <c r="D194" s="8" t="str">
        <f>VLOOKUP(B194,'[3]Sales Force'!$D:$J,7,0)</f>
        <v>MR</v>
      </c>
      <c r="E194" s="8">
        <f>VLOOKUP(C194,'[3]Sales Force'!$D:$O,12,0)</f>
        <v>1009</v>
      </c>
      <c r="F194" s="8">
        <f>VLOOKUP(B194,'[3]Sales Force'!$D:$L,9,0)</f>
        <v>1148712223</v>
      </c>
      <c r="G194" s="9">
        <f>VLOOKUP(B194,'[3]Sales Force'!$D:$M,10,0)</f>
        <v>45724</v>
      </c>
      <c r="H194" s="8" t="str">
        <f>VLOOKUP(B194,'[3]Sales Force'!$D:$H,5,0)</f>
        <v>Pumpizan Line</v>
      </c>
      <c r="I194" s="8"/>
      <c r="J194" s="8" t="str">
        <f>VLOOKUP(B194,'[3]Sales Force'!$D:$P,13,0)</f>
        <v>El Tebeen + El Marazeek (El Tebeen)</v>
      </c>
    </row>
    <row r="195" spans="1:10">
      <c r="A195" s="5">
        <v>1564</v>
      </c>
      <c r="B195" s="13" t="s">
        <v>197</v>
      </c>
      <c r="C195" s="8" t="str">
        <f>VLOOKUP(B195,'[3]Sales Force'!$D:$E,2,0)</f>
        <v>Eman Samir Mohamed</v>
      </c>
      <c r="D195" s="8" t="str">
        <f>VLOOKUP(B195,'[3]Sales Force'!$D:$J,7,0)</f>
        <v>MR</v>
      </c>
      <c r="E195" s="8">
        <f>VLOOKUP(C195,'[3]Sales Force'!$D:$O,12,0)</f>
        <v>1009</v>
      </c>
      <c r="F195" s="8">
        <f>VLOOKUP(B195,'[3]Sales Force'!$D:$L,9,0)</f>
        <v>1067611287</v>
      </c>
      <c r="G195" s="9">
        <f>VLOOKUP(B195,'[3]Sales Force'!$D:$M,10,0)</f>
        <v>45717</v>
      </c>
      <c r="H195" s="8" t="str">
        <f>VLOOKUP(B195,'[3]Sales Force'!$D:$H,5,0)</f>
        <v>Pumpizan Line</v>
      </c>
      <c r="I195" s="8"/>
      <c r="J195" s="8" t="str">
        <f>VLOOKUP(B195,'[3]Sales Force'!$D:$P,13,0)</f>
        <v>NASR CITY I</v>
      </c>
    </row>
    <row r="196" spans="1:10">
      <c r="A196" s="5">
        <v>1726</v>
      </c>
      <c r="B196" s="13" t="s">
        <v>198</v>
      </c>
      <c r="C196" s="8" t="str">
        <f>VLOOKUP(B196,'[3]Sales Force'!$D:$E,2,0)</f>
        <v>Eman Samir Mohamed</v>
      </c>
      <c r="D196" s="8" t="str">
        <f>VLOOKUP(B196,'[3]Sales Force'!$D:$J,7,0)</f>
        <v>MR</v>
      </c>
      <c r="E196" s="8">
        <f>VLOOKUP(C196,'[3]Sales Force'!$D:$O,12,0)</f>
        <v>1009</v>
      </c>
      <c r="F196" s="8">
        <f>VLOOKUP(B196,'[3]Sales Force'!$D:$L,9,0)</f>
        <v>1155036529</v>
      </c>
      <c r="G196" s="9">
        <f>VLOOKUP(B196,'[3]Sales Force'!$D:$M,10,0)</f>
        <v>45871</v>
      </c>
      <c r="H196" s="8" t="str">
        <f>VLOOKUP(B196,'[3]Sales Force'!$D:$H,5,0)</f>
        <v>Pumpizan Line</v>
      </c>
      <c r="I196" s="8"/>
      <c r="J196" s="8" t="str">
        <f>VLOOKUP(B196,'[3]Sales Force'!$D:$P,13,0)</f>
        <v>Hadayek Elmaadi</v>
      </c>
    </row>
    <row r="197" spans="1:10">
      <c r="A197" s="5">
        <v>1775</v>
      </c>
      <c r="B197" s="13" t="s">
        <v>199</v>
      </c>
      <c r="C197" s="8" t="str">
        <f>VLOOKUP(B197,'[3]Sales Force'!$D:$E,2,0)</f>
        <v>L3_Vacant - Cairo A</v>
      </c>
      <c r="D197" s="8" t="str">
        <f>VLOOKUP(B197,'[3]Sales Force'!$D:$J,7,0)</f>
        <v>MR</v>
      </c>
      <c r="E197" s="8">
        <f>VLOOKUP(C197,'[3]Sales Force'!$D:$O,12,0)</f>
        <v>0</v>
      </c>
      <c r="F197" s="8">
        <f>VLOOKUP(B197,'[3]Sales Force'!$D:$L,9,0)</f>
        <v>1127066648</v>
      </c>
      <c r="G197" s="9">
        <f>VLOOKUP(B197,'[3]Sales Force'!$D:$M,10,0)</f>
        <v>45962</v>
      </c>
      <c r="H197" s="8" t="str">
        <f>VLOOKUP(B197,'[3]Sales Force'!$D:$H,5,0)</f>
        <v>Pumpizan Line</v>
      </c>
      <c r="I197" s="8"/>
      <c r="J197" s="8" t="str">
        <f>VLOOKUP(B197,'[3]Sales Force'!$D:$P,13,0)</f>
        <v>Madenet El Salam</v>
      </c>
    </row>
    <row r="198" spans="1:10">
      <c r="A198" s="5">
        <v>1596</v>
      </c>
      <c r="B198" s="13" t="s">
        <v>200</v>
      </c>
      <c r="C198" s="8" t="str">
        <f>VLOOKUP(B198,'[3]Sales Force'!$D:$E,2,0)</f>
        <v>L3_Vacant - Cairo A</v>
      </c>
      <c r="D198" s="8" t="str">
        <f>VLOOKUP(B198,'[3]Sales Force'!$D:$J,7,0)</f>
        <v>MR</v>
      </c>
      <c r="E198" s="8">
        <f>VLOOKUP(C198,'[3]Sales Force'!$D:$O,12,0)</f>
        <v>0</v>
      </c>
      <c r="F198" s="8">
        <f>VLOOKUP(B198,'[3]Sales Force'!$D:$L,9,0)</f>
        <v>1096975812</v>
      </c>
      <c r="G198" s="9">
        <f>VLOOKUP(B198,'[3]Sales Force'!$D:$M,10,0)</f>
        <v>45738</v>
      </c>
      <c r="H198" s="8" t="str">
        <f>VLOOKUP(B198,'[3]Sales Force'!$D:$H,5,0)</f>
        <v>Pumpizan Line</v>
      </c>
      <c r="I198" s="8"/>
      <c r="J198" s="8" t="str">
        <f>VLOOKUP(B198,'[3]Sales Force'!$D:$P,13,0)</f>
        <v>El Marg</v>
      </c>
    </row>
    <row r="199" spans="1:10">
      <c r="A199" s="5">
        <v>1879</v>
      </c>
      <c r="B199" s="14" t="s">
        <v>624</v>
      </c>
      <c r="C199" s="8" t="str">
        <f>VLOOKUP(B199,'[3]Sales Force'!$D:$E,2,0)</f>
        <v>L3_Vacant - Cairo A</v>
      </c>
      <c r="D199" s="8" t="str">
        <f>VLOOKUP(B199,'[3]Sales Force'!$D:$J,7,0)</f>
        <v>MR</v>
      </c>
      <c r="E199" s="8">
        <f>VLOOKUP(C199,'[3]Sales Force'!$D:$O,12,0)</f>
        <v>0</v>
      </c>
      <c r="F199" s="8">
        <f>VLOOKUP(B199,'[3]Sales Force'!$D:$L,9,0)</f>
        <v>1142620565</v>
      </c>
      <c r="G199" s="9">
        <f>VLOOKUP(B199,'[3]Sales Force'!$D:$M,10,0)</f>
        <v>46075</v>
      </c>
      <c r="H199" s="8" t="str">
        <f>VLOOKUP(B199,'[3]Sales Force'!$D:$H,5,0)</f>
        <v>Pumpizan Line</v>
      </c>
      <c r="I199" s="8"/>
      <c r="J199" s="8" t="str">
        <f>VLOOKUP(B199,'[3]Sales Force'!$D:$P,13,0)</f>
        <v>NASR CITY II</v>
      </c>
    </row>
    <row r="200" spans="1:10">
      <c r="A200" s="5">
        <v>675</v>
      </c>
      <c r="B200" s="13" t="s">
        <v>201</v>
      </c>
      <c r="C200" s="8" t="str">
        <f>VLOOKUP(B200,'[3]Sales Force'!$D:$E,2,0)</f>
        <v>L3_Vacant - Cairo A</v>
      </c>
      <c r="D200" s="8" t="str">
        <f>VLOOKUP(B200,'[3]Sales Force'!$D:$J,7,0)</f>
        <v>MR</v>
      </c>
      <c r="E200" s="8">
        <f>VLOOKUP(C200,'[3]Sales Force'!$D:$O,12,0)</f>
        <v>0</v>
      </c>
      <c r="F200" s="8">
        <f>VLOOKUP(B200,'[3]Sales Force'!$D:$L,9,0)</f>
        <v>1282594714</v>
      </c>
      <c r="G200" s="9">
        <f>VLOOKUP(B200,'[3]Sales Force'!$D:$M,10,0)</f>
        <v>44013</v>
      </c>
      <c r="H200" s="8" t="str">
        <f>VLOOKUP(B200,'[3]Sales Force'!$D:$H,5,0)</f>
        <v>Pumpizan Line</v>
      </c>
      <c r="I200" s="8"/>
      <c r="J200" s="8" t="str">
        <f>VLOOKUP(B200,'[3]Sales Force'!$D:$P,13,0)</f>
        <v>Ismaelia City</v>
      </c>
    </row>
    <row r="201" spans="1:10">
      <c r="A201" s="5">
        <v>1714</v>
      </c>
      <c r="B201" s="13" t="s">
        <v>202</v>
      </c>
      <c r="C201" s="8" t="str">
        <f>VLOOKUP(B201,'[3]Sales Force'!$D:$E,2,0)</f>
        <v>L3_Vacant - Cairo A</v>
      </c>
      <c r="D201" s="8" t="str">
        <f>VLOOKUP(B201,'[3]Sales Force'!$D:$J,7,0)</f>
        <v>MR</v>
      </c>
      <c r="E201" s="8">
        <f>VLOOKUP(C201,'[3]Sales Force'!$D:$O,12,0)</f>
        <v>0</v>
      </c>
      <c r="F201" s="8">
        <f>VLOOKUP(B201,'[3]Sales Force'!$D:$L,9,0)</f>
        <v>1280608490</v>
      </c>
      <c r="G201" s="9">
        <f>VLOOKUP(B201,'[3]Sales Force'!$D:$M,10,0)</f>
        <v>45857</v>
      </c>
      <c r="H201" s="8" t="str">
        <f>VLOOKUP(B201,'[3]Sales Force'!$D:$H,5,0)</f>
        <v>Pumpizan Line</v>
      </c>
      <c r="I201" s="8"/>
      <c r="J201" s="8" t="str">
        <f>VLOOKUP(B201,'[3]Sales Force'!$D:$P,13,0)</f>
        <v>Ain Shams</v>
      </c>
    </row>
    <row r="202" spans="1:10">
      <c r="A202" s="5">
        <v>1765</v>
      </c>
      <c r="B202" s="13" t="s">
        <v>203</v>
      </c>
      <c r="C202" s="8" t="str">
        <f>VLOOKUP(B202,'[3]Sales Force'!$D:$E,2,0)</f>
        <v>L3_Vacant - Cairo A</v>
      </c>
      <c r="D202" s="8" t="str">
        <f>VLOOKUP(B202,'[3]Sales Force'!$D:$J,7,0)</f>
        <v>MR</v>
      </c>
      <c r="E202" s="8">
        <f>VLOOKUP(C202,'[3]Sales Force'!$D:$O,12,0)</f>
        <v>0</v>
      </c>
      <c r="F202" s="8">
        <f>VLOOKUP(B202,'[3]Sales Force'!$D:$L,9,0)</f>
        <v>1123307305</v>
      </c>
      <c r="G202" s="9">
        <f>VLOOKUP(B202,'[3]Sales Force'!$D:$M,10,0)</f>
        <v>45931</v>
      </c>
      <c r="H202" s="8" t="str">
        <f>VLOOKUP(B202,'[3]Sales Force'!$D:$H,5,0)</f>
        <v>Pumpizan Line</v>
      </c>
      <c r="I202" s="8"/>
      <c r="J202" s="8" t="str">
        <f>VLOOKUP(B202,'[3]Sales Force'!$D:$P,13,0)</f>
        <v>El Matarya</v>
      </c>
    </row>
    <row r="203" spans="1:10">
      <c r="A203" s="5">
        <v>1890</v>
      </c>
      <c r="B203" s="15" t="s">
        <v>625</v>
      </c>
      <c r="C203" s="8" t="str">
        <f>VLOOKUP(B203,'[3]Sales Force'!$D:$F,3,0)</f>
        <v>Mousab Mahmoud Abdelkhalek</v>
      </c>
      <c r="D203" s="8" t="str">
        <f>VLOOKUP(B203,'[3]Sales Force'!$D:$J,7,0)</f>
        <v>DM</v>
      </c>
      <c r="E203" s="8">
        <f>VLOOKUP(C203,'[3]Sales Force'!$D:$O,12,0)</f>
        <v>318</v>
      </c>
      <c r="F203" s="8">
        <f>VLOOKUP(B203,'[3]Sales Force'!$D:$L,9,0)</f>
        <v>1009737454</v>
      </c>
      <c r="G203" s="9">
        <f>VLOOKUP(B203,'[3]Sales Force'!$D:$M,10,0)</f>
        <v>46082</v>
      </c>
      <c r="H203" s="8" t="str">
        <f>VLOOKUP(B203,'[3]Sales Force'!$D:$H,5,0)</f>
        <v>Pumpizan Line</v>
      </c>
      <c r="I203" s="8" t="str">
        <f>VLOOKUP(B203,'[3]Sales Force'!$D:$N,11,0)</f>
        <v>Ahmed.Mohamed.Nasr@averroes-eg.com</v>
      </c>
      <c r="J203" s="8" t="str">
        <f>VLOOKUP(B203,'[3]Sales Force'!$D:$P,13,0)</f>
        <v>6th of October City</v>
      </c>
    </row>
    <row r="204" spans="1:10">
      <c r="A204" s="5">
        <v>1576</v>
      </c>
      <c r="B204" s="13" t="s">
        <v>204</v>
      </c>
      <c r="C204" s="8" t="str">
        <f>VLOOKUP(B204,'[3]Sales Force'!$D:$E,2,0)</f>
        <v>Ahmed Mohamed Nasr</v>
      </c>
      <c r="D204" s="8" t="str">
        <f>VLOOKUP(B204,'[3]Sales Force'!$D:$J,7,0)</f>
        <v>MR</v>
      </c>
      <c r="E204" s="8">
        <f>VLOOKUP(C204,'[3]Sales Force'!$D:$O,12,0)</f>
        <v>1890</v>
      </c>
      <c r="F204" s="8">
        <f>VLOOKUP(B204,'[3]Sales Force'!$D:$L,9,0)</f>
        <v>1552021270</v>
      </c>
      <c r="G204" s="9">
        <f>VLOOKUP(B204,'[3]Sales Force'!$D:$M,10,0)</f>
        <v>45717</v>
      </c>
      <c r="H204" s="8" t="str">
        <f>VLOOKUP(B204,'[3]Sales Force'!$D:$H,5,0)</f>
        <v>Pumpizan Line</v>
      </c>
      <c r="I204" s="8"/>
      <c r="J204" s="8" t="str">
        <f>VLOOKUP(B204,'[3]Sales Force'!$D:$P,13,0)</f>
        <v>Kerdasa</v>
      </c>
    </row>
    <row r="205" spans="1:10">
      <c r="A205" s="5">
        <v>1749</v>
      </c>
      <c r="B205" s="13" t="s">
        <v>205</v>
      </c>
      <c r="C205" s="8" t="str">
        <f>VLOOKUP(B205,'[3]Sales Force'!$D:$E,2,0)</f>
        <v>Ahmed Mohamed Nasr</v>
      </c>
      <c r="D205" s="8" t="str">
        <f>VLOOKUP(B205,'[3]Sales Force'!$D:$J,7,0)</f>
        <v>MR</v>
      </c>
      <c r="E205" s="8">
        <f>VLOOKUP(C205,'[3]Sales Force'!$D:$O,12,0)</f>
        <v>1890</v>
      </c>
      <c r="F205" s="8">
        <f>VLOOKUP(B205,'[3]Sales Force'!$D:$L,9,0)</f>
        <v>1121141552</v>
      </c>
      <c r="G205" s="9">
        <f>VLOOKUP(B205,'[3]Sales Force'!$D:$M,10,0)</f>
        <v>45914</v>
      </c>
      <c r="H205" s="8" t="str">
        <f>VLOOKUP(B205,'[3]Sales Force'!$D:$H,5,0)</f>
        <v>Pumpizan Line</v>
      </c>
      <c r="I205" s="8"/>
      <c r="J205" s="8" t="str">
        <f>VLOOKUP(B205,'[3]Sales Force'!$D:$P,13,0)</f>
        <v>Faisal</v>
      </c>
    </row>
    <row r="206" spans="1:10">
      <c r="A206" s="5">
        <v>1633</v>
      </c>
      <c r="B206" s="13" t="s">
        <v>206</v>
      </c>
      <c r="C206" s="8" t="str">
        <f>VLOOKUP(B206,'[3]Sales Force'!$D:$E,2,0)</f>
        <v>Ahmed Mohamed Nasr</v>
      </c>
      <c r="D206" s="8" t="str">
        <f>VLOOKUP(B206,'[3]Sales Force'!$D:$J,7,0)</f>
        <v>MR</v>
      </c>
      <c r="E206" s="8">
        <f>VLOOKUP(C206,'[3]Sales Force'!$D:$O,12,0)</f>
        <v>1890</v>
      </c>
      <c r="F206" s="8">
        <f>VLOOKUP(B206,'[3]Sales Force'!$D:$L,9,0)</f>
        <v>1061486661</v>
      </c>
      <c r="G206" s="9">
        <f>VLOOKUP(B206,'[3]Sales Force'!$D:$M,10,0)</f>
        <v>45789</v>
      </c>
      <c r="H206" s="8" t="str">
        <f>VLOOKUP(B206,'[3]Sales Force'!$D:$H,5,0)</f>
        <v>Pumpizan Line</v>
      </c>
      <c r="I206" s="8"/>
      <c r="J206" s="8" t="str">
        <f>VLOOKUP(B206,'[3]Sales Force'!$D:$P,13,0)</f>
        <v>6th of October City</v>
      </c>
    </row>
    <row r="207" spans="1:10">
      <c r="A207" s="5">
        <v>1416</v>
      </c>
      <c r="B207" s="13" t="s">
        <v>207</v>
      </c>
      <c r="C207" s="8" t="str">
        <f>VLOOKUP(B207,'[3]Sales Force'!$D:$E,2,0)</f>
        <v>Ahmed Mohamed Nasr</v>
      </c>
      <c r="D207" s="8" t="str">
        <f>VLOOKUP(B207,'[3]Sales Force'!$D:$J,7,0)</f>
        <v>MR</v>
      </c>
      <c r="E207" s="8">
        <f>VLOOKUP(C207,'[3]Sales Force'!$D:$O,12,0)</f>
        <v>1890</v>
      </c>
      <c r="F207" s="8">
        <f>VLOOKUP(B207,'[3]Sales Force'!$D:$L,9,0)</f>
        <v>1155286453</v>
      </c>
      <c r="G207" s="9">
        <f>VLOOKUP(B207,'[3]Sales Force'!$D:$M,10,0)</f>
        <v>45505</v>
      </c>
      <c r="H207" s="8" t="str">
        <f>VLOOKUP(B207,'[3]Sales Force'!$D:$H,5,0)</f>
        <v>Pumpizan Line</v>
      </c>
      <c r="I207" s="8"/>
      <c r="J207" s="8" t="str">
        <f>VLOOKUP(B207,'[3]Sales Force'!$D:$P,13,0)</f>
        <v>Nahia</v>
      </c>
    </row>
    <row r="208" spans="1:10">
      <c r="A208" s="5">
        <v>1748</v>
      </c>
      <c r="B208" s="13" t="s">
        <v>208</v>
      </c>
      <c r="C208" s="8" t="str">
        <f>VLOOKUP(B208,'[3]Sales Force'!$D:$E,2,0)</f>
        <v>Ahmed Mohamed Nasr</v>
      </c>
      <c r="D208" s="8" t="str">
        <f>VLOOKUP(B208,'[3]Sales Force'!$D:$J,7,0)</f>
        <v>MR</v>
      </c>
      <c r="E208" s="8">
        <f>VLOOKUP(C208,'[3]Sales Force'!$D:$O,12,0)</f>
        <v>1890</v>
      </c>
      <c r="F208" s="8">
        <f>VLOOKUP(B208,'[3]Sales Force'!$D:$L,9,0)</f>
        <v>1096622287</v>
      </c>
      <c r="G208" s="9">
        <f>VLOOKUP(B208,'[3]Sales Force'!$D:$M,10,0)</f>
        <v>45910</v>
      </c>
      <c r="H208" s="8" t="str">
        <f>VLOOKUP(B208,'[3]Sales Force'!$D:$H,5,0)</f>
        <v>Pumpizan Line</v>
      </c>
      <c r="I208" s="8"/>
      <c r="J208" s="8" t="str">
        <f>VLOOKUP(B208,'[3]Sales Force'!$D:$P,13,0)</f>
        <v>Fayoum</v>
      </c>
    </row>
    <row r="209" spans="1:10">
      <c r="A209" s="5">
        <v>67</v>
      </c>
      <c r="B209" s="11" t="s">
        <v>209</v>
      </c>
      <c r="C209" s="8" t="str">
        <f>VLOOKUP(B209,'[3]Sales Force'!$D:$G,4,0)</f>
        <v>Ibrahim Ammar</v>
      </c>
      <c r="D209" s="8" t="str">
        <f>VLOOKUP(B209,'[3]Sales Force'!$D:$J,7,0)</f>
        <v>AM</v>
      </c>
      <c r="E209" s="8">
        <f>VLOOKUP(C209,'[3]Sales Force'!$D:$O,12,0)</f>
        <v>60</v>
      </c>
      <c r="F209" s="8" t="str">
        <f>VLOOKUP(B209,'[3]Sales Force'!$D:$L,9,0)</f>
        <v> 01013322100</v>
      </c>
      <c r="G209" s="9">
        <f>VLOOKUP(B209,'[3]Sales Force'!$D:$M,10,0)</f>
        <v>41064</v>
      </c>
      <c r="H209" s="8" t="str">
        <f>VLOOKUP(B209,'[3]Sales Force'!$D:$H,5,0)</f>
        <v>Fulprazal Line &amp; Pumpizan Line</v>
      </c>
      <c r="I209" s="8" t="str">
        <f>VLOOKUP(B209,'[3]Sales Force'!$D:$N,11,0)</f>
        <v>ahmed.samir@averroes-eg.com</v>
      </c>
      <c r="J209" s="8" t="str">
        <f>VLOOKUP(B209,'[3]Sales Force'!$D:$P,13,0)</f>
        <v>Fesha</v>
      </c>
    </row>
    <row r="210" spans="1:10">
      <c r="A210" s="5">
        <v>1305</v>
      </c>
      <c r="B210" s="12" t="s">
        <v>210</v>
      </c>
      <c r="C210" s="8" t="str">
        <f>VLOOKUP(B210,'[3]Sales Force'!$D:$F,3,0)</f>
        <v>Ahmed Samir Ibrahim</v>
      </c>
      <c r="D210" s="8" t="str">
        <f>VLOOKUP(B210,'[3]Sales Force'!$D:$J,7,0)</f>
        <v>DM</v>
      </c>
      <c r="E210" s="8">
        <f>VLOOKUP(C210,'[3]Sales Force'!$D:$O,12,0)</f>
        <v>67</v>
      </c>
      <c r="F210" s="8">
        <f>VLOOKUP(B210,'[3]Sales Force'!$D:$L,9,0)</f>
        <v>1145031677</v>
      </c>
      <c r="G210" s="9">
        <f>VLOOKUP(B210,'[3]Sales Force'!$D:$M,10,0)</f>
        <v>45263</v>
      </c>
      <c r="H210" s="8" t="str">
        <f>VLOOKUP(B210,'[3]Sales Force'!$D:$H,5,0)</f>
        <v>Fulprazal Line</v>
      </c>
      <c r="I210" s="8" t="str">
        <f>VLOOKUP(B210,'[3]Sales Force'!$D:$N,11,0)</f>
        <v>Ahmed.Ibrahim.AbdelAziz@averroes-eg.com</v>
      </c>
      <c r="J210" s="8" t="str">
        <f>VLOOKUP(B210,'[3]Sales Force'!$D:$P,13,0)</f>
        <v>El Ebrahemia</v>
      </c>
    </row>
    <row r="211" spans="1:10">
      <c r="A211" s="5">
        <v>1459</v>
      </c>
      <c r="B211" s="13" t="s">
        <v>211</v>
      </c>
      <c r="C211" s="8" t="str">
        <f>VLOOKUP(B211,'[3]Sales Force'!$D:$E,2,0)</f>
        <v>Ahmed Ibrahim AbdelAziz</v>
      </c>
      <c r="D211" s="8" t="str">
        <f>VLOOKUP(B211,'[3]Sales Force'!$D:$J,7,0)</f>
        <v>MR</v>
      </c>
      <c r="E211" s="8">
        <f>VLOOKUP(C211,'[3]Sales Force'!$D:$O,12,0)</f>
        <v>1305</v>
      </c>
      <c r="F211" s="8">
        <f>VLOOKUP(B211,'[3]Sales Force'!$D:$L,9,0)</f>
        <v>1278316472</v>
      </c>
      <c r="G211" s="9">
        <f>VLOOKUP(B211,'[3]Sales Force'!$D:$M,10,0)</f>
        <v>45600</v>
      </c>
      <c r="H211" s="8" t="str">
        <f>VLOOKUP(B211,'[3]Sales Force'!$D:$H,5,0)</f>
        <v>Fulprazal Line</v>
      </c>
      <c r="I211" s="8"/>
      <c r="J211" s="8" t="str">
        <f>VLOOKUP(B211,'[3]Sales Force'!$D:$P,13,0)</f>
        <v>El Zakazik City</v>
      </c>
    </row>
    <row r="212" spans="1:10">
      <c r="A212" s="5">
        <v>1393</v>
      </c>
      <c r="B212" s="13" t="s">
        <v>212</v>
      </c>
      <c r="C212" s="8" t="str">
        <f>VLOOKUP(B212,'[3]Sales Force'!$D:$E,2,0)</f>
        <v>Ahmed Ibrahim AbdelAziz</v>
      </c>
      <c r="D212" s="8" t="str">
        <f>VLOOKUP(B212,'[3]Sales Force'!$D:$J,7,0)</f>
        <v>MR</v>
      </c>
      <c r="E212" s="8">
        <f>VLOOKUP(C212,'[3]Sales Force'!$D:$O,12,0)</f>
        <v>1305</v>
      </c>
      <c r="F212" s="8">
        <f>VLOOKUP(B212,'[3]Sales Force'!$D:$L,9,0)</f>
        <v>1024592067</v>
      </c>
      <c r="G212" s="9">
        <f>VLOOKUP(B212,'[3]Sales Force'!$D:$M,10,0)</f>
        <v>45451</v>
      </c>
      <c r="H212" s="8" t="str">
        <f>VLOOKUP(B212,'[3]Sales Force'!$D:$H,5,0)</f>
        <v>Fulprazal Line</v>
      </c>
      <c r="I212" s="8"/>
      <c r="J212" s="8" t="str">
        <f>VLOOKUP(B212,'[3]Sales Force'!$D:$P,13,0)</f>
        <v>El Qenayat</v>
      </c>
    </row>
    <row r="213" spans="1:10">
      <c r="A213" s="5">
        <v>1844</v>
      </c>
      <c r="B213" s="14" t="s">
        <v>213</v>
      </c>
      <c r="C213" s="8" t="str">
        <f>VLOOKUP(B213,'[3]Sales Force'!$D:$E,2,0)</f>
        <v>Ahmed Ibrahim AbdelAziz</v>
      </c>
      <c r="D213" s="8" t="str">
        <f>VLOOKUP(B213,'[3]Sales Force'!$D:$J,7,0)</f>
        <v>MR</v>
      </c>
      <c r="E213" s="8">
        <f>VLOOKUP(C213,'[3]Sales Force'!$D:$O,12,0)</f>
        <v>1305</v>
      </c>
      <c r="F213" s="8">
        <f>VLOOKUP(B213,'[3]Sales Force'!$D:$L,9,0)</f>
        <v>1061540283</v>
      </c>
      <c r="G213" s="9">
        <f>VLOOKUP(B213,'[3]Sales Force'!$D:$M,10,0)</f>
        <v>46054</v>
      </c>
      <c r="H213" s="8" t="str">
        <f>VLOOKUP(B213,'[3]Sales Force'!$D:$H,5,0)</f>
        <v>Fulprazal Line</v>
      </c>
      <c r="I213" s="8"/>
      <c r="J213" s="8" t="str">
        <f>VLOOKUP(B213,'[3]Sales Force'!$D:$P,13,0)</f>
        <v>Banha - Atreeb</v>
      </c>
    </row>
    <row r="214" spans="1:10">
      <c r="A214" s="5">
        <v>1889</v>
      </c>
      <c r="B214" s="14" t="s">
        <v>626</v>
      </c>
      <c r="C214" s="8" t="str">
        <f>VLOOKUP(B214,'[3]Sales Force'!$D:$E,2,0)</f>
        <v>Ahmed Ibrahim AbdelAziz</v>
      </c>
      <c r="D214" s="8" t="str">
        <f>VLOOKUP(B214,'[3]Sales Force'!$D:$J,7,0)</f>
        <v>MR</v>
      </c>
      <c r="E214" s="8">
        <f>VLOOKUP(C214,'[3]Sales Force'!$D:$O,12,0)</f>
        <v>1305</v>
      </c>
      <c r="F214" s="8">
        <f>VLOOKUP(B214,'[3]Sales Force'!$D:$L,9,0)</f>
        <v>1205228758</v>
      </c>
      <c r="G214" s="9">
        <f>VLOOKUP(B214,'[3]Sales Force'!$D:$M,10,0)</f>
        <v>46082</v>
      </c>
      <c r="H214" s="8" t="str">
        <f>VLOOKUP(B214,'[3]Sales Force'!$D:$H,5,0)</f>
        <v>Fulprazal Line</v>
      </c>
      <c r="I214" s="8"/>
      <c r="J214" s="8" t="str">
        <f>VLOOKUP(B214,'[3]Sales Force'!$D:$P,13,0)</f>
        <v>El Zakazik City</v>
      </c>
    </row>
    <row r="215" spans="1:10">
      <c r="A215" s="5">
        <v>1129</v>
      </c>
      <c r="B215" s="13" t="s">
        <v>214</v>
      </c>
      <c r="C215" s="8" t="str">
        <f>VLOOKUP(B215,'[3]Sales Force'!$D:$E,2,0)</f>
        <v>Ahmed Ibrahim AbdelAziz</v>
      </c>
      <c r="D215" s="8" t="str">
        <f>VLOOKUP(B215,'[3]Sales Force'!$D:$J,7,0)</f>
        <v>MR</v>
      </c>
      <c r="E215" s="8">
        <f>VLOOKUP(C215,'[3]Sales Force'!$D:$O,12,0)</f>
        <v>1305</v>
      </c>
      <c r="F215" s="8">
        <f>VLOOKUP(B215,'[3]Sales Force'!$D:$L,9,0)</f>
        <v>1006455230</v>
      </c>
      <c r="G215" s="9">
        <f>VLOOKUP(B215,'[3]Sales Force'!$D:$M,10,0)</f>
        <v>44961</v>
      </c>
      <c r="H215" s="8" t="str">
        <f>VLOOKUP(B215,'[3]Sales Force'!$D:$H,5,0)</f>
        <v>Fulprazal Line</v>
      </c>
      <c r="I215" s="8"/>
      <c r="J215" s="8" t="str">
        <f>VLOOKUP(B215,'[3]Sales Force'!$D:$P,13,0)</f>
        <v>Fakoos</v>
      </c>
    </row>
    <row r="216" spans="1:10">
      <c r="A216" s="5">
        <v>1550</v>
      </c>
      <c r="B216" s="13" t="s">
        <v>215</v>
      </c>
      <c r="C216" s="8" t="str">
        <f>VLOOKUP(B216,'[3]Sales Force'!$D:$E,2,0)</f>
        <v>Ahmed Ibrahim AbdelAziz</v>
      </c>
      <c r="D216" s="8" t="str">
        <f>VLOOKUP(B216,'[3]Sales Force'!$D:$J,7,0)</f>
        <v>MR</v>
      </c>
      <c r="E216" s="8">
        <f>VLOOKUP(C216,'[3]Sales Force'!$D:$O,12,0)</f>
        <v>1305</v>
      </c>
      <c r="F216" s="8">
        <f>VLOOKUP(B216,'[3]Sales Force'!$D:$L,9,0)</f>
        <v>1000548149</v>
      </c>
      <c r="G216" s="9">
        <f>VLOOKUP(B216,'[3]Sales Force'!$D:$M,10,0)</f>
        <v>45710</v>
      </c>
      <c r="H216" s="8" t="str">
        <f>VLOOKUP(B216,'[3]Sales Force'!$D:$H,5,0)</f>
        <v>Fulprazal Line</v>
      </c>
      <c r="I216" s="8"/>
      <c r="J216" s="8" t="str">
        <f>VLOOKUP(B216,'[3]Sales Force'!$D:$P,13,0)</f>
        <v>Abo Hammad </v>
      </c>
    </row>
    <row r="217" spans="1:10">
      <c r="A217" s="5">
        <v>1887</v>
      </c>
      <c r="B217" s="14" t="s">
        <v>627</v>
      </c>
      <c r="C217" s="8" t="str">
        <f>VLOOKUP(B217,'[3]Sales Force'!$D:$E,2,0)</f>
        <v>Ahmed Ibrahim AbdelAziz</v>
      </c>
      <c r="D217" s="8" t="str">
        <f>VLOOKUP(B217,'[3]Sales Force'!$D:$J,7,0)</f>
        <v>MR</v>
      </c>
      <c r="E217" s="8">
        <f>VLOOKUP(C217,'[3]Sales Force'!$D:$O,12,0)</f>
        <v>1305</v>
      </c>
      <c r="F217" s="8">
        <f>VLOOKUP(B217,'[3]Sales Force'!$D:$L,9,0)</f>
        <v>1065614765</v>
      </c>
      <c r="G217" s="9">
        <f>VLOOKUP(B217,'[3]Sales Force'!$D:$M,10,0)</f>
        <v>46082</v>
      </c>
      <c r="H217" s="8" t="str">
        <f>VLOOKUP(B217,'[3]Sales Force'!$D:$H,5,0)</f>
        <v>Fulprazal Line</v>
      </c>
      <c r="I217" s="8"/>
      <c r="J217" s="8" t="str">
        <f>VLOOKUP(B217,'[3]Sales Force'!$D:$P,13,0)</f>
        <v>Shebien El Kanater</v>
      </c>
    </row>
    <row r="218" spans="1:10">
      <c r="A218" s="5">
        <v>1920</v>
      </c>
      <c r="B218" s="15" t="s">
        <v>628</v>
      </c>
      <c r="C218" s="8" t="str">
        <f>VLOOKUP(B218,'[3]Sales Force'!$D:$F,3,0)</f>
        <v>Ahmed Samir Ibrahim</v>
      </c>
      <c r="D218" s="8" t="str">
        <f>VLOOKUP(B218,'[3]Sales Force'!$D:$J,7,0)</f>
        <v>DM</v>
      </c>
      <c r="E218" s="8">
        <f>VLOOKUP(C218,'[3]Sales Force'!$D:$O,12,0)</f>
        <v>67</v>
      </c>
      <c r="F218" s="8">
        <f>VLOOKUP(B218,'[3]Sales Force'!$D:$L,9,0)</f>
        <v>1069836386</v>
      </c>
      <c r="G218" s="9">
        <f>VLOOKUP(B218,'[3]Sales Force'!$D:$M,10,0)</f>
        <v>46113</v>
      </c>
      <c r="H218" s="8" t="str">
        <f>VLOOKUP(B218,'[3]Sales Force'!$D:$H,5,0)</f>
        <v>Fulprazal Line</v>
      </c>
      <c r="I218" s="8" t="str">
        <f>VLOOKUP(B218,'[3]Sales Force'!$D:$N,11,0)</f>
        <v>Asmaa.Morgan.Elsayed@averroes-eg.com</v>
      </c>
      <c r="J218" s="8" t="str">
        <f>VLOOKUP(B218,'[3]Sales Force'!$D:$P,13,0)</f>
        <v>El Mansoura</v>
      </c>
    </row>
    <row r="219" spans="1:10">
      <c r="A219" s="5">
        <v>1900</v>
      </c>
      <c r="B219" s="14" t="s">
        <v>629</v>
      </c>
      <c r="C219" s="8" t="str">
        <f>VLOOKUP(B219,'[3]Sales Force'!$D:$E,2,0)</f>
        <v>Asmaa Morgan Elsayed Mahmoud</v>
      </c>
      <c r="D219" s="8" t="str">
        <f>VLOOKUP(B219,'[3]Sales Force'!$D:$J,7,0)</f>
        <v>MR</v>
      </c>
      <c r="E219" s="8">
        <f>VLOOKUP(C219,'[3]Sales Force'!$D:$O,12,0)</f>
        <v>1920</v>
      </c>
      <c r="F219" s="8">
        <f>VLOOKUP(B219,'[3]Sales Force'!$D:$L,9,0)</f>
        <v>1018530648</v>
      </c>
      <c r="G219" s="9">
        <f>VLOOKUP(B219,'[3]Sales Force'!$D:$M,10,0)</f>
        <v>46082</v>
      </c>
      <c r="H219" s="8" t="str">
        <f>VLOOKUP(B219,'[3]Sales Force'!$D:$H,5,0)</f>
        <v>Fulprazal Line</v>
      </c>
      <c r="I219" s="8"/>
      <c r="J219" s="8" t="str">
        <f>VLOOKUP(B219,'[3]Sales Force'!$D:$P,13,0)</f>
        <v>Talkha</v>
      </c>
    </row>
    <row r="220" spans="1:10">
      <c r="A220" s="5">
        <v>1884</v>
      </c>
      <c r="B220" s="14" t="s">
        <v>630</v>
      </c>
      <c r="C220" s="8" t="str">
        <f>VLOOKUP(B220,'[3]Sales Force'!$D:$E,2,0)</f>
        <v>Asmaa Morgan Elsayed Mahmoud</v>
      </c>
      <c r="D220" s="8" t="str">
        <f>VLOOKUP(B220,'[3]Sales Force'!$D:$J,7,0)</f>
        <v>MR</v>
      </c>
      <c r="E220" s="8">
        <f>VLOOKUP(C220,'[3]Sales Force'!$D:$O,12,0)</f>
        <v>1920</v>
      </c>
      <c r="F220" s="8">
        <f>VLOOKUP(B220,'[3]Sales Force'!$D:$L,9,0)</f>
        <v>1229300759</v>
      </c>
      <c r="G220" s="9">
        <f>VLOOKUP(B220,'[3]Sales Force'!$D:$M,10,0)</f>
        <v>46083</v>
      </c>
      <c r="H220" s="8" t="str">
        <f>VLOOKUP(B220,'[3]Sales Force'!$D:$H,5,0)</f>
        <v>Fulprazal Line</v>
      </c>
      <c r="I220" s="8"/>
      <c r="J220" s="8" t="str">
        <f>VLOOKUP(B220,'[3]Sales Force'!$D:$P,13,0)</f>
        <v>Sherbeen</v>
      </c>
    </row>
    <row r="221" spans="1:10">
      <c r="A221" s="5">
        <v>1933</v>
      </c>
      <c r="B221" s="14" t="s">
        <v>631</v>
      </c>
      <c r="C221" s="8" t="str">
        <f>VLOOKUP(B221,'[3]Sales Force'!$D:$E,2,0)</f>
        <v>Asmaa Morgan Elsayed Mahmoud</v>
      </c>
      <c r="D221" s="8" t="str">
        <f>VLOOKUP(B221,'[3]Sales Force'!$D:$J,7,0)</f>
        <v>MR</v>
      </c>
      <c r="E221" s="8">
        <f>VLOOKUP(C221,'[3]Sales Force'!$D:$O,12,0)</f>
        <v>1920</v>
      </c>
      <c r="F221" s="8">
        <f>VLOOKUP(B221,'[3]Sales Force'!$D:$L,9,0)</f>
        <v>1101307959</v>
      </c>
      <c r="G221" s="9">
        <f>VLOOKUP(B221,'[3]Sales Force'!$D:$M,10,0)</f>
        <v>46123</v>
      </c>
      <c r="H221" s="8" t="str">
        <f>VLOOKUP(B221,'[3]Sales Force'!$D:$H,5,0)</f>
        <v>Fulprazal Line</v>
      </c>
      <c r="I221" s="8"/>
      <c r="J221" s="8" t="str">
        <f>VLOOKUP(B221,'[3]Sales Force'!$D:$P,13,0)</f>
        <v>El Zorka</v>
      </c>
    </row>
    <row r="222" spans="1:10">
      <c r="A222" s="5">
        <v>1630</v>
      </c>
      <c r="B222" s="13" t="s">
        <v>216</v>
      </c>
      <c r="C222" s="8" t="str">
        <f>VLOOKUP(B222,'[3]Sales Force'!$D:$E,2,0)</f>
        <v>Asmaa Morgan Elsayed Mahmoud</v>
      </c>
      <c r="D222" s="8" t="str">
        <f>VLOOKUP(B222,'[3]Sales Force'!$D:$J,7,0)</f>
        <v>MR</v>
      </c>
      <c r="E222" s="8">
        <f>VLOOKUP(C222,'[3]Sales Force'!$D:$O,12,0)</f>
        <v>1920</v>
      </c>
      <c r="F222" s="8">
        <f>VLOOKUP(B222,'[3]Sales Force'!$D:$L,9,0)</f>
        <v>1091310427</v>
      </c>
      <c r="G222" s="9">
        <f>VLOOKUP(B222,'[3]Sales Force'!$D:$M,10,0)</f>
        <v>45787</v>
      </c>
      <c r="H222" s="8" t="str">
        <f>VLOOKUP(B222,'[3]Sales Force'!$D:$H,5,0)</f>
        <v>Fulprazal Line</v>
      </c>
      <c r="I222" s="8"/>
      <c r="J222" s="8" t="str">
        <f>VLOOKUP(B222,'[3]Sales Force'!$D:$P,13,0)</f>
        <v>Talkha</v>
      </c>
    </row>
    <row r="223" spans="1:10">
      <c r="A223" s="5">
        <v>1505</v>
      </c>
      <c r="B223" s="13" t="s">
        <v>217</v>
      </c>
      <c r="C223" s="8" t="str">
        <f>VLOOKUP(B223,'[3]Sales Force'!$D:$E,2,0)</f>
        <v>Asmaa Morgan Elsayed Mahmoud</v>
      </c>
      <c r="D223" s="8" t="str">
        <f>VLOOKUP(B223,'[3]Sales Force'!$D:$J,7,0)</f>
        <v>MR</v>
      </c>
      <c r="E223" s="8">
        <f>VLOOKUP(C223,'[3]Sales Force'!$D:$O,12,0)</f>
        <v>1920</v>
      </c>
      <c r="F223" s="8">
        <f>VLOOKUP(B223,'[3]Sales Force'!$D:$L,9,0)</f>
        <v>1094931576</v>
      </c>
      <c r="G223" s="9">
        <f>VLOOKUP(B223,'[3]Sales Force'!$D:$M,10,0)</f>
        <v>45675</v>
      </c>
      <c r="H223" s="8" t="str">
        <f>VLOOKUP(B223,'[3]Sales Force'!$D:$H,5,0)</f>
        <v>Fulprazal Line</v>
      </c>
      <c r="I223" s="8"/>
      <c r="J223" s="8" t="str">
        <f>VLOOKUP(B223,'[3]Sales Force'!$D:$P,13,0)</f>
        <v>Meet Ghamr</v>
      </c>
    </row>
    <row r="224" spans="1:10">
      <c r="A224" s="5">
        <v>1553</v>
      </c>
      <c r="B224" s="13" t="s">
        <v>219</v>
      </c>
      <c r="C224" s="8" t="str">
        <f>VLOOKUP(B224,'[3]Sales Force'!$D:$E,2,0)</f>
        <v>Asmaa Morgan Elsayed Mahmoud</v>
      </c>
      <c r="D224" s="8" t="str">
        <f>VLOOKUP(B224,'[3]Sales Force'!$D:$J,7,0)</f>
        <v>MR</v>
      </c>
      <c r="E224" s="8">
        <f>VLOOKUP(C224,'[3]Sales Force'!$D:$O,12,0)</f>
        <v>1920</v>
      </c>
      <c r="F224" s="8">
        <f>VLOOKUP(B224,'[3]Sales Force'!$D:$L,9,0)</f>
        <v>1024032081</v>
      </c>
      <c r="G224" s="9">
        <f>VLOOKUP(B224,'[3]Sales Force'!$D:$M,10,0)</f>
        <v>45710</v>
      </c>
      <c r="H224" s="8" t="str">
        <f>VLOOKUP(B224,'[3]Sales Force'!$D:$H,5,0)</f>
        <v>Fulprazal Line</v>
      </c>
      <c r="I224" s="8"/>
      <c r="J224" s="8" t="str">
        <f>VLOOKUP(B224,'[3]Sales Force'!$D:$P,13,0)</f>
        <v>Port Saed</v>
      </c>
    </row>
    <row r="225" spans="1:10">
      <c r="A225" s="5">
        <v>1907</v>
      </c>
      <c r="B225" s="14" t="s">
        <v>632</v>
      </c>
      <c r="C225" s="8" t="str">
        <f>VLOOKUP(B225,'[3]Sales Force'!$D:$E,2,0)</f>
        <v>L3_Vacant_Dakahlia &amp; Domiat &amp; Port Said</v>
      </c>
      <c r="D225" s="8" t="str">
        <f>VLOOKUP(B225,'[3]Sales Force'!$D:$J,7,0)</f>
        <v>MR</v>
      </c>
      <c r="E225" s="8">
        <f>VLOOKUP(C225,'[3]Sales Force'!$D:$O,12,0)</f>
        <v>0</v>
      </c>
      <c r="F225" s="8">
        <f>VLOOKUP(B225,'[3]Sales Force'!$D:$L,9,0)</f>
        <v>1027093314</v>
      </c>
      <c r="G225" s="9">
        <f>VLOOKUP(B225,'[3]Sales Force'!$D:$M,10,0)</f>
        <v>46088</v>
      </c>
      <c r="H225" s="8" t="str">
        <f>VLOOKUP(B225,'[3]Sales Force'!$D:$H,5,0)</f>
        <v>Pumpizan Line</v>
      </c>
      <c r="I225" s="8"/>
      <c r="J225" s="8" t="str">
        <f>VLOOKUP(B225,'[3]Sales Force'!$D:$P,13,0)</f>
        <v>Meet Ghamr</v>
      </c>
    </row>
    <row r="226" spans="1:10">
      <c r="A226" s="5">
        <v>1908</v>
      </c>
      <c r="B226" s="14" t="s">
        <v>633</v>
      </c>
      <c r="C226" s="8" t="str">
        <f>VLOOKUP(B226,'[3]Sales Force'!$D:$E,2,0)</f>
        <v>L3_Vacant_Dakahlia &amp; Domiat &amp; Port Said</v>
      </c>
      <c r="D226" s="8" t="str">
        <f>VLOOKUP(B226,'[3]Sales Force'!$D:$J,7,0)</f>
        <v>MR</v>
      </c>
      <c r="E226" s="8">
        <f>VLOOKUP(C226,'[3]Sales Force'!$D:$O,12,0)</f>
        <v>0</v>
      </c>
      <c r="F226" s="8">
        <f>VLOOKUP(B226,'[3]Sales Force'!$D:$L,9,0)</f>
        <v>1066463528</v>
      </c>
      <c r="G226" s="9">
        <f>VLOOKUP(B226,'[3]Sales Force'!$D:$M,10,0)</f>
        <v>46082</v>
      </c>
      <c r="H226" s="8" t="str">
        <f>VLOOKUP(B226,'[3]Sales Force'!$D:$H,5,0)</f>
        <v>Pumpizan Line</v>
      </c>
      <c r="I226" s="8"/>
      <c r="J226" s="8" t="str">
        <f>VLOOKUP(B226,'[3]Sales Force'!$D:$P,13,0)</f>
        <v>Port Saed</v>
      </c>
    </row>
    <row r="227" spans="1:10">
      <c r="A227" s="5">
        <v>1620</v>
      </c>
      <c r="B227" s="13" t="s">
        <v>220</v>
      </c>
      <c r="C227" s="8" t="str">
        <f>VLOOKUP(B227,'[3]Sales Force'!$D:$E,2,0)</f>
        <v>L3_Vacant_Dakahlia &amp; Domiat &amp; Port Said</v>
      </c>
      <c r="D227" s="8" t="str">
        <f>VLOOKUP(B227,'[3]Sales Force'!$D:$J,7,0)</f>
        <v>MR</v>
      </c>
      <c r="E227" s="8">
        <f>VLOOKUP(C227,'[3]Sales Force'!$D:$O,12,0)</f>
        <v>0</v>
      </c>
      <c r="F227" s="8">
        <f>VLOOKUP(B227,'[3]Sales Force'!$D:$L,9,0)</f>
        <v>1065477179</v>
      </c>
      <c r="G227" s="9">
        <f>VLOOKUP(B227,'[3]Sales Force'!$D:$M,10,0)</f>
        <v>45773</v>
      </c>
      <c r="H227" s="8" t="str">
        <f>VLOOKUP(B227,'[3]Sales Force'!$D:$H,5,0)</f>
        <v>Pumpizan Line</v>
      </c>
      <c r="I227" s="8"/>
      <c r="J227" s="8" t="str">
        <f>VLOOKUP(B227,'[3]Sales Force'!$D:$P,13,0)</f>
        <v>Domiat</v>
      </c>
    </row>
    <row r="228" spans="1:10">
      <c r="A228" s="5">
        <v>1353</v>
      </c>
      <c r="B228" s="13" t="s">
        <v>221</v>
      </c>
      <c r="C228" s="8" t="str">
        <f>VLOOKUP(B228,'[3]Sales Force'!$D:$E,2,0)</f>
        <v>L3_Vacant_Dakahlia &amp; Domiat &amp; Port Said</v>
      </c>
      <c r="D228" s="8" t="str">
        <f>VLOOKUP(B228,'[3]Sales Force'!$D:$J,7,0)</f>
        <v>MR</v>
      </c>
      <c r="E228" s="8">
        <f>VLOOKUP(C228,'[3]Sales Force'!$D:$O,12,0)</f>
        <v>0</v>
      </c>
      <c r="F228" s="8">
        <f>VLOOKUP(B228,'[3]Sales Force'!$D:$L,9,0)</f>
        <v>1099063152</v>
      </c>
      <c r="G228" s="9">
        <f>VLOOKUP(B228,'[3]Sales Force'!$D:$M,10,0)</f>
        <v>45419</v>
      </c>
      <c r="H228" s="8" t="str">
        <f>VLOOKUP(B228,'[3]Sales Force'!$D:$H,5,0)</f>
        <v>Pumpizan Line</v>
      </c>
      <c r="I228" s="8"/>
      <c r="J228" s="8" t="str">
        <f>VLOOKUP(B228,'[3]Sales Force'!$D:$P,13,0)</f>
        <v>El Senbelaween</v>
      </c>
    </row>
    <row r="229" spans="1:10">
      <c r="A229" s="5">
        <v>1833</v>
      </c>
      <c r="B229" s="13" t="s">
        <v>222</v>
      </c>
      <c r="C229" s="8" t="str">
        <f>VLOOKUP(B229,'[3]Sales Force'!$D:$E,2,0)</f>
        <v>L3_Vacant_Dakahlia &amp; Domiat &amp; Port Said</v>
      </c>
      <c r="D229" s="8" t="str">
        <f>VLOOKUP(B229,'[3]Sales Force'!$D:$J,7,0)</f>
        <v>MR</v>
      </c>
      <c r="E229" s="8">
        <f>VLOOKUP(C229,'[3]Sales Force'!$D:$O,12,0)</f>
        <v>0</v>
      </c>
      <c r="F229" s="8">
        <f>VLOOKUP(B229,'[3]Sales Force'!$D:$L,9,0)</f>
        <v>1553939282</v>
      </c>
      <c r="G229" s="9">
        <f>VLOOKUP(B229,'[3]Sales Force'!$D:$M,10,0)</f>
        <v>46037</v>
      </c>
      <c r="H229" s="8" t="str">
        <f>VLOOKUP(B229,'[3]Sales Force'!$D:$H,5,0)</f>
        <v>Pumpizan Line</v>
      </c>
      <c r="I229" s="8"/>
      <c r="J229" s="8" t="str">
        <f>VLOOKUP(B229,'[3]Sales Force'!$D:$P,13,0)</f>
        <v>El Mansoura</v>
      </c>
    </row>
    <row r="230" spans="1:10">
      <c r="A230" s="5">
        <v>1427</v>
      </c>
      <c r="B230" s="13" t="s">
        <v>223</v>
      </c>
      <c r="C230" s="8" t="str">
        <f>VLOOKUP(B230,'[3]Sales Force'!$D:$E,2,0)</f>
        <v>L3_Vacant_Dakahlia &amp; Domiat &amp; Port Said</v>
      </c>
      <c r="D230" s="8" t="str">
        <f>VLOOKUP(B230,'[3]Sales Force'!$D:$J,7,0)</f>
        <v>MR</v>
      </c>
      <c r="E230" s="8">
        <f>VLOOKUP(C230,'[3]Sales Force'!$D:$O,12,0)</f>
        <v>0</v>
      </c>
      <c r="F230" s="8">
        <f>VLOOKUP(B230,'[3]Sales Force'!$D:$L,9,0)</f>
        <v>1064761490</v>
      </c>
      <c r="G230" s="9">
        <f>VLOOKUP(B230,'[3]Sales Force'!$D:$M,10,0)</f>
        <v>45508</v>
      </c>
      <c r="H230" s="8" t="str">
        <f>VLOOKUP(B230,'[3]Sales Force'!$D:$H,5,0)</f>
        <v>Pumpizan Line</v>
      </c>
      <c r="I230" s="8"/>
      <c r="J230" s="8" t="str">
        <f>VLOOKUP(B230,'[3]Sales Force'!$D:$P,13,0)</f>
        <v>Dekernes</v>
      </c>
    </row>
    <row r="231" spans="1:10">
      <c r="A231" s="5">
        <v>1822</v>
      </c>
      <c r="B231" s="13" t="s">
        <v>224</v>
      </c>
      <c r="C231" s="8" t="str">
        <f>VLOOKUP(B231,'[3]Sales Force'!$D:$E,2,0)</f>
        <v>L3_Vacant_Dakahlia &amp; Domiat &amp; Port Said</v>
      </c>
      <c r="D231" s="8" t="str">
        <f>VLOOKUP(B231,'[3]Sales Force'!$D:$J,7,0)</f>
        <v>MR</v>
      </c>
      <c r="E231" s="8">
        <f>VLOOKUP(C231,'[3]Sales Force'!$D:$O,12,0)</f>
        <v>0</v>
      </c>
      <c r="F231" s="8">
        <f>VLOOKUP(B231,'[3]Sales Force'!$D:$L,9,0)</f>
        <v>1010699146</v>
      </c>
      <c r="G231" s="9">
        <f>VLOOKUP(B231,'[3]Sales Force'!$D:$M,10,0)</f>
        <v>46023</v>
      </c>
      <c r="H231" s="8" t="str">
        <f>VLOOKUP(B231,'[3]Sales Force'!$D:$H,5,0)</f>
        <v>Pumpizan Line</v>
      </c>
      <c r="I231" s="8"/>
      <c r="J231" s="8" t="str">
        <f>VLOOKUP(B231,'[3]Sales Force'!$D:$P,13,0)</f>
        <v>Belkas</v>
      </c>
    </row>
    <row r="232" spans="1:10">
      <c r="A232" s="5">
        <v>336</v>
      </c>
      <c r="B232" s="13" t="s">
        <v>225</v>
      </c>
      <c r="C232" s="8" t="str">
        <f>VLOOKUP(B232,'[3]Sales Force'!$D:$E,2,0)</f>
        <v>L3_Vacant_Sharkia &amp; Qaluibia</v>
      </c>
      <c r="D232" s="8" t="str">
        <f>VLOOKUP(B232,'[3]Sales Force'!$D:$J,7,0)</f>
        <v>MR</v>
      </c>
      <c r="E232" s="8">
        <f>VLOOKUP(C232,'[3]Sales Force'!$D:$O,12,0)</f>
        <v>0</v>
      </c>
      <c r="F232" s="8" t="str">
        <f>VLOOKUP(B232,'[3]Sales Force'!$D:$L,9,0)</f>
        <v> 01092023642</v>
      </c>
      <c r="G232" s="9">
        <f>VLOOKUP(B232,'[3]Sales Force'!$D:$M,10,0)</f>
        <v>43160</v>
      </c>
      <c r="H232" s="8" t="str">
        <f>VLOOKUP(B232,'[3]Sales Force'!$D:$H,5,0)</f>
        <v>Pumpizan Line</v>
      </c>
      <c r="I232" s="8"/>
      <c r="J232" s="8" t="str">
        <f>VLOOKUP(B232,'[3]Sales Force'!$D:$P,13,0)</f>
        <v>Fakoos</v>
      </c>
    </row>
    <row r="233" spans="1:10">
      <c r="A233" s="5">
        <v>487</v>
      </c>
      <c r="B233" s="13" t="s">
        <v>226</v>
      </c>
      <c r="C233" s="8" t="str">
        <f>VLOOKUP(B233,'[3]Sales Force'!$D:$E,2,0)</f>
        <v>L3_Vacant_Sharkia &amp; Qaluibia</v>
      </c>
      <c r="D233" s="8" t="str">
        <f>VLOOKUP(B233,'[3]Sales Force'!$D:$J,7,0)</f>
        <v>MR</v>
      </c>
      <c r="E233" s="8">
        <f>VLOOKUP(C233,'[3]Sales Force'!$D:$O,12,0)</f>
        <v>0</v>
      </c>
      <c r="F233" s="8">
        <f>VLOOKUP(B233,'[3]Sales Force'!$D:$L,9,0)</f>
        <v>1553010651</v>
      </c>
      <c r="G233" s="9">
        <f>VLOOKUP(B233,'[3]Sales Force'!$D:$M,10,0)</f>
        <v>43770</v>
      </c>
      <c r="H233" s="8" t="str">
        <f>VLOOKUP(B233,'[3]Sales Force'!$D:$H,5,0)</f>
        <v>Pumpizan Line</v>
      </c>
      <c r="I233" s="8"/>
      <c r="J233" s="8" t="str">
        <f>VLOOKUP(B233,'[3]Sales Force'!$D:$P,13,0)</f>
        <v>El Zakazik City</v>
      </c>
    </row>
    <row r="234" spans="1:10">
      <c r="A234" s="5">
        <v>1845</v>
      </c>
      <c r="B234" s="14" t="s">
        <v>227</v>
      </c>
      <c r="C234" s="8" t="str">
        <f>VLOOKUP(B234,'[3]Sales Force'!$D:$E,2,0)</f>
        <v>L3_Vacant_Sharkia &amp; Qaluibia</v>
      </c>
      <c r="D234" s="8" t="str">
        <f>VLOOKUP(B234,'[3]Sales Force'!$D:$J,7,0)</f>
        <v>MR</v>
      </c>
      <c r="E234" s="8">
        <f>VLOOKUP(C234,'[3]Sales Force'!$D:$O,12,0)</f>
        <v>0</v>
      </c>
      <c r="F234" s="8">
        <f>VLOOKUP(B234,'[3]Sales Force'!$D:$L,9,0)</f>
        <v>1221382723</v>
      </c>
      <c r="G234" s="9">
        <f>VLOOKUP(B234,'[3]Sales Force'!$D:$M,10,0)</f>
        <v>46054</v>
      </c>
      <c r="H234" s="8" t="str">
        <f>VLOOKUP(B234,'[3]Sales Force'!$D:$H,5,0)</f>
        <v>Pumpizan Line</v>
      </c>
      <c r="I234" s="8"/>
      <c r="J234" s="8" t="str">
        <f>VLOOKUP(B234,'[3]Sales Force'!$D:$P,13,0)</f>
        <v>10 th Ramadan</v>
      </c>
    </row>
    <row r="235" spans="1:10">
      <c r="A235" s="5">
        <v>1412</v>
      </c>
      <c r="B235" s="13" t="s">
        <v>228</v>
      </c>
      <c r="C235" s="8" t="str">
        <f>VLOOKUP(B235,'[3]Sales Force'!$D:$E,2,0)</f>
        <v>L3_Vacant_Sharkia &amp; Qaluibia</v>
      </c>
      <c r="D235" s="8" t="str">
        <f>VLOOKUP(B235,'[3]Sales Force'!$D:$J,7,0)</f>
        <v>MR</v>
      </c>
      <c r="E235" s="8">
        <f>VLOOKUP(C235,'[3]Sales Force'!$D:$O,12,0)</f>
        <v>0</v>
      </c>
      <c r="F235" s="8">
        <f>VLOOKUP(B235,'[3]Sales Force'!$D:$L,9,0)</f>
        <v>1553034097</v>
      </c>
      <c r="G235" s="9">
        <f>VLOOKUP(B235,'[3]Sales Force'!$D:$M,10,0)</f>
        <v>45505</v>
      </c>
      <c r="H235" s="8" t="str">
        <f>VLOOKUP(B235,'[3]Sales Force'!$D:$H,5,0)</f>
        <v>Pumpizan Line</v>
      </c>
      <c r="I235" s="8"/>
      <c r="J235" s="8" t="str">
        <f>VLOOKUP(B235,'[3]Sales Force'!$D:$P,13,0)</f>
        <v>Banha - Atreeb</v>
      </c>
    </row>
    <row r="236" spans="1:10">
      <c r="A236" s="5">
        <v>1782</v>
      </c>
      <c r="B236" s="13" t="s">
        <v>230</v>
      </c>
      <c r="C236" s="8" t="str">
        <f>VLOOKUP(B236,'[3]Sales Force'!$D:$E,2,0)</f>
        <v>L3_Vacant_Sharkia &amp; Qaluibia</v>
      </c>
      <c r="D236" s="8" t="str">
        <f>VLOOKUP(B236,'[3]Sales Force'!$D:$J,7,0)</f>
        <v>MR</v>
      </c>
      <c r="E236" s="8">
        <f>VLOOKUP(C236,'[3]Sales Force'!$D:$O,12,0)</f>
        <v>0</v>
      </c>
      <c r="F236" s="8">
        <f>VLOOKUP(B236,'[3]Sales Force'!$D:$L,9,0)</f>
        <v>1033834028</v>
      </c>
      <c r="G236" s="9">
        <f>VLOOKUP(B236,'[3]Sales Force'!$D:$M,10,0)</f>
        <v>45963</v>
      </c>
      <c r="H236" s="8" t="str">
        <f>VLOOKUP(B236,'[3]Sales Force'!$D:$H,5,0)</f>
        <v>Pumpizan Line</v>
      </c>
      <c r="I236" s="8"/>
      <c r="J236" s="8" t="str">
        <f>VLOOKUP(B236,'[3]Sales Force'!$D:$P,13,0)</f>
        <v>El Zakazik City</v>
      </c>
    </row>
    <row r="237" spans="1:10">
      <c r="A237" s="5">
        <v>1394</v>
      </c>
      <c r="B237" s="13" t="s">
        <v>231</v>
      </c>
      <c r="C237" s="8" t="str">
        <f>VLOOKUP(B237,'[3]Sales Force'!$D:$E,2,0)</f>
        <v>L3_Vacant_Sharkia &amp; Qaluibia</v>
      </c>
      <c r="D237" s="8" t="str">
        <f>VLOOKUP(B237,'[3]Sales Force'!$D:$J,7,0)</f>
        <v>MR</v>
      </c>
      <c r="E237" s="8">
        <f>VLOOKUP(C237,'[3]Sales Force'!$D:$O,12,0)</f>
        <v>0</v>
      </c>
      <c r="F237" s="8">
        <f>VLOOKUP(B237,'[3]Sales Force'!$D:$L,9,0)</f>
        <v>1015173557</v>
      </c>
      <c r="G237" s="9">
        <f>VLOOKUP(B237,'[3]Sales Force'!$D:$M,10,0)</f>
        <v>45452</v>
      </c>
      <c r="H237" s="8" t="str">
        <f>VLOOKUP(B237,'[3]Sales Force'!$D:$H,5,0)</f>
        <v>Pumpizan Line</v>
      </c>
      <c r="I237" s="8"/>
      <c r="J237" s="8" t="str">
        <f>VLOOKUP(B237,'[3]Sales Force'!$D:$P,13,0)</f>
        <v>Shebien El Kanater</v>
      </c>
    </row>
    <row r="238" spans="1:10">
      <c r="A238" s="5">
        <v>66</v>
      </c>
      <c r="B238" s="11" t="s">
        <v>232</v>
      </c>
      <c r="C238" s="8" t="str">
        <f>VLOOKUP(B238,'[3]Sales Force'!$D:$G,4,0)</f>
        <v>Ibrahim Ammar</v>
      </c>
      <c r="D238" s="8" t="str">
        <f>VLOOKUP(B238,'[3]Sales Force'!$D:$J,7,0)</f>
        <v>AM</v>
      </c>
      <c r="E238" s="8">
        <f>VLOOKUP(C238,'[3]Sales Force'!$D:$O,12,0)</f>
        <v>60</v>
      </c>
      <c r="F238" s="8" t="str">
        <f>VLOOKUP(B238,'[3]Sales Force'!$D:$L,9,0)</f>
        <v> 01013322499</v>
      </c>
      <c r="G238" s="9">
        <f>VLOOKUP(B238,'[3]Sales Force'!$D:$M,10,0)</f>
        <v>41177</v>
      </c>
      <c r="H238" s="8" t="str">
        <f>VLOOKUP(B238,'[3]Sales Force'!$D:$H,5,0)</f>
        <v>Fulprazal Line &amp; Pumpizan Line</v>
      </c>
      <c r="I238" s="8" t="str">
        <f>VLOOKUP(B238,'[3]Sales Force'!$D:$N,11,0)</f>
        <v>ibrahim.elashwah@averroes-eg.com</v>
      </c>
      <c r="J238" s="8" t="str">
        <f>VLOOKUP(B238,'[3]Sales Force'!$D:$P,13,0)</f>
        <v>Kotour</v>
      </c>
    </row>
    <row r="239" spans="1:10">
      <c r="A239" s="5">
        <v>1603</v>
      </c>
      <c r="B239" s="12" t="s">
        <v>233</v>
      </c>
      <c r="C239" s="8" t="str">
        <f>VLOOKUP(B239,'[3]Sales Force'!$D:$F,3,0)</f>
        <v>Ibrahim Ali ElAshwah</v>
      </c>
      <c r="D239" s="8" t="str">
        <f>VLOOKUP(B239,'[3]Sales Force'!$D:$J,7,0)</f>
        <v>DM</v>
      </c>
      <c r="E239" s="8">
        <f>VLOOKUP(C239,'[3]Sales Force'!$D:$O,12,0)</f>
        <v>66</v>
      </c>
      <c r="F239" s="8">
        <f>VLOOKUP(B239,'[3]Sales Force'!$D:$L,9,0)</f>
        <v>1069120162</v>
      </c>
      <c r="G239" s="9">
        <f>VLOOKUP(B239,'[3]Sales Force'!$D:$M,10,0)</f>
        <v>45752</v>
      </c>
      <c r="H239" s="8" t="str">
        <f>VLOOKUP(B239,'[3]Sales Force'!$D:$H,5,0)</f>
        <v>Fulprazal Line</v>
      </c>
      <c r="I239" s="8" t="str">
        <f>VLOOKUP(B239,'[3]Sales Force'!$D:$N,11,0)</f>
        <v>Mohamed.Yousef.Mohamed@averroes-eg.com</v>
      </c>
      <c r="J239" s="8"/>
    </row>
    <row r="240" spans="1:10">
      <c r="A240" s="5">
        <v>1708</v>
      </c>
      <c r="B240" s="13" t="s">
        <v>234</v>
      </c>
      <c r="C240" s="8" t="str">
        <f>VLOOKUP(B240,'[3]Sales Force'!$D:$E,2,0)</f>
        <v>Mohamed Yousef Mohamed Elbadawy</v>
      </c>
      <c r="D240" s="8" t="str">
        <f>VLOOKUP(B240,'[3]Sales Force'!$D:$J,7,0)</f>
        <v>MR</v>
      </c>
      <c r="E240" s="8">
        <f>VLOOKUP(C240,'[3]Sales Force'!$D:$O,12,0)</f>
        <v>1603</v>
      </c>
      <c r="F240" s="8">
        <f>VLOOKUP(B240,'[3]Sales Force'!$D:$L,9,0)</f>
        <v>1010340921</v>
      </c>
      <c r="G240" s="9">
        <f>VLOOKUP(B240,'[3]Sales Force'!$D:$M,10,0)</f>
        <v>45845</v>
      </c>
      <c r="H240" s="8" t="str">
        <f>VLOOKUP(B240,'[3]Sales Force'!$D:$H,5,0)</f>
        <v>Fulprazal Line</v>
      </c>
      <c r="I240" s="8"/>
      <c r="J240" s="8" t="str">
        <f>VLOOKUP(B240,'[3]Sales Force'!$D:$P,13,0)</f>
        <v>Basioun</v>
      </c>
    </row>
    <row r="241" spans="1:10">
      <c r="A241" s="5">
        <v>1602</v>
      </c>
      <c r="B241" s="13" t="s">
        <v>235</v>
      </c>
      <c r="C241" s="8" t="str">
        <f>VLOOKUP(B241,'[3]Sales Force'!$D:$E,2,0)</f>
        <v>Mohamed Yousef Mohamed Elbadawy</v>
      </c>
      <c r="D241" s="8" t="str">
        <f>VLOOKUP(B241,'[3]Sales Force'!$D:$J,7,0)</f>
        <v>MR</v>
      </c>
      <c r="E241" s="8">
        <f>VLOOKUP(C241,'[3]Sales Force'!$D:$O,12,0)</f>
        <v>1603</v>
      </c>
      <c r="F241" s="8">
        <f>VLOOKUP(B241,'[3]Sales Force'!$D:$L,9,0)</f>
        <v>1090247333</v>
      </c>
      <c r="G241" s="9">
        <f>VLOOKUP(B241,'[3]Sales Force'!$D:$M,10,0)</f>
        <v>45752</v>
      </c>
      <c r="H241" s="8" t="str">
        <f>VLOOKUP(B241,'[3]Sales Force'!$D:$H,5,0)</f>
        <v>Fulprazal Line</v>
      </c>
      <c r="I241" s="8"/>
      <c r="J241" s="8" t="str">
        <f>VLOOKUP(B241,'[3]Sales Force'!$D:$P,13,0)</f>
        <v>Shebien El Kom</v>
      </c>
    </row>
    <row r="242" spans="1:10">
      <c r="A242" s="5">
        <v>1914</v>
      </c>
      <c r="B242" s="14" t="s">
        <v>634</v>
      </c>
      <c r="C242" s="8" t="str">
        <f>VLOOKUP(B242,'[3]Sales Force'!$D:$E,2,0)</f>
        <v>Mohamed Yousef Mohamed Elbadawy</v>
      </c>
      <c r="D242" s="8" t="str">
        <f>VLOOKUP(B242,'[3]Sales Force'!$D:$J,7,0)</f>
        <v>MR</v>
      </c>
      <c r="E242" s="8">
        <f>VLOOKUP(C242,'[3]Sales Force'!$D:$O,12,0)</f>
        <v>1603</v>
      </c>
      <c r="F242" s="8">
        <f>VLOOKUP(B242,'[3]Sales Force'!$D:$L,9,0)</f>
        <v>1110551752</v>
      </c>
      <c r="G242" s="9">
        <f>VLOOKUP(B242,'[3]Sales Force'!$D:$M,10,0)</f>
        <v>46113</v>
      </c>
      <c r="H242" s="8" t="str">
        <f>VLOOKUP(B242,'[3]Sales Force'!$D:$H,5,0)</f>
        <v>Fulprazal Line</v>
      </c>
      <c r="I242" s="8"/>
      <c r="J242" s="8" t="str">
        <f>VLOOKUP(B242,'[3]Sales Force'!$D:$P,13,0)</f>
        <v>El Mahala El Kobra</v>
      </c>
    </row>
    <row r="243" spans="1:10">
      <c r="A243" s="5">
        <v>1868</v>
      </c>
      <c r="B243" s="14" t="s">
        <v>236</v>
      </c>
      <c r="C243" s="8" t="str">
        <f>VLOOKUP(B243,'[3]Sales Force'!$D:$E,2,0)</f>
        <v>Mohamed Yousef Mohamed Elbadawy</v>
      </c>
      <c r="D243" s="8" t="str">
        <f>VLOOKUP(B243,'[3]Sales Force'!$D:$J,7,0)</f>
        <v>MR</v>
      </c>
      <c r="E243" s="8">
        <f>VLOOKUP(C243,'[3]Sales Force'!$D:$O,12,0)</f>
        <v>1603</v>
      </c>
      <c r="F243" s="8">
        <f>VLOOKUP(B243,'[3]Sales Force'!$D:$L,9,0)</f>
        <v>1063435710</v>
      </c>
      <c r="G243" s="9">
        <f>VLOOKUP(B243,'[3]Sales Force'!$D:$M,10,0)</f>
        <v>46063</v>
      </c>
      <c r="H243" s="8" t="str">
        <f>VLOOKUP(B243,'[3]Sales Force'!$D:$H,5,0)</f>
        <v>Fulprazal Line</v>
      </c>
      <c r="I243" s="8"/>
      <c r="J243" s="8" t="str">
        <f>VLOOKUP(B243,'[3]Sales Force'!$D:$P,13,0)</f>
        <v>El Mahala El Kobra</v>
      </c>
    </row>
    <row r="244" spans="1:10">
      <c r="A244" s="5">
        <v>1859</v>
      </c>
      <c r="B244" s="14" t="s">
        <v>237</v>
      </c>
      <c r="C244" s="8" t="str">
        <f>VLOOKUP(B244,'[3]Sales Force'!$D:$E,2,0)</f>
        <v>Mohamed Yousef Mohamed Elbadawy</v>
      </c>
      <c r="D244" s="8" t="str">
        <f>VLOOKUP(B244,'[3]Sales Force'!$D:$J,7,0)</f>
        <v>MR</v>
      </c>
      <c r="E244" s="8">
        <f>VLOOKUP(C244,'[3]Sales Force'!$D:$O,12,0)</f>
        <v>1603</v>
      </c>
      <c r="F244" s="8">
        <f>VLOOKUP(B244,'[3]Sales Force'!$D:$L,9,0)</f>
        <v>1096567648</v>
      </c>
      <c r="G244" s="9">
        <f>VLOOKUP(B244,'[3]Sales Force'!$D:$M,10,0)</f>
        <v>46060</v>
      </c>
      <c r="H244" s="8" t="str">
        <f>VLOOKUP(B244,'[3]Sales Force'!$D:$H,5,0)</f>
        <v>Fulprazal Line</v>
      </c>
      <c r="I244" s="8"/>
      <c r="J244" s="8" t="str">
        <f>VLOOKUP(B244,'[3]Sales Force'!$D:$P,13,0)</f>
        <v>Menof</v>
      </c>
    </row>
    <row r="245" spans="1:10">
      <c r="A245" s="5">
        <v>1304</v>
      </c>
      <c r="B245" s="13" t="s">
        <v>238</v>
      </c>
      <c r="C245" s="8" t="str">
        <f>VLOOKUP(B245,'[3]Sales Force'!$D:$E,2,0)</f>
        <v>Mohamed Yousef Mohamed Elbadawy</v>
      </c>
      <c r="D245" s="8" t="str">
        <f>VLOOKUP(B245,'[3]Sales Force'!$D:$J,7,0)</f>
        <v>MR</v>
      </c>
      <c r="E245" s="8">
        <f>VLOOKUP(C245,'[3]Sales Force'!$D:$O,12,0)</f>
        <v>1603</v>
      </c>
      <c r="F245" s="8">
        <f>VLOOKUP(B245,'[3]Sales Force'!$D:$L,9,0)</f>
        <v>1204850554</v>
      </c>
      <c r="G245" s="9">
        <f>VLOOKUP(B245,'[3]Sales Force'!$D:$M,10,0)</f>
        <v>45262</v>
      </c>
      <c r="H245" s="8" t="str">
        <f>VLOOKUP(B245,'[3]Sales Force'!$D:$H,5,0)</f>
        <v>Fulprazal Line</v>
      </c>
      <c r="I245" s="8"/>
      <c r="J245" s="8" t="str">
        <f>VLOOKUP(B245,'[3]Sales Force'!$D:$P,13,0)</f>
        <v>Kafr El zayat</v>
      </c>
    </row>
    <row r="246" spans="1:10">
      <c r="A246" s="5">
        <v>550</v>
      </c>
      <c r="B246" s="13" t="s">
        <v>239</v>
      </c>
      <c r="C246" s="8" t="str">
        <f>VLOOKUP(B246,'[3]Sales Force'!$D:$E,2,0)</f>
        <v>Mohamed Yousef Mohamed Elbadawy</v>
      </c>
      <c r="D246" s="8" t="str">
        <f>VLOOKUP(B246,'[3]Sales Force'!$D:$J,7,0)</f>
        <v>MR</v>
      </c>
      <c r="E246" s="8">
        <f>VLOOKUP(C246,'[3]Sales Force'!$D:$O,12,0)</f>
        <v>1603</v>
      </c>
      <c r="F246" s="8">
        <f>VLOOKUP(B246,'[3]Sales Force'!$D:$L,9,0)</f>
        <v>1002868312</v>
      </c>
      <c r="G246" s="9">
        <f>VLOOKUP(B246,'[3]Sales Force'!$D:$M,10,0)</f>
        <v>43851</v>
      </c>
      <c r="H246" s="8" t="str">
        <f>VLOOKUP(B246,'[3]Sales Force'!$D:$H,5,0)</f>
        <v>Fulprazal Line</v>
      </c>
      <c r="I246" s="8"/>
      <c r="J246" s="8" t="str">
        <f>VLOOKUP(B246,'[3]Sales Force'!$D:$P,13,0)</f>
        <v>Shebien El Kom</v>
      </c>
    </row>
    <row r="247" spans="1:10">
      <c r="A247" s="5">
        <v>969</v>
      </c>
      <c r="B247" s="13" t="s">
        <v>240</v>
      </c>
      <c r="C247" s="8" t="str">
        <f>VLOOKUP(B247,'[3]Sales Force'!$D:$E,2,0)</f>
        <v>Mohamed Yousef Mohamed Elbadawy</v>
      </c>
      <c r="D247" s="8" t="str">
        <f>VLOOKUP(B247,'[3]Sales Force'!$D:$J,7,0)</f>
        <v>MR</v>
      </c>
      <c r="E247" s="8">
        <f>VLOOKUP(C247,'[3]Sales Force'!$D:$O,12,0)</f>
        <v>1603</v>
      </c>
      <c r="F247" s="8">
        <f>VLOOKUP(B247,'[3]Sales Force'!$D:$L,9,0)</f>
        <v>1066420067</v>
      </c>
      <c r="G247" s="9">
        <f>VLOOKUP(B247,'[3]Sales Force'!$D:$M,10,0)</f>
        <v>44710</v>
      </c>
      <c r="H247" s="8" t="str">
        <f>VLOOKUP(B247,'[3]Sales Force'!$D:$H,5,0)</f>
        <v>Fulprazal Line</v>
      </c>
      <c r="I247" s="8"/>
      <c r="J247" s="8" t="str">
        <f>VLOOKUP(B247,'[3]Sales Force'!$D:$P,13,0)</f>
        <v>El Sanata</v>
      </c>
    </row>
    <row r="248" spans="1:10">
      <c r="A248" s="5">
        <v>1041</v>
      </c>
      <c r="B248" s="12" t="s">
        <v>241</v>
      </c>
      <c r="C248" s="8" t="str">
        <f>VLOOKUP(B248,'[3]Sales Force'!$D:$F,3,0)</f>
        <v>Ibrahim Ali ElAshwah</v>
      </c>
      <c r="D248" s="8" t="str">
        <f>VLOOKUP(B248,'[3]Sales Force'!$D:$J,7,0)</f>
        <v>DM</v>
      </c>
      <c r="E248" s="8">
        <f>VLOOKUP(C248,'[3]Sales Force'!$D:$O,12,0)</f>
        <v>66</v>
      </c>
      <c r="F248" s="8">
        <f>VLOOKUP(B248,'[3]Sales Force'!$D:$L,9,0)</f>
        <v>1016324647</v>
      </c>
      <c r="G248" s="9">
        <f>VLOOKUP(B248,'[3]Sales Force'!$D:$M,10,0)</f>
        <v>44928</v>
      </c>
      <c r="H248" s="8" t="str">
        <f>VLOOKUP(B248,'[3]Sales Force'!$D:$H,5,0)</f>
        <v>Fulprazal Line</v>
      </c>
      <c r="I248" s="8" t="str">
        <f>VLOOKUP(B248,'[3]Sales Force'!$D:$N,11,0)</f>
        <v>Nader.Elsayed.Mahmoud@averroes-eg.com</v>
      </c>
      <c r="J248" s="8" t="str">
        <f>VLOOKUP(B248,'[3]Sales Force'!$D:$P,13,0)</f>
        <v>Kafr El Shiekh</v>
      </c>
    </row>
    <row r="249" spans="1:10">
      <c r="A249" s="5">
        <v>1828</v>
      </c>
      <c r="B249" s="13" t="s">
        <v>242</v>
      </c>
      <c r="C249" s="8" t="str">
        <f>VLOOKUP(B249,'[3]Sales Force'!$D:$E,2,0)</f>
        <v>Nader Elsayed Mahmoud</v>
      </c>
      <c r="D249" s="8" t="str">
        <f>VLOOKUP(B249,'[3]Sales Force'!$D:$J,7,0)</f>
        <v>MR</v>
      </c>
      <c r="E249" s="8">
        <f>VLOOKUP(C249,'[3]Sales Force'!$D:$O,12,0)</f>
        <v>1041</v>
      </c>
      <c r="F249" s="8">
        <f>VLOOKUP(B249,'[3]Sales Force'!$D:$L,9,0)</f>
        <v>1021209573</v>
      </c>
      <c r="G249" s="9">
        <f>VLOOKUP(B249,'[3]Sales Force'!$D:$M,10,0)</f>
        <v>46023</v>
      </c>
      <c r="H249" s="8" t="str">
        <f>VLOOKUP(B249,'[3]Sales Force'!$D:$H,5,0)</f>
        <v>Fulprazal Line</v>
      </c>
      <c r="I249" s="8"/>
      <c r="J249" s="8" t="str">
        <f>VLOOKUP(B249,'[3]Sales Force'!$D:$P,13,0)</f>
        <v>Desouk</v>
      </c>
    </row>
    <row r="250" spans="1:10">
      <c r="A250" s="5">
        <v>1522</v>
      </c>
      <c r="B250" s="13" t="s">
        <v>243</v>
      </c>
      <c r="C250" s="8" t="str">
        <f>VLOOKUP(B250,'[3]Sales Force'!$D:$E,2,0)</f>
        <v>Nader Elsayed Mahmoud</v>
      </c>
      <c r="D250" s="8" t="str">
        <f>VLOOKUP(B250,'[3]Sales Force'!$D:$J,7,0)</f>
        <v>MR</v>
      </c>
      <c r="E250" s="8">
        <f>VLOOKUP(C250,'[3]Sales Force'!$D:$O,12,0)</f>
        <v>1041</v>
      </c>
      <c r="F250" s="8">
        <f>VLOOKUP(B250,'[3]Sales Force'!$D:$L,9,0)</f>
        <v>1023216007</v>
      </c>
      <c r="G250" s="9">
        <f>VLOOKUP(B250,'[3]Sales Force'!$D:$M,10,0)</f>
        <v>45689</v>
      </c>
      <c r="H250" s="8" t="str">
        <f>VLOOKUP(B250,'[3]Sales Force'!$D:$H,5,0)</f>
        <v>Fulprazal Line</v>
      </c>
      <c r="I250" s="8"/>
      <c r="J250" s="8" t="str">
        <f>VLOOKUP(B250,'[3]Sales Force'!$D:$P,13,0)</f>
        <v>Kafr El Shiekh</v>
      </c>
    </row>
    <row r="251" spans="1:10">
      <c r="A251" s="5">
        <v>1552</v>
      </c>
      <c r="B251" s="13" t="s">
        <v>244</v>
      </c>
      <c r="C251" s="8" t="str">
        <f>VLOOKUP(B251,'[3]Sales Force'!$D:$E,2,0)</f>
        <v>Nader Elsayed Mahmoud</v>
      </c>
      <c r="D251" s="8" t="str">
        <f>VLOOKUP(B251,'[3]Sales Force'!$D:$J,7,0)</f>
        <v>MR</v>
      </c>
      <c r="E251" s="8">
        <f>VLOOKUP(C251,'[3]Sales Force'!$D:$O,12,0)</f>
        <v>1041</v>
      </c>
      <c r="F251" s="8">
        <f>VLOOKUP(B251,'[3]Sales Force'!$D:$L,9,0)</f>
        <v>1069136230</v>
      </c>
      <c r="G251" s="9">
        <f>VLOOKUP(B251,'[3]Sales Force'!$D:$M,10,0)</f>
        <v>45710</v>
      </c>
      <c r="H251" s="8" t="str">
        <f>VLOOKUP(B251,'[3]Sales Force'!$D:$H,5,0)</f>
        <v>Fulprazal Line</v>
      </c>
      <c r="I251" s="8"/>
      <c r="J251" s="8" t="str">
        <f>VLOOKUP(B251,'[3]Sales Force'!$D:$P,13,0)</f>
        <v>Kafr El Shiekh</v>
      </c>
    </row>
    <row r="252" spans="1:10">
      <c r="A252" s="5">
        <v>1762</v>
      </c>
      <c r="B252" s="13" t="s">
        <v>245</v>
      </c>
      <c r="C252" s="8" t="str">
        <f>VLOOKUP(B252,'[3]Sales Force'!$D:$E,2,0)</f>
        <v>Nader Elsayed Mahmoud</v>
      </c>
      <c r="D252" s="8" t="str">
        <f>VLOOKUP(B252,'[3]Sales Force'!$D:$J,7,0)</f>
        <v>MR</v>
      </c>
      <c r="E252" s="8">
        <f>VLOOKUP(C252,'[3]Sales Force'!$D:$O,12,0)</f>
        <v>1041</v>
      </c>
      <c r="F252" s="8">
        <f>VLOOKUP(B252,'[3]Sales Force'!$D:$L,9,0)</f>
        <v>1014947200</v>
      </c>
      <c r="G252" s="9">
        <f>VLOOKUP(B252,'[3]Sales Force'!$D:$M,10,0)</f>
        <v>45934</v>
      </c>
      <c r="H252" s="8" t="str">
        <f>VLOOKUP(B252,'[3]Sales Force'!$D:$H,5,0)</f>
        <v>Fulprazal Line</v>
      </c>
      <c r="I252" s="8"/>
      <c r="J252" s="8" t="str">
        <f>VLOOKUP(B252,'[3]Sales Force'!$D:$P,13,0)</f>
        <v>Etay El Baroud</v>
      </c>
    </row>
    <row r="253" spans="1:10">
      <c r="A253" s="5">
        <v>1854</v>
      </c>
      <c r="B253" s="14" t="s">
        <v>246</v>
      </c>
      <c r="C253" s="8" t="str">
        <f>VLOOKUP(B253,'[3]Sales Force'!$D:$E,2,0)</f>
        <v>Nader Elsayed Mahmoud</v>
      </c>
      <c r="D253" s="8" t="str">
        <f>VLOOKUP(B253,'[3]Sales Force'!$D:$J,7,0)</f>
        <v>MR</v>
      </c>
      <c r="E253" s="8">
        <f>VLOOKUP(C253,'[3]Sales Force'!$D:$O,12,0)</f>
        <v>1041</v>
      </c>
      <c r="F253" s="8">
        <f>VLOOKUP(B253,'[3]Sales Force'!$D:$L,9,0)</f>
        <v>1090632837</v>
      </c>
      <c r="G253" s="9">
        <f>VLOOKUP(B253,'[3]Sales Force'!$D:$M,10,0)</f>
        <v>46055</v>
      </c>
      <c r="H253" s="8" t="str">
        <f>VLOOKUP(B253,'[3]Sales Force'!$D:$H,5,0)</f>
        <v>Fulprazal Line</v>
      </c>
      <c r="I253" s="8"/>
      <c r="J253" s="8" t="str">
        <f>VLOOKUP(B253,'[3]Sales Force'!$D:$P,13,0)</f>
        <v>Housh Easa</v>
      </c>
    </row>
    <row r="254" spans="1:10">
      <c r="A254" s="5">
        <v>1703</v>
      </c>
      <c r="B254" s="13" t="s">
        <v>248</v>
      </c>
      <c r="C254" s="8" t="str">
        <f>VLOOKUP(B254,'[3]Sales Force'!$D:$E,2,0)</f>
        <v>Nader Elsayed Mahmoud</v>
      </c>
      <c r="D254" s="8" t="str">
        <f>VLOOKUP(B254,'[3]Sales Force'!$D:$J,7,0)</f>
        <v>MR</v>
      </c>
      <c r="E254" s="8">
        <f>VLOOKUP(C254,'[3]Sales Force'!$D:$O,12,0)</f>
        <v>1041</v>
      </c>
      <c r="F254" s="8">
        <f>VLOOKUP(B254,'[3]Sales Force'!$D:$L,9,0)</f>
        <v>1018162025</v>
      </c>
      <c r="G254" s="9">
        <f>VLOOKUP(B254,'[3]Sales Force'!$D:$M,10,0)</f>
        <v>45844</v>
      </c>
      <c r="H254" s="8" t="str">
        <f>VLOOKUP(B254,'[3]Sales Force'!$D:$H,5,0)</f>
        <v>Fulprazal Line</v>
      </c>
      <c r="I254" s="8"/>
      <c r="J254" s="8" t="str">
        <f>VLOOKUP(B254,'[3]Sales Force'!$D:$P,13,0)</f>
        <v>Damanhour</v>
      </c>
    </row>
    <row r="255" spans="1:10">
      <c r="A255" s="5">
        <v>1532</v>
      </c>
      <c r="B255" s="13" t="s">
        <v>249</v>
      </c>
      <c r="C255" s="8" t="str">
        <f>VLOOKUP(B255,'[3]Sales Force'!$D:$E,2,0)</f>
        <v>Nader Elsayed Mahmoud</v>
      </c>
      <c r="D255" s="8" t="str">
        <f>VLOOKUP(B255,'[3]Sales Force'!$D:$J,7,0)</f>
        <v>MR</v>
      </c>
      <c r="E255" s="8">
        <f>VLOOKUP(C255,'[3]Sales Force'!$D:$O,12,0)</f>
        <v>1041</v>
      </c>
      <c r="F255" s="8">
        <f>VLOOKUP(B255,'[3]Sales Force'!$D:$L,9,0)</f>
        <v>1207226923</v>
      </c>
      <c r="G255" s="9">
        <f>VLOOKUP(B255,'[3]Sales Force'!$D:$M,10,0)</f>
        <v>45696</v>
      </c>
      <c r="H255" s="8" t="str">
        <f>VLOOKUP(B255,'[3]Sales Force'!$D:$H,5,0)</f>
        <v>Fulprazal Line</v>
      </c>
      <c r="I255" s="8"/>
      <c r="J255" s="8" t="str">
        <f>VLOOKUP(B255,'[3]Sales Force'!$D:$P,13,0)</f>
        <v>Kafr El Dawar</v>
      </c>
    </row>
    <row r="256" spans="1:10">
      <c r="A256" s="5">
        <v>784</v>
      </c>
      <c r="B256" s="12" t="s">
        <v>250</v>
      </c>
      <c r="C256" s="8" t="str">
        <f>VLOOKUP(B256,'[3]Sales Force'!$D:$F,3,0)</f>
        <v>Ibrahim Ali ElAshwah</v>
      </c>
      <c r="D256" s="8" t="str">
        <f>VLOOKUP(B256,'[3]Sales Force'!$D:$J,7,0)</f>
        <v>DM</v>
      </c>
      <c r="E256" s="8">
        <f>VLOOKUP(C256,'[3]Sales Force'!$D:$O,12,0)</f>
        <v>66</v>
      </c>
      <c r="F256" s="8">
        <f>VLOOKUP(B256,'[3]Sales Force'!$D:$L,9,0)</f>
        <v>1022162779</v>
      </c>
      <c r="G256" s="9">
        <f>VLOOKUP(B256,'[3]Sales Force'!$D:$M,10,0)</f>
        <v>44348</v>
      </c>
      <c r="H256" s="8" t="str">
        <f>VLOOKUP(B256,'[3]Sales Force'!$D:$H,5,0)</f>
        <v>Fulprazal Line</v>
      </c>
      <c r="I256" s="8" t="str">
        <f>VLOOKUP(B256,'[3]Sales Force'!$D:$N,11,0)</f>
        <v>Rahma.Mohamed.Shehata@averroes-eg.com</v>
      </c>
      <c r="J256" s="8" t="str">
        <f>VLOOKUP(B256,'[3]Sales Force'!$D:$P,13,0)</f>
        <v>Moharam Bek</v>
      </c>
    </row>
    <row r="257" spans="1:10">
      <c r="A257" s="5">
        <v>1388</v>
      </c>
      <c r="B257" s="13" t="s">
        <v>251</v>
      </c>
      <c r="C257" s="8" t="str">
        <f>VLOOKUP(B257,'[3]Sales Force'!$D:$E,2,0)</f>
        <v>Rahma Mohamed Shehata</v>
      </c>
      <c r="D257" s="8" t="str">
        <f>VLOOKUP(B257,'[3]Sales Force'!$D:$J,7,0)</f>
        <v>MR</v>
      </c>
      <c r="E257" s="8">
        <f>VLOOKUP(C257,'[3]Sales Force'!$D:$O,12,0)</f>
        <v>784</v>
      </c>
      <c r="F257" s="8">
        <f>VLOOKUP(B257,'[3]Sales Force'!$D:$L,9,0)</f>
        <v>1222357698</v>
      </c>
      <c r="G257" s="9">
        <f>VLOOKUP(B257,'[3]Sales Force'!$D:$M,10,0)</f>
        <v>45449</v>
      </c>
      <c r="H257" s="8" t="str">
        <f>VLOOKUP(B257,'[3]Sales Force'!$D:$H,5,0)</f>
        <v>Fulprazal Line</v>
      </c>
      <c r="I257" s="8"/>
      <c r="J257" s="8" t="str">
        <f>VLOOKUP(B257,'[3]Sales Force'!$D:$P,13,0)</f>
        <v>Sidi Beshr Kebly</v>
      </c>
    </row>
    <row r="258" spans="1:10">
      <c r="A258" s="5">
        <v>1542</v>
      </c>
      <c r="B258" s="13" t="s">
        <v>252</v>
      </c>
      <c r="C258" s="8" t="str">
        <f>VLOOKUP(B258,'[3]Sales Force'!$D:$E,2,0)</f>
        <v>Rahma Mohamed Shehata</v>
      </c>
      <c r="D258" s="8" t="str">
        <f>VLOOKUP(B258,'[3]Sales Force'!$D:$J,7,0)</f>
        <v>MR</v>
      </c>
      <c r="E258" s="8">
        <f>VLOOKUP(C258,'[3]Sales Force'!$D:$O,12,0)</f>
        <v>784</v>
      </c>
      <c r="F258" s="8">
        <f>VLOOKUP(B258,'[3]Sales Force'!$D:$L,9,0)</f>
        <v>1278461301</v>
      </c>
      <c r="G258" s="9">
        <f>VLOOKUP(B258,'[3]Sales Force'!$D:$M,10,0)</f>
        <v>45703</v>
      </c>
      <c r="H258" s="8" t="str">
        <f>VLOOKUP(B258,'[3]Sales Force'!$D:$H,5,0)</f>
        <v>Fulprazal Line</v>
      </c>
      <c r="I258" s="8"/>
      <c r="J258" s="8" t="str">
        <f>VLOOKUP(B258,'[3]Sales Force'!$D:$P,13,0)</f>
        <v> Abo Talaat</v>
      </c>
    </row>
    <row r="259" spans="1:10">
      <c r="A259" s="5">
        <v>1840</v>
      </c>
      <c r="B259" s="14" t="s">
        <v>253</v>
      </c>
      <c r="C259" s="8" t="str">
        <f>VLOOKUP(B259,'[3]Sales Force'!$D:$E,2,0)</f>
        <v>Rahma Mohamed Shehata</v>
      </c>
      <c r="D259" s="8" t="str">
        <f>VLOOKUP(B259,'[3]Sales Force'!$D:$J,7,0)</f>
        <v>MR</v>
      </c>
      <c r="E259" s="8">
        <f>VLOOKUP(C259,'[3]Sales Force'!$D:$O,12,0)</f>
        <v>784</v>
      </c>
      <c r="F259" s="8">
        <f>VLOOKUP(B259,'[3]Sales Force'!$D:$L,9,0)</f>
        <v>1063409352</v>
      </c>
      <c r="G259" s="9">
        <f>VLOOKUP(B259,'[3]Sales Force'!$D:$M,10,0)</f>
        <v>46042</v>
      </c>
      <c r="H259" s="8" t="str">
        <f>VLOOKUP(B259,'[3]Sales Force'!$D:$H,5,0)</f>
        <v>Fulprazal Line</v>
      </c>
      <c r="I259" s="8"/>
      <c r="J259" s="8" t="str">
        <f>VLOOKUP(B259,'[3]Sales Force'!$D:$P,13,0)</f>
        <v>Sidi Beshr Kebly</v>
      </c>
    </row>
    <row r="260" spans="1:10">
      <c r="A260" s="5">
        <v>1878</v>
      </c>
      <c r="B260" s="14" t="s">
        <v>635</v>
      </c>
      <c r="C260" s="8" t="str">
        <f>VLOOKUP(B260,'[3]Sales Force'!$D:$E,2,0)</f>
        <v>Rahma Mohamed Shehata</v>
      </c>
      <c r="D260" s="8" t="str">
        <f>VLOOKUP(B260,'[3]Sales Force'!$D:$J,7,0)</f>
        <v>MR</v>
      </c>
      <c r="E260" s="8">
        <f>VLOOKUP(C260,'[3]Sales Force'!$D:$O,12,0)</f>
        <v>784</v>
      </c>
      <c r="F260" s="8">
        <f>VLOOKUP(B260,'[3]Sales Force'!$D:$L,9,0)</f>
        <v>1158012822</v>
      </c>
      <c r="G260" s="9">
        <f>VLOOKUP(B260,'[3]Sales Force'!$D:$M,10,0)</f>
        <v>46067</v>
      </c>
      <c r="H260" s="8" t="str">
        <f>VLOOKUP(B260,'[3]Sales Force'!$D:$H,5,0)</f>
        <v>Fulprazal Line</v>
      </c>
      <c r="I260" s="8"/>
      <c r="J260" s="8" t="str">
        <f>VLOOKUP(B260,'[3]Sales Force'!$D:$P,13,0)</f>
        <v>El Awaied</v>
      </c>
    </row>
    <row r="261" spans="1:10">
      <c r="A261" s="5">
        <v>1896</v>
      </c>
      <c r="B261" s="14" t="s">
        <v>636</v>
      </c>
      <c r="C261" s="8" t="str">
        <f>VLOOKUP(B261,'[3]Sales Force'!$D:$E,2,0)</f>
        <v>Rahma Mohamed Shehata</v>
      </c>
      <c r="D261" s="8" t="str">
        <f>VLOOKUP(B261,'[3]Sales Force'!$D:$J,7,0)</f>
        <v>MR</v>
      </c>
      <c r="E261" s="8">
        <f>VLOOKUP(C261,'[3]Sales Force'!$D:$O,12,0)</f>
        <v>784</v>
      </c>
      <c r="F261" s="8">
        <f>VLOOKUP(B261,'[3]Sales Force'!$D:$L,9,0)</f>
        <v>1281913634</v>
      </c>
      <c r="G261" s="9">
        <f>VLOOKUP(B261,'[3]Sales Force'!$D:$M,10,0)</f>
        <v>46082</v>
      </c>
      <c r="H261" s="8" t="str">
        <f>VLOOKUP(B261,'[3]Sales Force'!$D:$H,5,0)</f>
        <v>Fulprazal Line</v>
      </c>
      <c r="I261" s="8"/>
      <c r="J261" s="8" t="str">
        <f>VLOOKUP(B261,'[3]Sales Force'!$D:$P,13,0)</f>
        <v>Miami</v>
      </c>
    </row>
    <row r="262" spans="1:10">
      <c r="A262" s="5">
        <v>1832</v>
      </c>
      <c r="B262" s="13" t="s">
        <v>254</v>
      </c>
      <c r="C262" s="8" t="str">
        <f>VLOOKUP(B262,'[3]Sales Force'!$D:$E,2,0)</f>
        <v>Rahma Mohamed Shehata</v>
      </c>
      <c r="D262" s="8" t="str">
        <f>VLOOKUP(B262,'[3]Sales Force'!$D:$J,7,0)</f>
        <v>MR</v>
      </c>
      <c r="E262" s="8">
        <f>VLOOKUP(C262,'[3]Sales Force'!$D:$O,12,0)</f>
        <v>784</v>
      </c>
      <c r="F262" s="8">
        <f>VLOOKUP(B262,'[3]Sales Force'!$D:$L,9,0)</f>
        <v>1205032441</v>
      </c>
      <c r="G262" s="9">
        <f>VLOOKUP(B262,'[3]Sales Force'!$D:$M,10,0)</f>
        <v>46025</v>
      </c>
      <c r="H262" s="8" t="str">
        <f>VLOOKUP(B262,'[3]Sales Force'!$D:$H,5,0)</f>
        <v>Fulprazal Line</v>
      </c>
      <c r="I262" s="8"/>
      <c r="J262" s="8" t="str">
        <f>VLOOKUP(B262,'[3]Sales Force'!$D:$P,13,0)</f>
        <v>El Hadra El Gededa</v>
      </c>
    </row>
    <row r="263" spans="1:10">
      <c r="A263" s="5">
        <v>1038</v>
      </c>
      <c r="B263" s="12" t="s">
        <v>255</v>
      </c>
      <c r="C263" s="8" t="str">
        <f>VLOOKUP(B263,'[3]Sales Force'!$D:$F,3,0)</f>
        <v>Ibrahim Ali ElAshwah</v>
      </c>
      <c r="D263" s="8" t="str">
        <f>VLOOKUP(B263,'[3]Sales Force'!$D:$J,7,0)</f>
        <v>DM</v>
      </c>
      <c r="E263" s="8">
        <f>VLOOKUP(C263,'[3]Sales Force'!$D:$O,12,0)</f>
        <v>66</v>
      </c>
      <c r="F263" s="8" t="str">
        <f>VLOOKUP(B263,'[3]Sales Force'!$D:$L,9,0)</f>
        <v> 01001255198</v>
      </c>
      <c r="G263" s="9">
        <f>VLOOKUP(B263,'[3]Sales Force'!$D:$M,10,0)</f>
        <v>44927</v>
      </c>
      <c r="H263" s="8" t="str">
        <f>VLOOKUP(B263,'[3]Sales Force'!$D:$H,5,0)</f>
        <v>Pumpizan Line</v>
      </c>
      <c r="I263" s="8" t="str">
        <f>VLOOKUP(B263,'[3]Sales Force'!$D:$N,11,0)</f>
        <v>Esraa.Hassan.Ibrahim@averroes-eg.com</v>
      </c>
      <c r="J263" s="8" t="str">
        <f>VLOOKUP(B263,'[3]Sales Force'!$D:$P,13,0)</f>
        <v>El Mahala El Kobra</v>
      </c>
    </row>
    <row r="264" spans="1:10">
      <c r="A264" s="5">
        <v>1533</v>
      </c>
      <c r="B264" s="13" t="s">
        <v>256</v>
      </c>
      <c r="C264" s="8" t="str">
        <f>VLOOKUP(B264,'[3]Sales Force'!$D:$E,2,0)</f>
        <v>Esraa Hassan Ibrahim</v>
      </c>
      <c r="D264" s="8" t="str">
        <f>VLOOKUP(B264,'[3]Sales Force'!$D:$J,7,0)</f>
        <v>MR</v>
      </c>
      <c r="E264" s="8">
        <f>VLOOKUP(C264,'[3]Sales Force'!$D:$O,12,0)</f>
        <v>1038</v>
      </c>
      <c r="F264" s="8">
        <f>VLOOKUP(B264,'[3]Sales Force'!$D:$L,9,0)</f>
        <v>1276158599</v>
      </c>
      <c r="G264" s="9">
        <f>VLOOKUP(B264,'[3]Sales Force'!$D:$M,10,0)</f>
        <v>45696</v>
      </c>
      <c r="H264" s="8" t="str">
        <f>VLOOKUP(B264,'[3]Sales Force'!$D:$H,5,0)</f>
        <v>Pumpizan Line</v>
      </c>
      <c r="I264" s="8"/>
      <c r="J264" s="8" t="str">
        <f>VLOOKUP(B264,'[3]Sales Force'!$D:$P,13,0)</f>
        <v>Shebien El Kom</v>
      </c>
    </row>
    <row r="265" spans="1:10">
      <c r="A265" s="5">
        <v>956</v>
      </c>
      <c r="B265" s="13" t="s">
        <v>257</v>
      </c>
      <c r="C265" s="8" t="str">
        <f>VLOOKUP(B265,'[3]Sales Force'!$D:$E,2,0)</f>
        <v>Esraa Hassan Ibrahim</v>
      </c>
      <c r="D265" s="8" t="str">
        <f>VLOOKUP(B265,'[3]Sales Force'!$D:$J,7,0)</f>
        <v>MR</v>
      </c>
      <c r="E265" s="8">
        <f>VLOOKUP(C265,'[3]Sales Force'!$D:$O,12,0)</f>
        <v>1038</v>
      </c>
      <c r="F265" s="8">
        <f>VLOOKUP(B265,'[3]Sales Force'!$D:$L,9,0)</f>
        <v>1096781188</v>
      </c>
      <c r="G265" s="9">
        <f>VLOOKUP(B265,'[3]Sales Force'!$D:$M,10,0)</f>
        <v>44625</v>
      </c>
      <c r="H265" s="8" t="str">
        <f>VLOOKUP(B265,'[3]Sales Force'!$D:$H,5,0)</f>
        <v>Pumpizan Line</v>
      </c>
      <c r="I265" s="8"/>
      <c r="J265" s="8" t="str">
        <f>VLOOKUP(B265,'[3]Sales Force'!$D:$P,13,0)</f>
        <v>El Sanata</v>
      </c>
    </row>
    <row r="266" spans="1:10">
      <c r="A266" s="5">
        <v>1485</v>
      </c>
      <c r="B266" s="13" t="s">
        <v>258</v>
      </c>
      <c r="C266" s="8" t="str">
        <f>VLOOKUP(B266,'[3]Sales Force'!$D:$E,2,0)</f>
        <v>Esraa Hassan Ibrahim</v>
      </c>
      <c r="D266" s="8" t="str">
        <f>VLOOKUP(B266,'[3]Sales Force'!$D:$J,7,0)</f>
        <v>MR</v>
      </c>
      <c r="E266" s="8">
        <f>VLOOKUP(C266,'[3]Sales Force'!$D:$O,12,0)</f>
        <v>1038</v>
      </c>
      <c r="F266" s="8">
        <f>VLOOKUP(B266,'[3]Sales Force'!$D:$L,9,0)</f>
        <v>1552197356</v>
      </c>
      <c r="G266" s="9">
        <f>VLOOKUP(B266,'[3]Sales Force'!$D:$M,10,0)</f>
        <v>45658</v>
      </c>
      <c r="H266" s="8" t="str">
        <f>VLOOKUP(B266,'[3]Sales Force'!$D:$H,5,0)</f>
        <v>Pumpizan Line</v>
      </c>
      <c r="I266" s="8"/>
      <c r="J266" s="8"/>
    </row>
    <row r="267" spans="1:10">
      <c r="A267" s="5">
        <v>1866</v>
      </c>
      <c r="B267" s="14" t="s">
        <v>259</v>
      </c>
      <c r="C267" s="8" t="str">
        <f>VLOOKUP(B267,'[3]Sales Force'!$D:$E,2,0)</f>
        <v>Esraa Hassan Ibrahim</v>
      </c>
      <c r="D267" s="8" t="str">
        <f>VLOOKUP(B267,'[3]Sales Force'!$D:$J,7,0)</f>
        <v>MR</v>
      </c>
      <c r="E267" s="8">
        <f>VLOOKUP(C267,'[3]Sales Force'!$D:$O,12,0)</f>
        <v>1038</v>
      </c>
      <c r="F267" s="8">
        <f>VLOOKUP(B267,'[3]Sales Force'!$D:$L,9,0)</f>
        <v>1108669897</v>
      </c>
      <c r="G267" s="9">
        <f>VLOOKUP(B267,'[3]Sales Force'!$D:$M,10,0)</f>
        <v>46061</v>
      </c>
      <c r="H267" s="8" t="str">
        <f>VLOOKUP(B267,'[3]Sales Force'!$D:$H,5,0)</f>
        <v>Pumpizan Line</v>
      </c>
      <c r="I267" s="8"/>
      <c r="J267" s="8" t="str">
        <f>VLOOKUP(B267,'[3]Sales Force'!$D:$P,13,0)</f>
        <v>Shebien El Kom</v>
      </c>
    </row>
    <row r="268" spans="1:10">
      <c r="A268" s="5">
        <v>1011</v>
      </c>
      <c r="B268" s="13" t="s">
        <v>260</v>
      </c>
      <c r="C268" s="8" t="str">
        <f>VLOOKUP(B268,'[3]Sales Force'!$D:$E,2,0)</f>
        <v>Esraa Hassan Ibrahim</v>
      </c>
      <c r="D268" s="8" t="str">
        <f>VLOOKUP(B268,'[3]Sales Force'!$D:$J,7,0)</f>
        <v>MR</v>
      </c>
      <c r="E268" s="8">
        <f>VLOOKUP(C268,'[3]Sales Force'!$D:$O,12,0)</f>
        <v>1038</v>
      </c>
      <c r="F268" s="8">
        <f>VLOOKUP(B268,'[3]Sales Force'!$D:$L,9,0)</f>
        <v>1033948887</v>
      </c>
      <c r="G268" s="9">
        <f>VLOOKUP(B268,'[3]Sales Force'!$D:$M,10,0)</f>
        <v>44851</v>
      </c>
      <c r="H268" s="8" t="str">
        <f>VLOOKUP(B268,'[3]Sales Force'!$D:$H,5,0)</f>
        <v>Pumpizan Line</v>
      </c>
      <c r="I268" s="8"/>
      <c r="J268" s="8" t="str">
        <f>VLOOKUP(B268,'[3]Sales Force'!$D:$P,13,0)</f>
        <v>El Mahala El Kobra</v>
      </c>
    </row>
    <row r="269" spans="1:10">
      <c r="A269" s="5">
        <v>1701</v>
      </c>
      <c r="B269" s="13" t="s">
        <v>261</v>
      </c>
      <c r="C269" s="8" t="str">
        <f>VLOOKUP(B269,'[3]Sales Force'!$D:$E,2,0)</f>
        <v>Esraa Hassan Ibrahim</v>
      </c>
      <c r="D269" s="8" t="str">
        <f>VLOOKUP(B269,'[3]Sales Force'!$D:$J,7,0)</f>
        <v>MR</v>
      </c>
      <c r="E269" s="8">
        <f>VLOOKUP(C269,'[3]Sales Force'!$D:$O,12,0)</f>
        <v>1038</v>
      </c>
      <c r="F269" s="8">
        <f>VLOOKUP(B269,'[3]Sales Force'!$D:$L,9,0)</f>
        <v>1070859552</v>
      </c>
      <c r="G269" s="9">
        <f>VLOOKUP(B269,'[3]Sales Force'!$D:$M,10,0)</f>
        <v>45822</v>
      </c>
      <c r="H269" s="8" t="str">
        <f>VLOOKUP(B269,'[3]Sales Force'!$D:$H,5,0)</f>
        <v>Pumpizan Line</v>
      </c>
      <c r="I269" s="8"/>
      <c r="J269" s="8" t="str">
        <f>VLOOKUP(B269,'[3]Sales Force'!$D:$P,13,0)</f>
        <v>Menof</v>
      </c>
    </row>
    <row r="270" spans="1:10">
      <c r="A270" s="5">
        <v>1538</v>
      </c>
      <c r="B270" s="13" t="s">
        <v>262</v>
      </c>
      <c r="C270" s="8" t="str">
        <f>VLOOKUP(B270,'[3]Sales Force'!$D:$E,2,0)</f>
        <v>Esraa Hassan Ibrahim</v>
      </c>
      <c r="D270" s="8" t="str">
        <f>VLOOKUP(B270,'[3]Sales Force'!$D:$J,7,0)</f>
        <v>MR</v>
      </c>
      <c r="E270" s="8">
        <f>VLOOKUP(C270,'[3]Sales Force'!$D:$O,12,0)</f>
        <v>1038</v>
      </c>
      <c r="F270" s="8">
        <f>VLOOKUP(B270,'[3]Sales Force'!$D:$L,9,0)</f>
        <v>1205425576</v>
      </c>
      <c r="G270" s="9">
        <f>VLOOKUP(B270,'[3]Sales Force'!$D:$M,10,0)</f>
        <v>45697</v>
      </c>
      <c r="H270" s="8" t="str">
        <f>VLOOKUP(B270,'[3]Sales Force'!$D:$H,5,0)</f>
        <v>Pumpizan Line</v>
      </c>
      <c r="I270" s="8"/>
      <c r="J270" s="8" t="str">
        <f>VLOOKUP(B270,'[3]Sales Force'!$D:$P,13,0)</f>
        <v>Tanta City</v>
      </c>
    </row>
    <row r="271" spans="1:10">
      <c r="A271" s="5">
        <v>280</v>
      </c>
      <c r="B271" s="12" t="s">
        <v>263</v>
      </c>
      <c r="C271" s="8" t="str">
        <f>VLOOKUP(B271,'[3]Sales Force'!$D:$F,3,0)</f>
        <v>Ibrahim Ali ElAshwah</v>
      </c>
      <c r="D271" s="8" t="str">
        <f>VLOOKUP(B271,'[3]Sales Force'!$D:$J,7,0)</f>
        <v>DM</v>
      </c>
      <c r="E271" s="8">
        <f>VLOOKUP(C271,'[3]Sales Force'!$D:$O,12,0)</f>
        <v>66</v>
      </c>
      <c r="F271" s="8" t="str">
        <f>VLOOKUP(B271,'[3]Sales Force'!$D:$L,9,0)</f>
        <v> 01273889796</v>
      </c>
      <c r="G271" s="9">
        <f>VLOOKUP(B271,'[3]Sales Force'!$D:$M,10,0)</f>
        <v>43202</v>
      </c>
      <c r="H271" s="8" t="str">
        <f>VLOOKUP(B271,'[3]Sales Force'!$D:$H,5,0)</f>
        <v>Pumpizan Line</v>
      </c>
      <c r="I271" s="8" t="str">
        <f>VLOOKUP(B271,'[3]Sales Force'!$D:$N,11,0)</f>
        <v>kerelis.naguib@averroes-eg.com</v>
      </c>
      <c r="J271" s="8" t="str">
        <f>VLOOKUP(B271,'[3]Sales Force'!$D:$P,13,0)</f>
        <v>Moharam Bek</v>
      </c>
    </row>
    <row r="272" spans="1:10">
      <c r="A272" s="5">
        <v>1421</v>
      </c>
      <c r="B272" s="13" t="s">
        <v>264</v>
      </c>
      <c r="C272" s="8" t="str">
        <f>VLOOKUP(B272,'[3]Sales Force'!$D:$E,2,0)</f>
        <v>Kyrollos Naguib Fakhry</v>
      </c>
      <c r="D272" s="8" t="str">
        <f>VLOOKUP(B272,'[3]Sales Force'!$D:$J,7,0)</f>
        <v>MR</v>
      </c>
      <c r="E272" s="8">
        <f>VLOOKUP(C272,'[3]Sales Force'!$D:$O,12,0)</f>
        <v>280</v>
      </c>
      <c r="F272" s="8">
        <f>VLOOKUP(B272,'[3]Sales Force'!$D:$L,9,0)</f>
        <v>1061838590</v>
      </c>
      <c r="G272" s="9">
        <f>VLOOKUP(B272,'[3]Sales Force'!$D:$M,10,0)</f>
        <v>45512</v>
      </c>
      <c r="H272" s="8" t="str">
        <f>VLOOKUP(B272,'[3]Sales Force'!$D:$H,5,0)</f>
        <v>Pumpizan Line</v>
      </c>
      <c r="I272" s="8"/>
      <c r="J272" s="8" t="str">
        <f>VLOOKUP(B272,'[3]Sales Force'!$D:$P,13,0)</f>
        <v>El Falaky (Alex)</v>
      </c>
    </row>
    <row r="273" spans="1:10">
      <c r="A273" s="5">
        <v>1403</v>
      </c>
      <c r="B273" s="13" t="s">
        <v>265</v>
      </c>
      <c r="C273" s="8" t="str">
        <f>VLOOKUP(B273,'[3]Sales Force'!$D:$E,2,0)</f>
        <v>Kyrollos Naguib Fakhry</v>
      </c>
      <c r="D273" s="8" t="str">
        <f>VLOOKUP(B273,'[3]Sales Force'!$D:$J,7,0)</f>
        <v>MR</v>
      </c>
      <c r="E273" s="8">
        <f>VLOOKUP(C273,'[3]Sales Force'!$D:$O,12,0)</f>
        <v>280</v>
      </c>
      <c r="F273" s="8">
        <f>VLOOKUP(B273,'[3]Sales Force'!$D:$L,9,0)</f>
        <v>1551375572</v>
      </c>
      <c r="G273" s="9">
        <f>VLOOKUP(B273,'[3]Sales Force'!$D:$M,10,0)</f>
        <v>45474</v>
      </c>
      <c r="H273" s="8" t="str">
        <f>VLOOKUP(B273,'[3]Sales Force'!$D:$H,5,0)</f>
        <v>Pumpizan Line</v>
      </c>
      <c r="I273" s="8"/>
      <c r="J273" s="8" t="str">
        <f>VLOOKUP(B273,'[3]Sales Force'!$D:$P,13,0)</f>
        <v>Moharam Bek</v>
      </c>
    </row>
    <row r="274" spans="1:10">
      <c r="A274" s="5">
        <v>1057</v>
      </c>
      <c r="B274" s="13" t="s">
        <v>266</v>
      </c>
      <c r="C274" s="8" t="str">
        <f>VLOOKUP(B274,'[3]Sales Force'!$D:$E,2,0)</f>
        <v>Kyrollos Naguib Fakhry</v>
      </c>
      <c r="D274" s="8" t="str">
        <f>VLOOKUP(B274,'[3]Sales Force'!$D:$J,7,0)</f>
        <v>MR</v>
      </c>
      <c r="E274" s="8">
        <f>VLOOKUP(C274,'[3]Sales Force'!$D:$O,12,0)</f>
        <v>280</v>
      </c>
      <c r="F274" s="8" t="str">
        <f>VLOOKUP(B274,'[3]Sales Force'!$D:$L,9,0)</f>
        <v> 01111760452</v>
      </c>
      <c r="G274" s="9">
        <f>VLOOKUP(B274,'[3]Sales Force'!$D:$M,10,0)</f>
        <v>44933</v>
      </c>
      <c r="H274" s="8" t="str">
        <f>VLOOKUP(B274,'[3]Sales Force'!$D:$H,5,0)</f>
        <v>Pumpizan Line</v>
      </c>
      <c r="I274" s="8"/>
      <c r="J274" s="8" t="str">
        <f>VLOOKUP(B274,'[3]Sales Force'!$D:$P,13,0)</f>
        <v>Karmous - Kom El Shoafa</v>
      </c>
    </row>
    <row r="275" spans="1:10">
      <c r="A275" s="5">
        <v>1885</v>
      </c>
      <c r="B275" s="14" t="s">
        <v>637</v>
      </c>
      <c r="C275" s="8" t="str">
        <f>VLOOKUP(B275,'[3]Sales Force'!$D:$E,2,0)</f>
        <v>Kyrollos Naguib Fakhry</v>
      </c>
      <c r="D275" s="8" t="str">
        <f>VLOOKUP(B275,'[3]Sales Force'!$D:$J,7,0)</f>
        <v>MR</v>
      </c>
      <c r="E275" s="8">
        <f>VLOOKUP(C275,'[3]Sales Force'!$D:$O,12,0)</f>
        <v>280</v>
      </c>
      <c r="F275" s="8">
        <f>VLOOKUP(B275,'[3]Sales Force'!$D:$L,9,0)</f>
        <v>1550324451</v>
      </c>
      <c r="G275" s="9">
        <f>VLOOKUP(B275,'[3]Sales Force'!$D:$M,10,0)</f>
        <v>46082</v>
      </c>
      <c r="H275" s="8" t="str">
        <f>VLOOKUP(B275,'[3]Sales Force'!$D:$H,5,0)</f>
        <v>Pumpizan Line</v>
      </c>
      <c r="I275" s="8"/>
      <c r="J275" s="8" t="str">
        <f>VLOOKUP(B275,'[3]Sales Force'!$D:$P,13,0)</f>
        <v>El Asafra</v>
      </c>
    </row>
    <row r="276" spans="1:10">
      <c r="A276" s="5">
        <v>1579</v>
      </c>
      <c r="B276" s="13" t="s">
        <v>267</v>
      </c>
      <c r="C276" s="8" t="str">
        <f>VLOOKUP(B276,'[3]Sales Force'!$D:$E,2,0)</f>
        <v>Kyrollos Naguib Fakhry</v>
      </c>
      <c r="D276" s="8" t="str">
        <f>VLOOKUP(B276,'[3]Sales Force'!$D:$J,7,0)</f>
        <v>MR</v>
      </c>
      <c r="E276" s="8">
        <f>VLOOKUP(C276,'[3]Sales Force'!$D:$O,12,0)</f>
        <v>280</v>
      </c>
      <c r="F276" s="8">
        <f>VLOOKUP(B276,'[3]Sales Force'!$D:$L,9,0)</f>
        <v>1000983428</v>
      </c>
      <c r="G276" s="9">
        <f>VLOOKUP(B276,'[3]Sales Force'!$D:$M,10,0)</f>
        <v>45720</v>
      </c>
      <c r="H276" s="8" t="str">
        <f>VLOOKUP(B276,'[3]Sales Force'!$D:$H,5,0)</f>
        <v>Pumpizan Line</v>
      </c>
      <c r="I276" s="8"/>
      <c r="J276" s="8" t="str">
        <f>VLOOKUP(B276,'[3]Sales Force'!$D:$P,13,0)</f>
        <v>Baccos - El Raml El Meery</v>
      </c>
    </row>
    <row r="277" spans="1:10">
      <c r="A277" s="5">
        <v>1540</v>
      </c>
      <c r="B277" s="13" t="s">
        <v>268</v>
      </c>
      <c r="C277" s="8" t="str">
        <f>VLOOKUP(B277,'[3]Sales Force'!$D:$E,2,0)</f>
        <v>Kyrollos Naguib Fakhry</v>
      </c>
      <c r="D277" s="8" t="str">
        <f>VLOOKUP(B277,'[3]Sales Force'!$D:$J,7,0)</f>
        <v>MR</v>
      </c>
      <c r="E277" s="8">
        <f>VLOOKUP(C277,'[3]Sales Force'!$D:$O,12,0)</f>
        <v>280</v>
      </c>
      <c r="F277" s="8">
        <f>VLOOKUP(B277,'[3]Sales Force'!$D:$L,9,0)</f>
        <v>1025704989</v>
      </c>
      <c r="G277" s="9">
        <f>VLOOKUP(B277,'[3]Sales Force'!$D:$M,10,0)</f>
        <v>45699</v>
      </c>
      <c r="H277" s="8" t="str">
        <f>VLOOKUP(B277,'[3]Sales Force'!$D:$H,5,0)</f>
        <v>Pumpizan Line</v>
      </c>
      <c r="I277" s="8"/>
      <c r="J277" s="8" t="str">
        <f>VLOOKUP(B277,'[3]Sales Force'!$D:$P,13,0)</f>
        <v>El Laban</v>
      </c>
    </row>
    <row r="278" spans="1:10">
      <c r="A278" s="5">
        <v>1316</v>
      </c>
      <c r="B278" s="12" t="s">
        <v>269</v>
      </c>
      <c r="C278" s="8" t="str">
        <f>VLOOKUP(B278,'[3]Sales Force'!$D:$F,3,0)</f>
        <v>Ibrahim Ali ElAshwah</v>
      </c>
      <c r="D278" s="8" t="str">
        <f>VLOOKUP(B278,'[3]Sales Force'!$D:$J,7,0)</f>
        <v>DM</v>
      </c>
      <c r="E278" s="8">
        <f>VLOOKUP(C278,'[3]Sales Force'!$D:$O,12,0)</f>
        <v>66</v>
      </c>
      <c r="F278" s="8">
        <f>VLOOKUP(B278,'[3]Sales Force'!$D:$L,9,0)</f>
        <v>1020097433</v>
      </c>
      <c r="G278" s="9">
        <f>VLOOKUP(B278,'[3]Sales Force'!$D:$M,10,0)</f>
        <v>45269</v>
      </c>
      <c r="H278" s="8" t="str">
        <f>VLOOKUP(B278,'[3]Sales Force'!$D:$H,5,0)</f>
        <v>Pumpizan Line</v>
      </c>
      <c r="I278" s="8" t="str">
        <f>VLOOKUP(B278,'[3]Sales Force'!$D:$N,11,0)</f>
        <v>Salma.Khater@averroes-eg.com</v>
      </c>
      <c r="J278" s="8" t="str">
        <f>VLOOKUP(B278,'[3]Sales Force'!$D:$P,13,0)</f>
        <v>Shoubra (Damanhour)</v>
      </c>
    </row>
    <row r="279" spans="1:10">
      <c r="A279" s="5">
        <v>1045</v>
      </c>
      <c r="B279" s="13" t="s">
        <v>270</v>
      </c>
      <c r="C279" s="8" t="str">
        <f>VLOOKUP(B279,'[3]Sales Force'!$D:$E,2,0)</f>
        <v>Salma ElSayed Khater</v>
      </c>
      <c r="D279" s="8" t="str">
        <f>VLOOKUP(B279,'[3]Sales Force'!$D:$J,7,0)</f>
        <v>MR</v>
      </c>
      <c r="E279" s="8">
        <f>VLOOKUP(C279,'[3]Sales Force'!$D:$O,12,0)</f>
        <v>1316</v>
      </c>
      <c r="F279" s="8" t="str">
        <f>VLOOKUP(B279,'[3]Sales Force'!$D:$L,9,0)</f>
        <v> 01006833645</v>
      </c>
      <c r="G279" s="9">
        <f>VLOOKUP(B279,'[3]Sales Force'!$D:$M,10,0)</f>
        <v>44933</v>
      </c>
      <c r="H279" s="8" t="str">
        <f>VLOOKUP(B279,'[3]Sales Force'!$D:$H,5,0)</f>
        <v>Pumpizan Line</v>
      </c>
      <c r="I279" s="8"/>
      <c r="J279" s="8" t="str">
        <f>VLOOKUP(B279,'[3]Sales Force'!$D:$P,13,0)</f>
        <v>Fowa</v>
      </c>
    </row>
    <row r="280" spans="1:10">
      <c r="A280" s="5">
        <v>1763</v>
      </c>
      <c r="B280" s="13" t="s">
        <v>271</v>
      </c>
      <c r="C280" s="8" t="str">
        <f>VLOOKUP(B280,'[3]Sales Force'!$D:$E,2,0)</f>
        <v>Salma ElSayed Khater</v>
      </c>
      <c r="D280" s="8" t="str">
        <f>VLOOKUP(B280,'[3]Sales Force'!$D:$J,7,0)</f>
        <v>MR</v>
      </c>
      <c r="E280" s="8">
        <f>VLOOKUP(C280,'[3]Sales Force'!$D:$O,12,0)</f>
        <v>1316</v>
      </c>
      <c r="F280" s="8">
        <f>VLOOKUP(B280,'[3]Sales Force'!$D:$L,9,0)</f>
        <v>1559667224</v>
      </c>
      <c r="G280" s="9">
        <f>VLOOKUP(B280,'[3]Sales Force'!$D:$M,10,0)</f>
        <v>45934</v>
      </c>
      <c r="H280" s="8" t="str">
        <f>VLOOKUP(B280,'[3]Sales Force'!$D:$H,5,0)</f>
        <v>Pumpizan Line</v>
      </c>
      <c r="I280" s="8"/>
      <c r="J280" s="8" t="str">
        <f>VLOOKUP(B280,'[3]Sales Force'!$D:$P,13,0)</f>
        <v>Damanhour</v>
      </c>
    </row>
    <row r="281" spans="1:10">
      <c r="A281" s="5">
        <v>1855</v>
      </c>
      <c r="B281" s="14" t="s">
        <v>272</v>
      </c>
      <c r="C281" s="8" t="str">
        <f>VLOOKUP(B281,'[3]Sales Force'!$D:$E,2,0)</f>
        <v>Salma ElSayed Khater</v>
      </c>
      <c r="D281" s="8" t="str">
        <f>VLOOKUP(B281,'[3]Sales Force'!$D:$J,7,0)</f>
        <v>MR</v>
      </c>
      <c r="E281" s="8">
        <f>VLOOKUP(C281,'[3]Sales Force'!$D:$O,12,0)</f>
        <v>1316</v>
      </c>
      <c r="F281" s="8">
        <f>VLOOKUP(B281,'[3]Sales Force'!$D:$L,9,0)</f>
        <v>1024347610</v>
      </c>
      <c r="G281" s="9">
        <f>VLOOKUP(B281,'[3]Sales Force'!$D:$M,10,0)</f>
        <v>46061</v>
      </c>
      <c r="H281" s="8" t="str">
        <f>VLOOKUP(B281,'[3]Sales Force'!$D:$H,5,0)</f>
        <v>Pumpizan Line</v>
      </c>
      <c r="I281" s="8"/>
      <c r="J281" s="8" t="str">
        <f>VLOOKUP(B281,'[3]Sales Force'!$D:$P,13,0)</f>
        <v>Kafr El Shiekh</v>
      </c>
    </row>
    <row r="282" spans="1:10">
      <c r="A282" s="5">
        <v>1886</v>
      </c>
      <c r="B282" s="14" t="s">
        <v>638</v>
      </c>
      <c r="C282" s="8" t="str">
        <f>VLOOKUP(B282,'[3]Sales Force'!$D:$E,2,0)</f>
        <v>Salma ElSayed Khater</v>
      </c>
      <c r="D282" s="8" t="str">
        <f>VLOOKUP(B282,'[3]Sales Force'!$D:$J,7,0)</f>
        <v>MR</v>
      </c>
      <c r="E282" s="8">
        <f>VLOOKUP(C282,'[3]Sales Force'!$D:$O,12,0)</f>
        <v>1316</v>
      </c>
      <c r="F282" s="8">
        <f>VLOOKUP(B282,'[3]Sales Force'!$D:$L,9,0)</f>
        <v>1091078618</v>
      </c>
      <c r="G282" s="9">
        <f>VLOOKUP(B282,'[3]Sales Force'!$D:$M,10,0)</f>
        <v>46082</v>
      </c>
      <c r="H282" s="8" t="str">
        <f>VLOOKUP(B282,'[3]Sales Force'!$D:$H,5,0)</f>
        <v>Pumpizan Line</v>
      </c>
      <c r="I282" s="8"/>
      <c r="J282" s="8" t="str">
        <f>VLOOKUP(B282,'[3]Sales Force'!$D:$P,13,0)</f>
        <v>Kafr El Dawar</v>
      </c>
    </row>
    <row r="283" spans="1:10">
      <c r="A283" s="5">
        <v>1047</v>
      </c>
      <c r="B283" s="13" t="s">
        <v>274</v>
      </c>
      <c r="C283" s="8" t="str">
        <f>VLOOKUP(B283,'[3]Sales Force'!$D:$E,2,0)</f>
        <v>Salma ElSayed Khater</v>
      </c>
      <c r="D283" s="8" t="str">
        <f>VLOOKUP(B283,'[3]Sales Force'!$D:$J,7,0)</f>
        <v>MR</v>
      </c>
      <c r="E283" s="8">
        <f>VLOOKUP(C283,'[3]Sales Force'!$D:$O,12,0)</f>
        <v>1316</v>
      </c>
      <c r="F283" s="8" t="str">
        <f>VLOOKUP(B283,'[3]Sales Force'!$D:$L,9,0)</f>
        <v> 01009537103</v>
      </c>
      <c r="G283" s="9">
        <f>VLOOKUP(B283,'[3]Sales Force'!$D:$M,10,0)</f>
        <v>44933</v>
      </c>
      <c r="H283" s="8" t="str">
        <f>VLOOKUP(B283,'[3]Sales Force'!$D:$H,5,0)</f>
        <v>Pumpizan Line</v>
      </c>
      <c r="I283" s="8"/>
      <c r="J283" s="8" t="str">
        <f>VLOOKUP(B283,'[3]Sales Force'!$D:$P,13,0)</f>
        <v>Shoubra (Damanhour)</v>
      </c>
    </row>
    <row r="284" spans="1:10">
      <c r="A284" s="5">
        <v>952</v>
      </c>
      <c r="B284" s="13" t="s">
        <v>275</v>
      </c>
      <c r="C284" s="8" t="str">
        <f>VLOOKUP(B284,'[3]Sales Force'!$D:$E,2,0)</f>
        <v>Salma ElSayed Khater</v>
      </c>
      <c r="D284" s="8" t="str">
        <f>VLOOKUP(B284,'[3]Sales Force'!$D:$J,7,0)</f>
        <v>MR</v>
      </c>
      <c r="E284" s="8">
        <f>VLOOKUP(C284,'[3]Sales Force'!$D:$O,12,0)</f>
        <v>1316</v>
      </c>
      <c r="F284" s="8">
        <f>VLOOKUP(B284,'[3]Sales Force'!$D:$L,9,0)</f>
        <v>1027591843</v>
      </c>
      <c r="G284" s="9">
        <f>VLOOKUP(B284,'[3]Sales Force'!$D:$M,10,0)</f>
        <v>44622</v>
      </c>
      <c r="H284" s="8" t="str">
        <f>VLOOKUP(B284,'[3]Sales Force'!$D:$H,5,0)</f>
        <v>Pumpizan Line</v>
      </c>
      <c r="I284" s="8"/>
      <c r="J284" s="8" t="str">
        <f>VLOOKUP(B284,'[3]Sales Force'!$D:$P,13,0)</f>
        <v>Kafr El Shiekh</v>
      </c>
    </row>
    <row r="285" spans="1:10">
      <c r="A285" s="5">
        <v>999</v>
      </c>
      <c r="B285" s="11" t="s">
        <v>276</v>
      </c>
      <c r="C285" s="8" t="str">
        <f>VLOOKUP(B285,'[3]Sales Force'!$D:$G,4,0)</f>
        <v>Ibrahim Ammar</v>
      </c>
      <c r="D285" s="8" t="str">
        <f>VLOOKUP(B285,'[3]Sales Force'!$D:$J,7,0)</f>
        <v>AM</v>
      </c>
      <c r="E285" s="8">
        <f>VLOOKUP(C285,'[3]Sales Force'!$D:$O,12,0)</f>
        <v>60</v>
      </c>
      <c r="F285" s="8" t="str">
        <f>VLOOKUP(B285,'[3]Sales Force'!$D:$L,9,0)</f>
        <v> 01228361150</v>
      </c>
      <c r="G285" s="9">
        <f>VLOOKUP(B285,'[3]Sales Force'!$D:$M,10,0)</f>
        <v>44819</v>
      </c>
      <c r="H285" s="8" t="str">
        <f>VLOOKUP(B285,'[3]Sales Force'!$D:$H,5,0)</f>
        <v>Fulprazal Line &amp; Pumpizan Line</v>
      </c>
      <c r="I285" s="8" t="str">
        <f>VLOOKUP(B285,'[3]Sales Force'!$D:$N,11,0)</f>
        <v>Habib.Nady.Habib@averroes-eg.com</v>
      </c>
      <c r="J285" s="8" t="str">
        <f>VLOOKUP(B285,'[3]Sales Force'!$D:$P,13,0)</f>
        <v>Malawy</v>
      </c>
    </row>
    <row r="286" spans="1:10">
      <c r="A286" s="5">
        <v>617</v>
      </c>
      <c r="B286" s="12" t="s">
        <v>277</v>
      </c>
      <c r="C286" s="8" t="str">
        <f>VLOOKUP(B286,'[3]Sales Force'!$D:$F,3,0)</f>
        <v>Habib Nady Habib</v>
      </c>
      <c r="D286" s="8" t="str">
        <f>VLOOKUP(B286,'[3]Sales Force'!$D:$J,7,0)</f>
        <v>DM</v>
      </c>
      <c r="E286" s="8">
        <f>VLOOKUP(C286,'[3]Sales Force'!$D:$O,12,0)</f>
        <v>999</v>
      </c>
      <c r="F286" s="8" t="str">
        <f>VLOOKUP(B286,'[3]Sales Force'!$D:$L,9,0)</f>
        <v> 1050111554</v>
      </c>
      <c r="G286" s="9">
        <f>VLOOKUP(B286,'[3]Sales Force'!$D:$M,10,0)</f>
        <v>43876</v>
      </c>
      <c r="H286" s="8" t="str">
        <f>VLOOKUP(B286,'[3]Sales Force'!$D:$H,5,0)</f>
        <v>Fulprazal Line</v>
      </c>
      <c r="I286" s="8" t="str">
        <f>VLOOKUP(B286,'[3]Sales Force'!$D:$N,11,0)</f>
        <v>Ahmed.Gaber.Abdelhamid@averroes-eg.com</v>
      </c>
      <c r="J286" s="8" t="str">
        <f>VLOOKUP(B286,'[3]Sales Force'!$D:$P,13,0)</f>
        <v>Sohag City</v>
      </c>
    </row>
    <row r="287" spans="1:10">
      <c r="A287" s="5">
        <v>1431</v>
      </c>
      <c r="B287" s="13" t="s">
        <v>278</v>
      </c>
      <c r="C287" s="8" t="str">
        <f>VLOOKUP(B287,'[3]Sales Force'!$D:$E,2,0)</f>
        <v>Ahmed Gaber Abdelhamid</v>
      </c>
      <c r="D287" s="8" t="str">
        <f>VLOOKUP(B287,'[3]Sales Force'!$D:$J,7,0)</f>
        <v>MR</v>
      </c>
      <c r="E287" s="8">
        <f>VLOOKUP(C287,'[3]Sales Force'!$D:$O,12,0)</f>
        <v>617</v>
      </c>
      <c r="F287" s="8">
        <f>VLOOKUP(B287,'[3]Sales Force'!$D:$L,9,0)</f>
        <v>1018125725</v>
      </c>
      <c r="G287" s="9">
        <f>VLOOKUP(B287,'[3]Sales Force'!$D:$M,10,0)</f>
        <v>45519</v>
      </c>
      <c r="H287" s="8" t="str">
        <f>VLOOKUP(B287,'[3]Sales Force'!$D:$H,5,0)</f>
        <v>Fulprazal Line</v>
      </c>
      <c r="I287" s="8"/>
      <c r="J287" s="8" t="str">
        <f>VLOOKUP(B287,'[3]Sales Force'!$D:$P,13,0)</f>
        <v>Aswan City</v>
      </c>
    </row>
    <row r="288" spans="1:10">
      <c r="A288" s="5">
        <v>1873</v>
      </c>
      <c r="B288" s="14" t="s">
        <v>639</v>
      </c>
      <c r="C288" s="8" t="str">
        <f>VLOOKUP(B288,'[3]Sales Force'!$D:$E,2,0)</f>
        <v>Ahmed Gaber Abdelhamid</v>
      </c>
      <c r="D288" s="8" t="str">
        <f>VLOOKUP(B288,'[3]Sales Force'!$D:$J,7,0)</f>
        <v>MR</v>
      </c>
      <c r="E288" s="8">
        <f>VLOOKUP(C288,'[3]Sales Force'!$D:$O,12,0)</f>
        <v>617</v>
      </c>
      <c r="F288" s="8">
        <f>VLOOKUP(B288,'[3]Sales Force'!$D:$L,9,0)</f>
        <v>1226484163</v>
      </c>
      <c r="G288" s="9">
        <f>VLOOKUP(B288,'[3]Sales Force'!$D:$M,10,0)</f>
        <v>46067</v>
      </c>
      <c r="H288" s="8" t="str">
        <f>VLOOKUP(B288,'[3]Sales Force'!$D:$H,5,0)</f>
        <v>Fulprazal Line</v>
      </c>
      <c r="I288" s="8"/>
      <c r="J288" s="8" t="str">
        <f>VLOOKUP(B288,'[3]Sales Force'!$D:$P,13,0)</f>
        <v>Hurgada</v>
      </c>
    </row>
    <row r="289" spans="1:10">
      <c r="A289" s="5">
        <v>1851</v>
      </c>
      <c r="B289" s="14" t="s">
        <v>279</v>
      </c>
      <c r="C289" s="8" t="str">
        <f>VLOOKUP(B289,'[3]Sales Force'!$D:$E,2,0)</f>
        <v>Ahmed Gaber Abdelhamid</v>
      </c>
      <c r="D289" s="8" t="str">
        <f>VLOOKUP(B289,'[3]Sales Force'!$D:$J,7,0)</f>
        <v>MR</v>
      </c>
      <c r="E289" s="8">
        <f>VLOOKUP(C289,'[3]Sales Force'!$D:$O,12,0)</f>
        <v>617</v>
      </c>
      <c r="F289" s="8">
        <f>VLOOKUP(B289,'[3]Sales Force'!$D:$L,9,0)</f>
        <v>1220078016</v>
      </c>
      <c r="G289" s="9">
        <f>VLOOKUP(B289,'[3]Sales Force'!$D:$M,10,0)</f>
        <v>46054</v>
      </c>
      <c r="H289" s="8" t="str">
        <f>VLOOKUP(B289,'[3]Sales Force'!$D:$H,5,0)</f>
        <v>Fulprazal Line</v>
      </c>
      <c r="I289" s="8"/>
      <c r="J289" s="8" t="str">
        <f>VLOOKUP(B289,'[3]Sales Force'!$D:$P,13,0)</f>
        <v>Sohag City</v>
      </c>
    </row>
    <row r="290" spans="1:10">
      <c r="A290" s="5">
        <v>1026</v>
      </c>
      <c r="B290" s="13" t="s">
        <v>280</v>
      </c>
      <c r="C290" s="8" t="str">
        <f>VLOOKUP(B290,'[3]Sales Force'!$D:$E,2,0)</f>
        <v>Ahmed Gaber Abdelhamid</v>
      </c>
      <c r="D290" s="8" t="str">
        <f>VLOOKUP(B290,'[3]Sales Force'!$D:$J,7,0)</f>
        <v>MR</v>
      </c>
      <c r="E290" s="8">
        <f>VLOOKUP(C290,'[3]Sales Force'!$D:$O,12,0)</f>
        <v>617</v>
      </c>
      <c r="F290" s="8">
        <f>VLOOKUP(B290,'[3]Sales Force'!$D:$L,9,0)</f>
        <v>1098607150</v>
      </c>
      <c r="G290" s="9">
        <f>VLOOKUP(B290,'[3]Sales Force'!$D:$M,10,0)</f>
        <v>44880</v>
      </c>
      <c r="H290" s="8" t="str">
        <f>VLOOKUP(B290,'[3]Sales Force'!$D:$H,5,0)</f>
        <v>Fulprazal Line</v>
      </c>
      <c r="I290" s="8"/>
      <c r="J290" s="8" t="str">
        <f>VLOOKUP(B290,'[3]Sales Force'!$D:$P,13,0)</f>
        <v>Gerga</v>
      </c>
    </row>
    <row r="291" spans="1:10">
      <c r="A291" s="5">
        <v>1581</v>
      </c>
      <c r="B291" s="13" t="s">
        <v>281</v>
      </c>
      <c r="C291" s="8" t="str">
        <f>VLOOKUP(B291,'[3]Sales Force'!$D:$E,2,0)</f>
        <v>Ahmed Gaber Abdelhamid</v>
      </c>
      <c r="D291" s="8" t="str">
        <f>VLOOKUP(B291,'[3]Sales Force'!$D:$J,7,0)</f>
        <v>MR</v>
      </c>
      <c r="E291" s="8">
        <f>VLOOKUP(C291,'[3]Sales Force'!$D:$O,12,0)</f>
        <v>617</v>
      </c>
      <c r="F291" s="8">
        <f>VLOOKUP(B291,'[3]Sales Force'!$D:$L,9,0)</f>
        <v>1152582958</v>
      </c>
      <c r="G291" s="9">
        <f>VLOOKUP(B291,'[3]Sales Force'!$D:$M,10,0)</f>
        <v>45724</v>
      </c>
      <c r="H291" s="8" t="str">
        <f>VLOOKUP(B291,'[3]Sales Force'!$D:$H,5,0)</f>
        <v>Fulprazal Line</v>
      </c>
      <c r="I291" s="8"/>
      <c r="J291" s="8" t="str">
        <f>VLOOKUP(B291,'[3]Sales Force'!$D:$P,13,0)</f>
        <v>Luxor City</v>
      </c>
    </row>
    <row r="292" spans="1:10">
      <c r="A292" s="5">
        <v>1580</v>
      </c>
      <c r="B292" s="13" t="s">
        <v>282</v>
      </c>
      <c r="C292" s="8" t="str">
        <f>VLOOKUP(B292,'[3]Sales Force'!$D:$E,2,0)</f>
        <v>Ahmed Gaber Abdelhamid</v>
      </c>
      <c r="D292" s="8" t="str">
        <f>VLOOKUP(B292,'[3]Sales Force'!$D:$J,7,0)</f>
        <v>MR</v>
      </c>
      <c r="E292" s="8">
        <f>VLOOKUP(C292,'[3]Sales Force'!$D:$O,12,0)</f>
        <v>617</v>
      </c>
      <c r="F292" s="8">
        <f>VLOOKUP(B292,'[3]Sales Force'!$D:$L,9,0)</f>
        <v>1015177409</v>
      </c>
      <c r="G292" s="9">
        <f>VLOOKUP(B292,'[3]Sales Force'!$D:$M,10,0)</f>
        <v>45724</v>
      </c>
      <c r="H292" s="8" t="str">
        <f>VLOOKUP(B292,'[3]Sales Force'!$D:$H,5,0)</f>
        <v>Fulprazal Line</v>
      </c>
      <c r="I292" s="8"/>
      <c r="J292" s="8" t="str">
        <f>VLOOKUP(B292,'[3]Sales Force'!$D:$P,13,0)</f>
        <v>Quena City</v>
      </c>
    </row>
    <row r="293" spans="1:10">
      <c r="A293" s="5">
        <v>1809</v>
      </c>
      <c r="B293" s="13" t="s">
        <v>283</v>
      </c>
      <c r="C293" s="8" t="str">
        <f>VLOOKUP(B293,'[3]Sales Force'!$D:$E,2,0)</f>
        <v>Ahmed Gaber Abdelhamid</v>
      </c>
      <c r="D293" s="8" t="str">
        <f>VLOOKUP(B293,'[3]Sales Force'!$D:$J,7,0)</f>
        <v>MR</v>
      </c>
      <c r="E293" s="8">
        <f>VLOOKUP(C293,'[3]Sales Force'!$D:$O,12,0)</f>
        <v>617</v>
      </c>
      <c r="F293" s="8">
        <f>VLOOKUP(B293,'[3]Sales Force'!$D:$L,9,0)</f>
        <v>1065978606</v>
      </c>
      <c r="G293" s="9">
        <f>VLOOKUP(B293,'[3]Sales Force'!$D:$M,10,0)</f>
        <v>45997</v>
      </c>
      <c r="H293" s="8" t="str">
        <f>VLOOKUP(B293,'[3]Sales Force'!$D:$H,5,0)</f>
        <v>Fulprazal Line</v>
      </c>
      <c r="I293" s="8"/>
      <c r="J293" s="8" t="str">
        <f>VLOOKUP(B293,'[3]Sales Force'!$D:$P,13,0)</f>
        <v>Nagaa Hamady</v>
      </c>
    </row>
    <row r="294" spans="1:10">
      <c r="A294" s="5">
        <v>1428</v>
      </c>
      <c r="B294" s="13" t="s">
        <v>284</v>
      </c>
      <c r="C294" s="8" t="str">
        <f>VLOOKUP(B294,'[3]Sales Force'!$D:$E,2,0)</f>
        <v>Ahmed Gaber Abdelhamid</v>
      </c>
      <c r="D294" s="8" t="str">
        <f>VLOOKUP(B294,'[3]Sales Force'!$D:$J,7,0)</f>
        <v>MR</v>
      </c>
      <c r="E294" s="8">
        <f>VLOOKUP(C294,'[3]Sales Force'!$D:$O,12,0)</f>
        <v>617</v>
      </c>
      <c r="F294" s="8">
        <f>VLOOKUP(B294,'[3]Sales Force'!$D:$L,9,0)</f>
        <v>1145077868</v>
      </c>
      <c r="G294" s="9">
        <f>VLOOKUP(B294,'[3]Sales Force'!$D:$M,10,0)</f>
        <v>45505</v>
      </c>
      <c r="H294" s="8" t="str">
        <f>VLOOKUP(B294,'[3]Sales Force'!$D:$H,5,0)</f>
        <v>Fulprazal Line</v>
      </c>
      <c r="I294" s="8"/>
      <c r="J294" s="8" t="str">
        <f>VLOOKUP(B294,'[3]Sales Force'!$D:$P,13,0)</f>
        <v>El Maragha</v>
      </c>
    </row>
    <row r="295" spans="1:10">
      <c r="A295" s="5">
        <v>1585</v>
      </c>
      <c r="B295" s="12" t="s">
        <v>285</v>
      </c>
      <c r="C295" s="8" t="str">
        <f>VLOOKUP(B295,'[3]Sales Force'!$D:$F,3,0)</f>
        <v>Habib Nady Habib</v>
      </c>
      <c r="D295" s="8" t="str">
        <f>VLOOKUP(B295,'[3]Sales Force'!$D:$J,7,0)</f>
        <v>DM</v>
      </c>
      <c r="E295" s="8">
        <f>VLOOKUP(C295,'[3]Sales Force'!$D:$O,12,0)</f>
        <v>999</v>
      </c>
      <c r="F295" s="8">
        <f>VLOOKUP(B295,'[3]Sales Force'!$D:$L,9,0)</f>
        <v>1062117440</v>
      </c>
      <c r="G295" s="9">
        <f>VLOOKUP(B295,'[3]Sales Force'!$D:$M,10,0)</f>
        <v>45719</v>
      </c>
      <c r="H295" s="8" t="str">
        <f>VLOOKUP(B295,'[3]Sales Force'!$D:$H,5,0)</f>
        <v>Fulprazal Line</v>
      </c>
      <c r="I295" s="8" t="str">
        <f>VLOOKUP(B295,'[3]Sales Force'!$D:$N,11,0)</f>
        <v>Mostafa.Mahmoud.Elkady@averroes-eg.com</v>
      </c>
      <c r="J295" s="8" t="str">
        <f>VLOOKUP(B295,'[3]Sales Force'!$D:$P,13,0)</f>
        <v>Assuit City</v>
      </c>
    </row>
    <row r="296" spans="1:10">
      <c r="A296" s="5">
        <v>1584</v>
      </c>
      <c r="B296" s="13" t="s">
        <v>286</v>
      </c>
      <c r="C296" s="8" t="str">
        <f>VLOOKUP(B296,'[3]Sales Force'!$D:$E,2,0)</f>
        <v>Mostafa Mahmoud Ali Elkady</v>
      </c>
      <c r="D296" s="8" t="str">
        <f>VLOOKUP(B296,'[3]Sales Force'!$D:$J,7,0)</f>
        <v>MR</v>
      </c>
      <c r="E296" s="8">
        <f>VLOOKUP(C296,'[3]Sales Force'!$D:$O,12,0)</f>
        <v>1585</v>
      </c>
      <c r="F296" s="8">
        <f>VLOOKUP(B296,'[3]Sales Force'!$D:$L,9,0)</f>
        <v>1143134856</v>
      </c>
      <c r="G296" s="9">
        <f>VLOOKUP(B296,'[3]Sales Force'!$D:$M,10,0)</f>
        <v>45717</v>
      </c>
      <c r="H296" s="8" t="str">
        <f>VLOOKUP(B296,'[3]Sales Force'!$D:$H,5,0)</f>
        <v>Fulprazal Line</v>
      </c>
      <c r="I296" s="8"/>
      <c r="J296" s="8" t="str">
        <f>VLOOKUP(B296,'[3]Sales Force'!$D:$P,13,0)</f>
        <v>Assuit City</v>
      </c>
    </row>
    <row r="297" spans="1:10">
      <c r="A297" s="5">
        <v>1042</v>
      </c>
      <c r="B297" s="13" t="s">
        <v>287</v>
      </c>
      <c r="C297" s="8" t="str">
        <f>VLOOKUP(B297,'[3]Sales Force'!$D:$E,2,0)</f>
        <v>Mostafa Mahmoud Ali Elkady</v>
      </c>
      <c r="D297" s="8" t="str">
        <f>VLOOKUP(B297,'[3]Sales Force'!$D:$J,7,0)</f>
        <v>MR</v>
      </c>
      <c r="E297" s="8">
        <f>VLOOKUP(C297,'[3]Sales Force'!$D:$O,12,0)</f>
        <v>1585</v>
      </c>
      <c r="F297" s="8" t="str">
        <f>VLOOKUP(B297,'[3]Sales Force'!$D:$L,9,0)</f>
        <v> 01274256429</v>
      </c>
      <c r="G297" s="9">
        <f>VLOOKUP(B297,'[3]Sales Force'!$D:$M,10,0)</f>
        <v>44931</v>
      </c>
      <c r="H297" s="8" t="str">
        <f>VLOOKUP(B297,'[3]Sales Force'!$D:$H,5,0)</f>
        <v>Fulprazal Line</v>
      </c>
      <c r="I297" s="8"/>
      <c r="J297" s="8" t="str">
        <f>VLOOKUP(B297,'[3]Sales Force'!$D:$P,13,0)</f>
        <v>Dayrout</v>
      </c>
    </row>
    <row r="298" spans="1:10">
      <c r="A298" s="5">
        <v>1932</v>
      </c>
      <c r="B298" s="14" t="s">
        <v>640</v>
      </c>
      <c r="C298" s="8" t="str">
        <f>VLOOKUP(B298,'[3]Sales Force'!$D:$E,2,0)</f>
        <v>Mostafa Mahmoud Ali Elkady</v>
      </c>
      <c r="D298" s="8" t="str">
        <f>VLOOKUP(B298,'[3]Sales Force'!$D:$J,7,0)</f>
        <v>MR</v>
      </c>
      <c r="E298" s="8">
        <f>VLOOKUP(C298,'[3]Sales Force'!$D:$O,12,0)</f>
        <v>1585</v>
      </c>
      <c r="F298" s="8">
        <f>VLOOKUP(B298,'[3]Sales Force'!$D:$L,9,0)</f>
        <v>1098109916</v>
      </c>
      <c r="G298" s="9">
        <f>VLOOKUP(B298,'[3]Sales Force'!$D:$M,10,0)</f>
        <v>46123</v>
      </c>
      <c r="H298" s="8" t="str">
        <f>VLOOKUP(B298,'[3]Sales Force'!$D:$H,5,0)</f>
        <v>Fulprazal Line</v>
      </c>
      <c r="I298" s="8"/>
      <c r="J298" s="8" t="str">
        <f>VLOOKUP(B298,'[3]Sales Force'!$D:$P,13,0)</f>
        <v>Bani Swaif City</v>
      </c>
    </row>
    <row r="299" spans="1:10">
      <c r="A299" s="5">
        <v>1888</v>
      </c>
      <c r="B299" s="14" t="s">
        <v>641</v>
      </c>
      <c r="C299" s="8" t="str">
        <f>VLOOKUP(B299,'[3]Sales Force'!$D:$E,2,0)</f>
        <v>Mostafa Mahmoud Ali Elkady</v>
      </c>
      <c r="D299" s="8" t="str">
        <f>VLOOKUP(B299,'[3]Sales Force'!$D:$J,7,0)</f>
        <v>MR</v>
      </c>
      <c r="E299" s="8">
        <f>VLOOKUP(C299,'[3]Sales Force'!$D:$O,12,0)</f>
        <v>1585</v>
      </c>
      <c r="F299" s="8">
        <f>VLOOKUP(B299,'[3]Sales Force'!$D:$L,9,0)</f>
        <v>1001203357</v>
      </c>
      <c r="G299" s="9">
        <f>VLOOKUP(B299,'[3]Sales Force'!$D:$M,10,0)</f>
        <v>46082</v>
      </c>
      <c r="H299" s="8" t="str">
        <f>VLOOKUP(B299,'[3]Sales Force'!$D:$H,5,0)</f>
        <v>Fulprazal Line</v>
      </c>
      <c r="I299" s="8"/>
      <c r="J299" s="8" t="str">
        <f>VLOOKUP(B299,'[3]Sales Force'!$D:$P,13,0)</f>
        <v>Assuit City</v>
      </c>
    </row>
    <row r="300" spans="1:10">
      <c r="A300" s="5">
        <v>1864</v>
      </c>
      <c r="B300" s="14" t="s">
        <v>288</v>
      </c>
      <c r="C300" s="8" t="str">
        <f>VLOOKUP(B300,'[3]Sales Force'!$D:$E,2,0)</f>
        <v>Mostafa Mahmoud Ali Elkady</v>
      </c>
      <c r="D300" s="8" t="str">
        <f>VLOOKUP(B300,'[3]Sales Force'!$D:$J,7,0)</f>
        <v>MR</v>
      </c>
      <c r="E300" s="8">
        <f>VLOOKUP(C300,'[3]Sales Force'!$D:$O,12,0)</f>
        <v>1585</v>
      </c>
      <c r="F300" s="8">
        <f>VLOOKUP(B300,'[3]Sales Force'!$D:$L,9,0)</f>
        <v>1008352320</v>
      </c>
      <c r="G300" s="9">
        <f>VLOOKUP(B300,'[3]Sales Force'!$D:$M,10,0)</f>
        <v>46056</v>
      </c>
      <c r="H300" s="8" t="str">
        <f>VLOOKUP(B300,'[3]Sales Force'!$D:$H,5,0)</f>
        <v>Fulprazal Line</v>
      </c>
      <c r="I300" s="8"/>
      <c r="J300" s="8" t="str">
        <f>VLOOKUP(B300,'[3]Sales Force'!$D:$P,13,0)</f>
        <v>El Menia City</v>
      </c>
    </row>
    <row r="301" spans="1:10">
      <c r="A301" s="5">
        <v>1475</v>
      </c>
      <c r="B301" s="13" t="s">
        <v>289</v>
      </c>
      <c r="C301" s="8" t="str">
        <f>VLOOKUP(B301,'[3]Sales Force'!$D:$E,2,0)</f>
        <v>Mostafa Mahmoud Ali Elkady</v>
      </c>
      <c r="D301" s="8" t="str">
        <f>VLOOKUP(B301,'[3]Sales Force'!$D:$J,7,0)</f>
        <v>MR</v>
      </c>
      <c r="E301" s="8">
        <f>VLOOKUP(C301,'[3]Sales Force'!$D:$O,12,0)</f>
        <v>1585</v>
      </c>
      <c r="F301" s="8">
        <f>VLOOKUP(B301,'[3]Sales Force'!$D:$L,9,0)</f>
        <v>1552062824</v>
      </c>
      <c r="G301" s="9">
        <f>VLOOKUP(B301,'[3]Sales Force'!$D:$M,10,0)</f>
        <v>45640</v>
      </c>
      <c r="H301" s="8" t="str">
        <f>VLOOKUP(B301,'[3]Sales Force'!$D:$H,5,0)</f>
        <v>Fulprazal Line</v>
      </c>
      <c r="I301" s="8"/>
      <c r="J301" s="8" t="str">
        <f>VLOOKUP(B301,'[3]Sales Force'!$D:$P,13,0)</f>
        <v>Bani Mazar</v>
      </c>
    </row>
    <row r="302" spans="1:10">
      <c r="A302" s="5">
        <v>1463</v>
      </c>
      <c r="B302" s="13" t="s">
        <v>290</v>
      </c>
      <c r="C302" s="8" t="str">
        <f>VLOOKUP(B302,'[3]Sales Force'!$D:$E,2,0)</f>
        <v>Mostafa Mahmoud Ali Elkady</v>
      </c>
      <c r="D302" s="8" t="str">
        <f>VLOOKUP(B302,'[3]Sales Force'!$D:$J,7,0)</f>
        <v>MR</v>
      </c>
      <c r="E302" s="8">
        <f>VLOOKUP(C302,'[3]Sales Force'!$D:$O,12,0)</f>
        <v>1585</v>
      </c>
      <c r="F302" s="8">
        <f>VLOOKUP(B302,'[3]Sales Force'!$D:$L,9,0)</f>
        <v>1211720449</v>
      </c>
      <c r="G302" s="9">
        <f>VLOOKUP(B302,'[3]Sales Force'!$D:$M,10,0)</f>
        <v>45627</v>
      </c>
      <c r="H302" s="8" t="str">
        <f>VLOOKUP(B302,'[3]Sales Force'!$D:$H,5,0)</f>
        <v>Fulprazal Line</v>
      </c>
      <c r="I302" s="8"/>
      <c r="J302" s="8" t="str">
        <f>VLOOKUP(B302,'[3]Sales Force'!$D:$P,13,0)</f>
        <v>Abou Korkas</v>
      </c>
    </row>
    <row r="303" spans="1:10">
      <c r="A303" s="5">
        <v>1224</v>
      </c>
      <c r="B303" s="12" t="s">
        <v>291</v>
      </c>
      <c r="C303" s="8" t="str">
        <f>VLOOKUP(B303,'[3]Sales Force'!$D:$F,3,0)</f>
        <v>Habib Nady Habib</v>
      </c>
      <c r="D303" s="8" t="str">
        <f>VLOOKUP(B303,'[3]Sales Force'!$D:$J,7,0)</f>
        <v>DM</v>
      </c>
      <c r="E303" s="8">
        <f>VLOOKUP(C303,'[3]Sales Force'!$D:$O,12,0)</f>
        <v>999</v>
      </c>
      <c r="F303" s="8">
        <f>VLOOKUP(B303,'[3]Sales Force'!$D:$L,9,0)</f>
        <v>1000613861</v>
      </c>
      <c r="G303" s="9">
        <f>VLOOKUP(B303,'[3]Sales Force'!$D:$M,10,0)</f>
        <v>45087</v>
      </c>
      <c r="H303" s="8" t="str">
        <f>VLOOKUP(B303,'[3]Sales Force'!$D:$H,5,0)</f>
        <v>Pumpizan Line</v>
      </c>
      <c r="I303" s="8" t="str">
        <f>VLOOKUP(B303,'[3]Sales Force'!$D:$N,11,0)</f>
        <v>Mahmoud.Sayed.Ahmed@averroes-eg.com</v>
      </c>
      <c r="J303" s="8" t="str">
        <f>VLOOKUP(B303,'[3]Sales Force'!$D:$P,13,0)</f>
        <v>Luxor City</v>
      </c>
    </row>
    <row r="304" spans="1:10">
      <c r="A304" s="5">
        <v>1705</v>
      </c>
      <c r="B304" s="13" t="s">
        <v>292</v>
      </c>
      <c r="C304" s="8" t="str">
        <f>VLOOKUP(B304,'[3]Sales Force'!$D:$E,2,0)</f>
        <v>Mahmoud Sayed Ahmed Galal</v>
      </c>
      <c r="D304" s="8" t="str">
        <f>VLOOKUP(B304,'[3]Sales Force'!$D:$J,7,0)</f>
        <v>MR</v>
      </c>
      <c r="E304" s="8">
        <f>VLOOKUP(C304,'[3]Sales Force'!$D:$O,12,0)</f>
        <v>1224</v>
      </c>
      <c r="F304" s="8">
        <f>VLOOKUP(B304,'[3]Sales Force'!$D:$L,9,0)</f>
        <v>1098199449</v>
      </c>
      <c r="G304" s="9">
        <f>VLOOKUP(B304,'[3]Sales Force'!$D:$M,10,0)</f>
        <v>45843</v>
      </c>
      <c r="H304" s="8" t="str">
        <f>VLOOKUP(B304,'[3]Sales Force'!$D:$H,5,0)</f>
        <v>Pumpizan Line</v>
      </c>
      <c r="I304" s="8"/>
      <c r="J304" s="8" t="str">
        <f>VLOOKUP(B304,'[3]Sales Force'!$D:$P,13,0)</f>
        <v>Quena City </v>
      </c>
    </row>
    <row r="305" spans="1:10">
      <c r="A305" s="5">
        <v>1931</v>
      </c>
      <c r="B305" s="14" t="s">
        <v>642</v>
      </c>
      <c r="C305" s="8" t="str">
        <f>VLOOKUP(B305,'[3]Sales Force'!$D:$E,2,0)</f>
        <v>Mahmoud Sayed Ahmed Galal</v>
      </c>
      <c r="D305" s="8" t="str">
        <f>VLOOKUP(B305,'[3]Sales Force'!$D:$J,7,0)</f>
        <v>MR</v>
      </c>
      <c r="E305" s="8">
        <f>VLOOKUP(C305,'[3]Sales Force'!$D:$O,12,0)</f>
        <v>1224</v>
      </c>
      <c r="F305" s="8">
        <f>VLOOKUP(B305,'[3]Sales Force'!$D:$L,9,0)</f>
        <v>1226879326</v>
      </c>
      <c r="G305" s="9">
        <f>VLOOKUP(B305,'[3]Sales Force'!$D:$M,10,0)</f>
        <v>46123</v>
      </c>
      <c r="H305" s="8" t="str">
        <f>VLOOKUP(B305,'[3]Sales Force'!$D:$H,5,0)</f>
        <v>Pumpizan Line</v>
      </c>
      <c r="I305" s="8"/>
      <c r="J305" s="8" t="str">
        <f>VLOOKUP(B305,'[3]Sales Force'!$D:$P,13,0)</f>
        <v>Sohag City</v>
      </c>
    </row>
    <row r="306" spans="1:10">
      <c r="A306" s="5">
        <v>1558</v>
      </c>
      <c r="B306" s="13" t="s">
        <v>293</v>
      </c>
      <c r="C306" s="8" t="str">
        <f>VLOOKUP(B306,'[3]Sales Force'!$D:$E,2,0)</f>
        <v>Mahmoud Sayed Ahmed Galal</v>
      </c>
      <c r="D306" s="8" t="str">
        <f>VLOOKUP(B306,'[3]Sales Force'!$D:$J,7,0)</f>
        <v>MR</v>
      </c>
      <c r="E306" s="8">
        <f>VLOOKUP(C306,'[3]Sales Force'!$D:$O,12,0)</f>
        <v>1224</v>
      </c>
      <c r="F306" s="8">
        <f>VLOOKUP(B306,'[3]Sales Force'!$D:$L,9,0)</f>
        <v>1021414333</v>
      </c>
      <c r="G306" s="9">
        <f>VLOOKUP(B306,'[3]Sales Force'!$D:$M,10,0)</f>
        <v>45710</v>
      </c>
      <c r="H306" s="8" t="str">
        <f>VLOOKUP(B306,'[3]Sales Force'!$D:$H,5,0)</f>
        <v>Pumpizan Line</v>
      </c>
      <c r="I306" s="8"/>
      <c r="J306" s="8" t="str">
        <f>VLOOKUP(B306,'[3]Sales Force'!$D:$P,13,0)</f>
        <v>Hurghada </v>
      </c>
    </row>
    <row r="307" spans="1:10">
      <c r="A307" s="5">
        <v>1436</v>
      </c>
      <c r="B307" s="13" t="s">
        <v>294</v>
      </c>
      <c r="C307" s="8" t="str">
        <f>VLOOKUP(B307,'[3]Sales Force'!$D:$E,2,0)</f>
        <v>Mahmoud Sayed Ahmed Galal</v>
      </c>
      <c r="D307" s="8" t="str">
        <f>VLOOKUP(B307,'[3]Sales Force'!$D:$J,7,0)</f>
        <v>MR</v>
      </c>
      <c r="E307" s="8">
        <f>VLOOKUP(C307,'[3]Sales Force'!$D:$O,12,0)</f>
        <v>1224</v>
      </c>
      <c r="F307" s="8">
        <f>VLOOKUP(B307,'[3]Sales Force'!$D:$L,9,0)</f>
        <v>1224865172</v>
      </c>
      <c r="G307" s="9">
        <f>VLOOKUP(B307,'[3]Sales Force'!$D:$M,10,0)</f>
        <v>45535</v>
      </c>
      <c r="H307" s="8" t="str">
        <f>VLOOKUP(B307,'[3]Sales Force'!$D:$H,5,0)</f>
        <v>Pumpizan Line</v>
      </c>
      <c r="I307" s="8"/>
      <c r="J307" s="8" t="str">
        <f>VLOOKUP(B307,'[3]Sales Force'!$D:$P,13,0)</f>
        <v>Gerga</v>
      </c>
    </row>
    <row r="308" spans="1:10">
      <c r="A308" s="5">
        <v>1049</v>
      </c>
      <c r="B308" s="13" t="s">
        <v>295</v>
      </c>
      <c r="C308" s="8" t="str">
        <f>VLOOKUP(B308,'[3]Sales Force'!$D:$E,2,0)</f>
        <v>Mahmoud Sayed Ahmed Galal</v>
      </c>
      <c r="D308" s="8" t="str">
        <f>VLOOKUP(B308,'[3]Sales Force'!$D:$J,7,0)</f>
        <v>MR</v>
      </c>
      <c r="E308" s="8">
        <f>VLOOKUP(C308,'[3]Sales Force'!$D:$O,12,0)</f>
        <v>1224</v>
      </c>
      <c r="F308" s="8" t="str">
        <f>VLOOKUP(B308,'[3]Sales Force'!$D:$L,9,0)</f>
        <v> 01282580330</v>
      </c>
      <c r="G308" s="9">
        <f>VLOOKUP(B308,'[3]Sales Force'!$D:$M,10,0)</f>
        <v>44931</v>
      </c>
      <c r="H308" s="8" t="str">
        <f>VLOOKUP(B308,'[3]Sales Force'!$D:$H,5,0)</f>
        <v>Pumpizan Line</v>
      </c>
      <c r="I308" s="8"/>
      <c r="J308" s="8" t="str">
        <f>VLOOKUP(B308,'[3]Sales Force'!$D:$P,13,0)</f>
        <v>Tema</v>
      </c>
    </row>
    <row r="309" spans="1:10">
      <c r="A309" s="5">
        <v>1405</v>
      </c>
      <c r="B309" s="13" t="s">
        <v>296</v>
      </c>
      <c r="C309" s="8" t="str">
        <f>VLOOKUP(B309,'[3]Sales Force'!$D:$E,2,0)</f>
        <v>Mahmoud Sayed Ahmed Galal</v>
      </c>
      <c r="D309" s="8" t="str">
        <f>VLOOKUP(B309,'[3]Sales Force'!$D:$J,7,0)</f>
        <v>MR</v>
      </c>
      <c r="E309" s="8">
        <f>VLOOKUP(C309,'[3]Sales Force'!$D:$O,12,0)</f>
        <v>1224</v>
      </c>
      <c r="F309" s="8">
        <f>VLOOKUP(B309,'[3]Sales Force'!$D:$L,9,0)</f>
        <v>1020403405</v>
      </c>
      <c r="G309" s="9">
        <f>VLOOKUP(B309,'[3]Sales Force'!$D:$M,10,0)</f>
        <v>45479</v>
      </c>
      <c r="H309" s="8" t="str">
        <f>VLOOKUP(B309,'[3]Sales Force'!$D:$H,5,0)</f>
        <v>Pumpizan Line</v>
      </c>
      <c r="I309" s="8"/>
      <c r="J309" s="8" t="str">
        <f>VLOOKUP(B309,'[3]Sales Force'!$D:$P,13,0)</f>
        <v>Luxor City</v>
      </c>
    </row>
    <row r="310" spans="1:10">
      <c r="A310" s="5">
        <v>1313</v>
      </c>
      <c r="B310" s="13" t="s">
        <v>297</v>
      </c>
      <c r="C310" s="8" t="str">
        <f>VLOOKUP(B310,'[3]Sales Force'!$D:$E,2,0)</f>
        <v>Mahmoud Sayed Ahmed Galal</v>
      </c>
      <c r="D310" s="8" t="str">
        <f>VLOOKUP(B310,'[3]Sales Force'!$D:$J,7,0)</f>
        <v>MR</v>
      </c>
      <c r="E310" s="8">
        <f>VLOOKUP(C310,'[3]Sales Force'!$D:$O,12,0)</f>
        <v>1224</v>
      </c>
      <c r="F310" s="8">
        <f>VLOOKUP(B310,'[3]Sales Force'!$D:$L,9,0)</f>
        <v>1142750065</v>
      </c>
      <c r="G310" s="9">
        <f>VLOOKUP(B310,'[3]Sales Force'!$D:$M,10,0)</f>
        <v>45269</v>
      </c>
      <c r="H310" s="8" t="str">
        <f>VLOOKUP(B310,'[3]Sales Force'!$D:$H,5,0)</f>
        <v>Pumpizan Line</v>
      </c>
      <c r="I310" s="8"/>
      <c r="J310" s="8" t="str">
        <f>VLOOKUP(B310,'[3]Sales Force'!$D:$P,13,0)</f>
        <v>Aswan City</v>
      </c>
    </row>
    <row r="311" spans="1:10">
      <c r="A311" s="5">
        <v>1698</v>
      </c>
      <c r="B311" s="13" t="s">
        <v>298</v>
      </c>
      <c r="C311" s="8" t="str">
        <f>VLOOKUP(B311,'[3]Sales Force'!$D:$E,2,0)</f>
        <v>Mahmoud Sayed Ahmed Galal</v>
      </c>
      <c r="D311" s="8" t="str">
        <f>VLOOKUP(B311,'[3]Sales Force'!$D:$J,7,0)</f>
        <v>MR</v>
      </c>
      <c r="E311" s="8">
        <f>VLOOKUP(C311,'[3]Sales Force'!$D:$O,12,0)</f>
        <v>1224</v>
      </c>
      <c r="F311" s="8">
        <f>VLOOKUP(B311,'[3]Sales Force'!$D:$L,9,0)</f>
        <v>1061847797</v>
      </c>
      <c r="G311" s="9">
        <f>VLOOKUP(B311,'[3]Sales Force'!$D:$M,10,0)</f>
        <v>45836</v>
      </c>
      <c r="H311" s="8" t="str">
        <f>VLOOKUP(B311,'[3]Sales Force'!$D:$H,5,0)</f>
        <v>Pumpizan Line</v>
      </c>
      <c r="I311" s="8"/>
      <c r="J311" s="8" t="str">
        <f>VLOOKUP(B311,'[3]Sales Force'!$D:$P,13,0)</f>
        <v>Naga Hamady </v>
      </c>
    </row>
    <row r="312" spans="1:10">
      <c r="A312" s="5">
        <v>980</v>
      </c>
      <c r="B312" s="12" t="s">
        <v>299</v>
      </c>
      <c r="C312" s="8" t="str">
        <f>VLOOKUP(B312,'[3]Sales Force'!$D:$F,3,0)</f>
        <v>Habib Nady Habib</v>
      </c>
      <c r="D312" s="8" t="str">
        <f>VLOOKUP(B312,'[3]Sales Force'!$D:$J,7,0)</f>
        <v>DM</v>
      </c>
      <c r="E312" s="8">
        <f>VLOOKUP(C312,'[3]Sales Force'!$D:$O,12,0)</f>
        <v>999</v>
      </c>
      <c r="F312" s="8">
        <f>VLOOKUP(B312,'[3]Sales Force'!$D:$L,9,0)</f>
        <v>1127568118</v>
      </c>
      <c r="G312" s="9">
        <f>VLOOKUP(B312,'[3]Sales Force'!$D:$M,10,0)</f>
        <v>44774</v>
      </c>
      <c r="H312" s="8" t="str">
        <f>VLOOKUP(B312,'[3]Sales Force'!$D:$H,5,0)</f>
        <v>Pumpizan Line</v>
      </c>
      <c r="I312" s="8" t="str">
        <f>VLOOKUP(B312,'[3]Sales Force'!$D:$N,11,0)</f>
        <v>Osama.Nabil.Ahmed@averroes-eg.com</v>
      </c>
      <c r="J312" s="8" t="str">
        <f>VLOOKUP(B312,'[3]Sales Force'!$D:$P,13,0)</f>
        <v>El Menia City</v>
      </c>
    </row>
    <row r="313" spans="1:10">
      <c r="A313" s="5">
        <v>1486</v>
      </c>
      <c r="B313" s="13" t="s">
        <v>300</v>
      </c>
      <c r="C313" s="8" t="str">
        <f>VLOOKUP(B313,'[3]Sales Force'!$D:$E,2,0)</f>
        <v>Osama Nabil Ahmed</v>
      </c>
      <c r="D313" s="8" t="str">
        <f>VLOOKUP(B313,'[3]Sales Force'!$D:$J,7,0)</f>
        <v>MR</v>
      </c>
      <c r="E313" s="8">
        <f>VLOOKUP(C313,'[3]Sales Force'!$D:$O,12,0)</f>
        <v>980</v>
      </c>
      <c r="F313" s="8">
        <f>VLOOKUP(B313,'[3]Sales Force'!$D:$L,9,0)</f>
        <v>1090818727</v>
      </c>
      <c r="G313" s="9">
        <f>VLOOKUP(B313,'[3]Sales Force'!$D:$M,10,0)</f>
        <v>45640</v>
      </c>
      <c r="H313" s="8" t="str">
        <f>VLOOKUP(B313,'[3]Sales Force'!$D:$H,5,0)</f>
        <v>Pumpizan Line</v>
      </c>
      <c r="I313" s="8"/>
      <c r="J313" s="8" t="str">
        <f>VLOOKUP(B313,'[3]Sales Force'!$D:$P,13,0)</f>
        <v>Bosh</v>
      </c>
    </row>
    <row r="314" spans="1:10">
      <c r="A314" s="5">
        <v>259</v>
      </c>
      <c r="B314" s="13" t="s">
        <v>301</v>
      </c>
      <c r="C314" s="8" t="str">
        <f>VLOOKUP(B314,'[3]Sales Force'!$D:$E,2,0)</f>
        <v>Osama Nabil Ahmed</v>
      </c>
      <c r="D314" s="8" t="str">
        <f>VLOOKUP(B314,'[3]Sales Force'!$D:$J,7,0)</f>
        <v>MR</v>
      </c>
      <c r="E314" s="8">
        <f>VLOOKUP(C314,'[3]Sales Force'!$D:$O,12,0)</f>
        <v>980</v>
      </c>
      <c r="F314" s="8" t="str">
        <f>VLOOKUP(B314,'[3]Sales Force'!$D:$L,9,0)</f>
        <v> 1090517953</v>
      </c>
      <c r="G314" s="9">
        <f>VLOOKUP(B314,'[3]Sales Force'!$D:$M,10,0)</f>
        <v>43160</v>
      </c>
      <c r="H314" s="8" t="str">
        <f>VLOOKUP(B314,'[3]Sales Force'!$D:$H,5,0)</f>
        <v>Pumpizan Line</v>
      </c>
      <c r="I314" s="8"/>
      <c r="J314" s="8" t="str">
        <f>VLOOKUP(B314,'[3]Sales Force'!$D:$P,13,0)</f>
        <v>Malawy</v>
      </c>
    </row>
    <row r="315" spans="1:10">
      <c r="A315" s="5">
        <v>1850</v>
      </c>
      <c r="B315" s="14" t="s">
        <v>302</v>
      </c>
      <c r="C315" s="8" t="str">
        <f>VLOOKUP(B315,'[3]Sales Force'!$D:$E,2,0)</f>
        <v>Osama Nabil Ahmed</v>
      </c>
      <c r="D315" s="8" t="str">
        <f>VLOOKUP(B315,'[3]Sales Force'!$D:$J,7,0)</f>
        <v>MR</v>
      </c>
      <c r="E315" s="8">
        <f>VLOOKUP(C315,'[3]Sales Force'!$D:$O,12,0)</f>
        <v>980</v>
      </c>
      <c r="F315" s="8">
        <f>VLOOKUP(B315,'[3]Sales Force'!$D:$L,9,0)</f>
        <v>1281416886</v>
      </c>
      <c r="G315" s="9">
        <f>VLOOKUP(B315,'[3]Sales Force'!$D:$M,10,0)</f>
        <v>46054</v>
      </c>
      <c r="H315" s="8" t="str">
        <f>VLOOKUP(B315,'[3]Sales Force'!$D:$H,5,0)</f>
        <v>Pumpizan Line</v>
      </c>
      <c r="I315" s="8"/>
      <c r="J315" s="8" t="str">
        <f>VLOOKUP(B315,'[3]Sales Force'!$D:$P,13,0)</f>
        <v>Manfalout</v>
      </c>
    </row>
    <row r="316" spans="1:10">
      <c r="A316" s="5">
        <v>1881</v>
      </c>
      <c r="B316" s="14" t="s">
        <v>643</v>
      </c>
      <c r="C316" s="8" t="str">
        <f>VLOOKUP(B316,'[3]Sales Force'!$D:$E,2,0)</f>
        <v>Osama Nabil Ahmed</v>
      </c>
      <c r="D316" s="8" t="str">
        <f>VLOOKUP(B316,'[3]Sales Force'!$D:$J,7,0)</f>
        <v>MR</v>
      </c>
      <c r="E316" s="8">
        <f>VLOOKUP(C316,'[3]Sales Force'!$D:$O,12,0)</f>
        <v>980</v>
      </c>
      <c r="F316" s="8">
        <f>VLOOKUP(B316,'[3]Sales Force'!$D:$L,9,0)</f>
        <v>1220892070</v>
      </c>
      <c r="G316" s="9">
        <f>VLOOKUP(B316,'[3]Sales Force'!$D:$M,10,0)</f>
        <v>46082</v>
      </c>
      <c r="H316" s="8" t="str">
        <f>VLOOKUP(B316,'[3]Sales Force'!$D:$H,5,0)</f>
        <v>Pumpizan Line</v>
      </c>
      <c r="I316" s="8"/>
      <c r="J316" s="8" t="str">
        <f>VLOOKUP(B316,'[3]Sales Force'!$D:$P,13,0)</f>
        <v>Assiut City</v>
      </c>
    </row>
    <row r="317" spans="1:10">
      <c r="A317" s="5">
        <v>1849</v>
      </c>
      <c r="B317" s="14" t="s">
        <v>303</v>
      </c>
      <c r="C317" s="8" t="str">
        <f>VLOOKUP(B317,'[3]Sales Force'!$D:$E,2,0)</f>
        <v>Osama Nabil Ahmed</v>
      </c>
      <c r="D317" s="8" t="str">
        <f>VLOOKUP(B317,'[3]Sales Force'!$D:$J,7,0)</f>
        <v>MR</v>
      </c>
      <c r="E317" s="8">
        <f>VLOOKUP(C317,'[3]Sales Force'!$D:$O,12,0)</f>
        <v>980</v>
      </c>
      <c r="F317" s="8">
        <f>VLOOKUP(B317,'[3]Sales Force'!$D:$L,9,0)</f>
        <v>1221919585</v>
      </c>
      <c r="G317" s="9">
        <f>VLOOKUP(B317,'[3]Sales Force'!$D:$M,10,0)</f>
        <v>46054</v>
      </c>
      <c r="H317" s="8" t="str">
        <f>VLOOKUP(B317,'[3]Sales Force'!$D:$H,5,0)</f>
        <v>Pumpizan Line</v>
      </c>
      <c r="I317" s="8"/>
      <c r="J317" s="8" t="str">
        <f>VLOOKUP(B317,'[3]Sales Force'!$D:$P,13,0)</f>
        <v>Abou Teeg</v>
      </c>
    </row>
    <row r="318" spans="1:10">
      <c r="A318" s="5">
        <v>1925</v>
      </c>
      <c r="B318" s="14" t="s">
        <v>644</v>
      </c>
      <c r="C318" s="8" t="str">
        <f>VLOOKUP(B318,'[3]Sales Force'!$D:$E,2,0)</f>
        <v>Osama Nabil Ahmed</v>
      </c>
      <c r="D318" s="8" t="str">
        <f>VLOOKUP(B318,'[3]Sales Force'!$D:$J,7,0)</f>
        <v>MR</v>
      </c>
      <c r="E318" s="8">
        <f>VLOOKUP(C318,'[3]Sales Force'!$D:$O,12,0)</f>
        <v>980</v>
      </c>
      <c r="F318" s="8">
        <f>VLOOKUP(B318,'[3]Sales Force'!$D:$L,9,0)</f>
        <v>1226671737</v>
      </c>
      <c r="G318" s="9">
        <f>VLOOKUP(B318,'[3]Sales Force'!$D:$M,10,0)</f>
        <v>46113</v>
      </c>
      <c r="H318" s="8" t="str">
        <f>VLOOKUP(B318,'[3]Sales Force'!$D:$H,5,0)</f>
        <v>Pumpizan Line</v>
      </c>
      <c r="I318" s="8"/>
      <c r="J318" s="8" t="str">
        <f>VLOOKUP(B318,'[3]Sales Force'!$D:$P,13,0)</f>
        <v>El Menia City</v>
      </c>
    </row>
    <row r="319" spans="1:10">
      <c r="A319" s="5">
        <v>104</v>
      </c>
      <c r="B319" s="13" t="s">
        <v>304</v>
      </c>
      <c r="C319" s="8" t="str">
        <f>VLOOKUP(B319,'[3]Sales Force'!$D:$E,2,0)</f>
        <v>Osama Nabil Ahmed</v>
      </c>
      <c r="D319" s="8" t="str">
        <f>VLOOKUP(B319,'[3]Sales Force'!$D:$J,7,0)</f>
        <v>MR</v>
      </c>
      <c r="E319" s="8">
        <f>VLOOKUP(C319,'[3]Sales Force'!$D:$O,12,0)</f>
        <v>980</v>
      </c>
      <c r="F319" s="8" t="str">
        <f>VLOOKUP(B319,'[3]Sales Force'!$D:$L,9,0)</f>
        <v> 1285899058</v>
      </c>
      <c r="G319" s="9">
        <f>VLOOKUP(B319,'[3]Sales Force'!$D:$M,10,0)</f>
        <v>41314</v>
      </c>
      <c r="H319" s="8" t="str">
        <f>VLOOKUP(B319,'[3]Sales Force'!$D:$H,5,0)</f>
        <v>Pumpizan Line</v>
      </c>
      <c r="I319" s="8"/>
      <c r="J319" s="8" t="str">
        <f>VLOOKUP(B319,'[3]Sales Force'!$D:$P,13,0)</f>
        <v>Bani Mazar</v>
      </c>
    </row>
    <row r="320" spans="1:10">
      <c r="A320" s="5">
        <v>69</v>
      </c>
      <c r="B320" s="11" t="s">
        <v>305</v>
      </c>
      <c r="C320" s="8" t="str">
        <f>VLOOKUP(B320,'[3]Sales Force'!$D:$G,4,0)</f>
        <v>Abo El Abbas Samir</v>
      </c>
      <c r="D320" s="8" t="str">
        <f>VLOOKUP(B320,'[3]Sales Force'!$D:$J,7,0)</f>
        <v>AM</v>
      </c>
      <c r="E320" s="8">
        <f>VLOOKUP(C320,'[3]Sales Force'!$D:$O,12,0)</f>
        <v>61</v>
      </c>
      <c r="F320" s="8" t="str">
        <f>VLOOKUP(B320,'[3]Sales Force'!$D:$L,9,0)</f>
        <v> 1028045240</v>
      </c>
      <c r="G320" s="9">
        <f>VLOOKUP(B320,'[3]Sales Force'!$D:$M,10,0)</f>
        <v>41601</v>
      </c>
      <c r="H320" s="8" t="str">
        <f>VLOOKUP(B320,'[3]Sales Force'!$D:$H,5,0)</f>
        <v>CVM 1 Line &amp; CVM 2 Line</v>
      </c>
      <c r="I320" s="8" t="str">
        <f>VLOOKUP(B320,'[3]Sales Force'!$D:$N,11,0)</f>
        <v>karam.belal@averroes-eg.com</v>
      </c>
      <c r="J320" s="8" t="str">
        <f>VLOOKUP(B320,'[3]Sales Force'!$D:$P,13,0)</f>
        <v>Kafr El Shiekh</v>
      </c>
    </row>
    <row r="321" spans="1:10">
      <c r="A321" s="5">
        <v>1882</v>
      </c>
      <c r="B321" s="15" t="s">
        <v>645</v>
      </c>
      <c r="C321" s="8" t="str">
        <f>VLOOKUP(B321,'[3]Sales Force'!$D:$F,3,0)</f>
        <v>Karam Belal Mohamed</v>
      </c>
      <c r="D321" s="8" t="str">
        <f>VLOOKUP(B321,'[3]Sales Force'!$D:$J,7,0)</f>
        <v>DM</v>
      </c>
      <c r="E321" s="8">
        <f>VLOOKUP(C321,'[3]Sales Force'!$D:$O,12,0)</f>
        <v>69</v>
      </c>
      <c r="F321" s="8">
        <f>VLOOKUP(B321,'[3]Sales Force'!$D:$L,9,0)</f>
        <v>1062953274</v>
      </c>
      <c r="G321" s="9">
        <f>VLOOKUP(B321,'[3]Sales Force'!$D:$M,10,0)</f>
        <v>46081</v>
      </c>
      <c r="H321" s="8" t="str">
        <f>VLOOKUP(B321,'[3]Sales Force'!$D:$H,5,0)</f>
        <v>CVM 1 Line</v>
      </c>
      <c r="I321" s="8" t="str">
        <f>VLOOKUP(B321,'[3]Sales Force'!$D:$N,11,0)</f>
        <v>Dina.Ahmed.Bar@averroes-eg.com</v>
      </c>
      <c r="J321" s="8" t="str">
        <f>VLOOKUP(B321,'[3]Sales Force'!$D:$P,13,0)</f>
        <v>Tanta City</v>
      </c>
    </row>
    <row r="322" spans="1:10">
      <c r="A322" s="5">
        <v>1559</v>
      </c>
      <c r="B322" s="13" t="s">
        <v>306</v>
      </c>
      <c r="C322" s="8" t="str">
        <f>VLOOKUP(B322,'[3]Sales Force'!$D:$E,2,0)</f>
        <v>Dina Ahmed Bar</v>
      </c>
      <c r="D322" s="8" t="str">
        <f>VLOOKUP(B322,'[3]Sales Force'!$D:$J,7,0)</f>
        <v>MR</v>
      </c>
      <c r="E322" s="8">
        <f>VLOOKUP(C322,'[3]Sales Force'!$D:$O,12,0)</f>
        <v>1882</v>
      </c>
      <c r="F322" s="8">
        <f>VLOOKUP(B322,'[3]Sales Force'!$D:$L,9,0)</f>
        <v>1028507568</v>
      </c>
      <c r="G322" s="9">
        <f>VLOOKUP(B322,'[3]Sales Force'!$D:$M,10,0)</f>
        <v>45717</v>
      </c>
      <c r="H322" s="8" t="str">
        <f>VLOOKUP(B322,'[3]Sales Force'!$D:$H,5,0)</f>
        <v>CVM 1 Line</v>
      </c>
      <c r="I322" s="8"/>
      <c r="J322" s="8" t="str">
        <f>VLOOKUP(B322,'[3]Sales Force'!$D:$P,13,0)</f>
        <v>El sanata</v>
      </c>
    </row>
    <row r="323" spans="1:10">
      <c r="A323" s="5">
        <v>1248</v>
      </c>
      <c r="B323" s="13" t="s">
        <v>307</v>
      </c>
      <c r="C323" s="8" t="str">
        <f>VLOOKUP(B323,'[3]Sales Force'!$D:$E,2,0)</f>
        <v>Dina Ahmed Bar</v>
      </c>
      <c r="D323" s="8" t="str">
        <f>VLOOKUP(B323,'[3]Sales Force'!$D:$J,7,0)</f>
        <v>MR</v>
      </c>
      <c r="E323" s="8">
        <f>VLOOKUP(C323,'[3]Sales Force'!$D:$O,12,0)</f>
        <v>1882</v>
      </c>
      <c r="F323" s="8">
        <f>VLOOKUP(B323,'[3]Sales Force'!$D:$L,9,0)</f>
        <v>1112370702</v>
      </c>
      <c r="G323" s="9">
        <f>VLOOKUP(B323,'[3]Sales Force'!$D:$M,10,0)</f>
        <v>45161</v>
      </c>
      <c r="H323" s="8" t="str">
        <f>VLOOKUP(B323,'[3]Sales Force'!$D:$H,5,0)</f>
        <v>CVM 1 Line</v>
      </c>
      <c r="I323" s="8"/>
      <c r="J323" s="8" t="str">
        <f>VLOOKUP(B323,'[3]Sales Force'!$D:$P,13,0)</f>
        <v>El Bagour</v>
      </c>
    </row>
    <row r="324" spans="1:10">
      <c r="A324" s="5">
        <v>1684</v>
      </c>
      <c r="B324" s="13" t="s">
        <v>308</v>
      </c>
      <c r="C324" s="8" t="str">
        <f>VLOOKUP(B324,'[3]Sales Force'!$D:$E,2,0)</f>
        <v>Dina Ahmed Bar</v>
      </c>
      <c r="D324" s="8" t="str">
        <f>VLOOKUP(B324,'[3]Sales Force'!$D:$J,7,0)</f>
        <v>MR</v>
      </c>
      <c r="E324" s="8">
        <f>VLOOKUP(C324,'[3]Sales Force'!$D:$O,12,0)</f>
        <v>1882</v>
      </c>
      <c r="F324" s="8">
        <f>VLOOKUP(B324,'[3]Sales Force'!$D:$L,9,0)</f>
        <v>1069724373</v>
      </c>
      <c r="G324" s="9">
        <f>VLOOKUP(B324,'[3]Sales Force'!$D:$M,10,0)</f>
        <v>45809</v>
      </c>
      <c r="H324" s="8" t="str">
        <f>VLOOKUP(B324,'[3]Sales Force'!$D:$H,5,0)</f>
        <v>CVM 1 Line</v>
      </c>
      <c r="I324" s="8"/>
      <c r="J324" s="8" t="str">
        <f>VLOOKUP(B324,'[3]Sales Force'!$D:$P,13,0)</f>
        <v>Shebien El Kom</v>
      </c>
    </row>
    <row r="325" spans="1:10">
      <c r="A325" s="5">
        <v>1730</v>
      </c>
      <c r="B325" s="13" t="s">
        <v>309</v>
      </c>
      <c r="C325" s="8" t="str">
        <f>VLOOKUP(B325,'[3]Sales Force'!$D:$E,2,0)</f>
        <v>Dina Ahmed Bar</v>
      </c>
      <c r="D325" s="8" t="str">
        <f>VLOOKUP(B325,'[3]Sales Force'!$D:$J,7,0)</f>
        <v>MR</v>
      </c>
      <c r="E325" s="8">
        <f>VLOOKUP(C325,'[3]Sales Force'!$D:$O,12,0)</f>
        <v>1882</v>
      </c>
      <c r="F325" s="8">
        <f>VLOOKUP(B325,'[3]Sales Force'!$D:$L,9,0)</f>
        <v>1029175007</v>
      </c>
      <c r="G325" s="9">
        <f>VLOOKUP(B325,'[3]Sales Force'!$D:$M,10,0)</f>
        <v>45885</v>
      </c>
      <c r="H325" s="8" t="str">
        <f>VLOOKUP(B325,'[3]Sales Force'!$D:$H,5,0)</f>
        <v>CVM 1 Line</v>
      </c>
      <c r="I325" s="8"/>
      <c r="J325" s="8" t="str">
        <f>VLOOKUP(B325,'[3]Sales Force'!$D:$P,13,0)</f>
        <v>Kfr zayat </v>
      </c>
    </row>
    <row r="326" spans="1:10">
      <c r="A326" s="5">
        <v>1637</v>
      </c>
      <c r="B326" s="13" t="s">
        <v>310</v>
      </c>
      <c r="C326" s="8" t="str">
        <f>VLOOKUP(B326,'[3]Sales Force'!$D:$E,2,0)</f>
        <v>Dina Ahmed Bar</v>
      </c>
      <c r="D326" s="8" t="str">
        <f>VLOOKUP(B326,'[3]Sales Force'!$D:$J,7,0)</f>
        <v>MR</v>
      </c>
      <c r="E326" s="8">
        <f>VLOOKUP(C326,'[3]Sales Force'!$D:$O,12,0)</f>
        <v>1882</v>
      </c>
      <c r="F326" s="8">
        <f>VLOOKUP(B326,'[3]Sales Force'!$D:$L,9,0)</f>
        <v>1140921800</v>
      </c>
      <c r="G326" s="9">
        <f>VLOOKUP(B326,'[3]Sales Force'!$D:$M,10,0)</f>
        <v>45780</v>
      </c>
      <c r="H326" s="8" t="str">
        <f>VLOOKUP(B326,'[3]Sales Force'!$D:$H,5,0)</f>
        <v>CVM 1 Line</v>
      </c>
      <c r="I326" s="8"/>
      <c r="J326" s="8" t="str">
        <f>VLOOKUP(B326,'[3]Sales Force'!$D:$P,13,0)</f>
        <v>El Mahala El Kobra</v>
      </c>
    </row>
    <row r="327" spans="1:10">
      <c r="A327" s="5">
        <v>1560</v>
      </c>
      <c r="B327" s="13" t="s">
        <v>311</v>
      </c>
      <c r="C327" s="8" t="str">
        <f>VLOOKUP(B327,'[3]Sales Force'!$D:$E,2,0)</f>
        <v>Dina Ahmed Bar</v>
      </c>
      <c r="D327" s="8" t="str">
        <f>VLOOKUP(B327,'[3]Sales Force'!$D:$J,7,0)</f>
        <v>MR</v>
      </c>
      <c r="E327" s="8">
        <f>VLOOKUP(C327,'[3]Sales Force'!$D:$O,12,0)</f>
        <v>1882</v>
      </c>
      <c r="F327" s="8">
        <f>VLOOKUP(B327,'[3]Sales Force'!$D:$L,9,0)</f>
        <v>1202861515</v>
      </c>
      <c r="G327" s="9">
        <f>VLOOKUP(B327,'[3]Sales Force'!$D:$M,10,0)</f>
        <v>45717</v>
      </c>
      <c r="H327" s="8" t="str">
        <f>VLOOKUP(B327,'[3]Sales Force'!$D:$H,5,0)</f>
        <v>CVM 1 Line</v>
      </c>
      <c r="I327" s="8"/>
      <c r="J327" s="8" t="str">
        <f>VLOOKUP(B327,'[3]Sales Force'!$D:$P,13,0)</f>
        <v>Tanta City</v>
      </c>
    </row>
    <row r="328" spans="1:10">
      <c r="A328" s="5">
        <v>591</v>
      </c>
      <c r="B328" s="13" t="s">
        <v>312</v>
      </c>
      <c r="C328" s="8" t="str">
        <f>VLOOKUP(B328,'[3]Sales Force'!$D:$E,2,0)</f>
        <v>Dina Ahmed Bar</v>
      </c>
      <c r="D328" s="8" t="str">
        <f>VLOOKUP(B328,'[3]Sales Force'!$D:$J,7,0)</f>
        <v>MR</v>
      </c>
      <c r="E328" s="8">
        <f>VLOOKUP(C328,'[3]Sales Force'!$D:$O,12,0)</f>
        <v>1882</v>
      </c>
      <c r="F328" s="8" t="str">
        <f>VLOOKUP(B328,'[3]Sales Force'!$D:$L,9,0)</f>
        <v> 1050111662</v>
      </c>
      <c r="G328" s="9">
        <f>VLOOKUP(B328,'[3]Sales Force'!$D:$M,10,0)</f>
        <v>43863</v>
      </c>
      <c r="H328" s="8" t="str">
        <f>VLOOKUP(B328,'[3]Sales Force'!$D:$H,5,0)</f>
        <v>CVM 1 Line</v>
      </c>
      <c r="I328" s="8"/>
      <c r="J328" s="8" t="str">
        <f>VLOOKUP(B328,'[3]Sales Force'!$D:$P,13,0)</f>
        <v>Beket ElSabaa</v>
      </c>
    </row>
    <row r="329" spans="1:10">
      <c r="A329" s="5">
        <v>718</v>
      </c>
      <c r="B329" s="12" t="s">
        <v>313</v>
      </c>
      <c r="C329" s="8" t="str">
        <f>VLOOKUP(B329,'[3]Sales Force'!$D:$F,3,0)</f>
        <v>Karam Belal Mohamed</v>
      </c>
      <c r="D329" s="8" t="str">
        <f>VLOOKUP(B329,'[3]Sales Force'!$D:$J,7,0)</f>
        <v>DM</v>
      </c>
      <c r="E329" s="8">
        <f>VLOOKUP(C329,'[3]Sales Force'!$D:$O,12,0)</f>
        <v>69</v>
      </c>
      <c r="F329" s="8" t="str">
        <f>VLOOKUP(B329,'[3]Sales Force'!$D:$L,9,0)</f>
        <v> 1007960128</v>
      </c>
      <c r="G329" s="9">
        <f>VLOOKUP(B329,'[3]Sales Force'!$D:$M,10,0)</f>
        <v>44228</v>
      </c>
      <c r="H329" s="8" t="str">
        <f>VLOOKUP(B329,'[3]Sales Force'!$D:$H,5,0)</f>
        <v>CVM 1 Line</v>
      </c>
      <c r="I329" s="8" t="str">
        <f>VLOOKUP(B329,'[3]Sales Force'!$D:$N,11,0)</f>
        <v>Osama.Abdelkader@averroes-eg.com</v>
      </c>
      <c r="J329" s="8" t="str">
        <f>VLOOKUP(B329,'[3]Sales Force'!$D:$P,13,0)</f>
        <v>Center</v>
      </c>
    </row>
    <row r="330" spans="1:10">
      <c r="A330" s="5">
        <v>898</v>
      </c>
      <c r="B330" s="13" t="s">
        <v>314</v>
      </c>
      <c r="C330" s="8" t="str">
        <f>VLOOKUP(B330,'[3]Sales Force'!$D:$E,2,0)</f>
        <v>Osama Abdelkader Elsayed</v>
      </c>
      <c r="D330" s="8" t="str">
        <f>VLOOKUP(B330,'[3]Sales Force'!$D:$J,7,0)</f>
        <v>MR</v>
      </c>
      <c r="E330" s="8">
        <f>VLOOKUP(C330,'[3]Sales Force'!$D:$O,12,0)</f>
        <v>718</v>
      </c>
      <c r="F330" s="8" t="str">
        <f>VLOOKUP(B330,'[3]Sales Force'!$D:$L,9,0)</f>
        <v> 1555838723</v>
      </c>
      <c r="G330" s="9">
        <f>VLOOKUP(B330,'[3]Sales Force'!$D:$M,10,0)</f>
        <v>44593</v>
      </c>
      <c r="H330" s="8" t="str">
        <f>VLOOKUP(B330,'[3]Sales Force'!$D:$H,5,0)</f>
        <v>CVM 1 Line</v>
      </c>
      <c r="I330" s="8"/>
      <c r="J330" s="8" t="str">
        <f>VLOOKUP(B330,'[3]Sales Force'!$D:$P,13,0)</f>
        <v>Banha - Atreeb</v>
      </c>
    </row>
    <row r="331" spans="1:10">
      <c r="A331" s="5">
        <v>1472</v>
      </c>
      <c r="B331" s="13" t="s">
        <v>315</v>
      </c>
      <c r="C331" s="8" t="str">
        <f>VLOOKUP(B331,'[3]Sales Force'!$D:$E,2,0)</f>
        <v>Osama Abdelkader Elsayed</v>
      </c>
      <c r="D331" s="8" t="str">
        <f>VLOOKUP(B331,'[3]Sales Force'!$D:$J,7,0)</f>
        <v>MR</v>
      </c>
      <c r="E331" s="8">
        <f>VLOOKUP(C331,'[3]Sales Force'!$D:$O,12,0)</f>
        <v>718</v>
      </c>
      <c r="F331" s="8">
        <f>VLOOKUP(B331,'[3]Sales Force'!$D:$L,9,0)</f>
        <v>1016372964</v>
      </c>
      <c r="G331" s="9">
        <f>VLOOKUP(B331,'[3]Sales Force'!$D:$M,10,0)</f>
        <v>45636</v>
      </c>
      <c r="H331" s="8" t="str">
        <f>VLOOKUP(B331,'[3]Sales Force'!$D:$H,5,0)</f>
        <v>CVM 1 Line</v>
      </c>
      <c r="I331" s="8"/>
      <c r="J331" s="8" t="str">
        <f>VLOOKUP(B331,'[3]Sales Force'!$D:$P,13,0)</f>
        <v>Shebien El Kanater</v>
      </c>
    </row>
    <row r="332" spans="1:10">
      <c r="A332" s="5">
        <v>1926</v>
      </c>
      <c r="B332" s="14" t="s">
        <v>646</v>
      </c>
      <c r="C332" s="8" t="str">
        <f>VLOOKUP(B332,'[3]Sales Force'!$D:$E,2,0)</f>
        <v>Osama Abdelkader Elsayed</v>
      </c>
      <c r="D332" s="8" t="str">
        <f>VLOOKUP(B332,'[3]Sales Force'!$D:$J,7,0)</f>
        <v>MR</v>
      </c>
      <c r="E332" s="8">
        <f>VLOOKUP(C332,'[3]Sales Force'!$D:$O,12,0)</f>
        <v>718</v>
      </c>
      <c r="F332" s="8">
        <f>VLOOKUP(B332,'[3]Sales Force'!$D:$L,9,0)</f>
        <v>1023917759</v>
      </c>
      <c r="G332" s="9">
        <f>VLOOKUP(B332,'[3]Sales Force'!$D:$M,10,0)</f>
        <v>46116</v>
      </c>
      <c r="H332" s="8" t="str">
        <f>VLOOKUP(B332,'[3]Sales Force'!$D:$H,5,0)</f>
        <v>CVM 1 Line</v>
      </c>
      <c r="I332" s="8"/>
      <c r="J332" s="8" t="str">
        <f>VLOOKUP(B332,'[3]Sales Force'!$D:$P,13,0)</f>
        <v>Kafr Sakr</v>
      </c>
    </row>
    <row r="333" spans="1:10">
      <c r="A333" s="5">
        <v>1827</v>
      </c>
      <c r="B333" s="13" t="s">
        <v>316</v>
      </c>
      <c r="C333" s="8" t="str">
        <f>VLOOKUP(B333,'[3]Sales Force'!$D:$E,2,0)</f>
        <v>Osama Abdelkader Elsayed</v>
      </c>
      <c r="D333" s="8" t="str">
        <f>VLOOKUP(B333,'[3]Sales Force'!$D:$J,7,0)</f>
        <v>MR</v>
      </c>
      <c r="E333" s="8">
        <f>VLOOKUP(C333,'[3]Sales Force'!$D:$O,12,0)</f>
        <v>718</v>
      </c>
      <c r="F333" s="8">
        <f>VLOOKUP(B333,'[3]Sales Force'!$D:$L,9,0)</f>
        <v>1096968169</v>
      </c>
      <c r="G333" s="9">
        <f>VLOOKUP(B333,'[3]Sales Force'!$D:$M,10,0)</f>
        <v>46025</v>
      </c>
      <c r="H333" s="8" t="str">
        <f>VLOOKUP(B333,'[3]Sales Force'!$D:$H,5,0)</f>
        <v>CVM 1 Line</v>
      </c>
      <c r="I333" s="8"/>
      <c r="J333" s="8" t="str">
        <f>VLOOKUP(B333,'[3]Sales Force'!$D:$P,13,0)</f>
        <v>Fakoos</v>
      </c>
    </row>
    <row r="334" spans="1:10">
      <c r="A334" s="5">
        <v>1372</v>
      </c>
      <c r="B334" s="13" t="s">
        <v>317</v>
      </c>
      <c r="C334" s="8" t="str">
        <f>VLOOKUP(B334,'[3]Sales Force'!$D:$E,2,0)</f>
        <v>Osama Abdelkader Elsayed</v>
      </c>
      <c r="D334" s="8" t="str">
        <f>VLOOKUP(B334,'[3]Sales Force'!$D:$J,7,0)</f>
        <v>MR</v>
      </c>
      <c r="E334" s="8">
        <f>VLOOKUP(C334,'[3]Sales Force'!$D:$O,12,0)</f>
        <v>718</v>
      </c>
      <c r="F334" s="8">
        <f>VLOOKUP(B334,'[3]Sales Force'!$D:$L,9,0)</f>
        <v>1050215810</v>
      </c>
      <c r="G334" s="9">
        <f>VLOOKUP(B334,'[3]Sales Force'!$D:$M,10,0)</f>
        <v>45444</v>
      </c>
      <c r="H334" s="8" t="str">
        <f>VLOOKUP(B334,'[3]Sales Force'!$D:$H,5,0)</f>
        <v>CVM 1 Line</v>
      </c>
      <c r="I334" s="8"/>
      <c r="J334" s="8" t="str">
        <f>VLOOKUP(B334,'[3]Sales Force'!$D:$P,13,0)</f>
        <v>Belbais</v>
      </c>
    </row>
    <row r="335" spans="1:10">
      <c r="A335" s="5">
        <v>1725</v>
      </c>
      <c r="B335" s="13" t="s">
        <v>318</v>
      </c>
      <c r="C335" s="8" t="str">
        <f>VLOOKUP(B335,'[3]Sales Force'!$D:$E,2,0)</f>
        <v>Osama Abdelkader Elsayed</v>
      </c>
      <c r="D335" s="8" t="str">
        <f>VLOOKUP(B335,'[3]Sales Force'!$D:$J,7,0)</f>
        <v>MR</v>
      </c>
      <c r="E335" s="8">
        <f>VLOOKUP(C335,'[3]Sales Force'!$D:$O,12,0)</f>
        <v>718</v>
      </c>
      <c r="F335" s="8">
        <f>VLOOKUP(B335,'[3]Sales Force'!$D:$L,9,0)</f>
        <v>1092250404</v>
      </c>
      <c r="G335" s="9">
        <f>VLOOKUP(B335,'[3]Sales Force'!$D:$M,10,0)</f>
        <v>45871</v>
      </c>
      <c r="H335" s="8" t="str">
        <f>VLOOKUP(B335,'[3]Sales Force'!$D:$H,5,0)</f>
        <v>CVM 1 Line</v>
      </c>
      <c r="I335" s="8"/>
      <c r="J335" s="8" t="str">
        <f>VLOOKUP(B335,'[3]Sales Force'!$D:$P,13,0)</f>
        <v>El Zakazik City</v>
      </c>
    </row>
    <row r="336" spans="1:10">
      <c r="A336" s="5">
        <v>1629</v>
      </c>
      <c r="B336" s="12" t="s">
        <v>319</v>
      </c>
      <c r="C336" s="8" t="str">
        <f>VLOOKUP(B336,'[3]Sales Force'!$D:$F,3,0)</f>
        <v>Karam Belal Mohamed</v>
      </c>
      <c r="D336" s="8" t="str">
        <f>VLOOKUP(B336,'[3]Sales Force'!$D:$J,7,0)</f>
        <v>DM</v>
      </c>
      <c r="E336" s="8">
        <f>VLOOKUP(C336,'[3]Sales Force'!$D:$O,12,0)</f>
        <v>69</v>
      </c>
      <c r="F336" s="8">
        <f>VLOOKUP(B336,'[3]Sales Force'!$D:$L,9,0)</f>
        <v>1096446526</v>
      </c>
      <c r="G336" s="9">
        <f>VLOOKUP(B336,'[3]Sales Force'!$D:$M,10,0)</f>
        <v>45780</v>
      </c>
      <c r="H336" s="8" t="str">
        <f>VLOOKUP(B336,'[3]Sales Force'!$D:$H,5,0)</f>
        <v>CVM 1 Line</v>
      </c>
      <c r="I336" s="8" t="str">
        <f>VLOOKUP(B336,'[3]Sales Force'!$D:$N,11,0)</f>
        <v>Sara.Fathi.Azam@averroes-eg.com</v>
      </c>
      <c r="J336" s="8" t="str">
        <f>VLOOKUP(B336,'[3]Sales Force'!$D:$P,13,0)</f>
        <v>El Mansoura</v>
      </c>
    </row>
    <row r="337" spans="1:10">
      <c r="A337" s="5">
        <v>1392</v>
      </c>
      <c r="B337" s="13" t="s">
        <v>320</v>
      </c>
      <c r="C337" s="8" t="str">
        <f>VLOOKUP(B337,'[3]Sales Force'!$D:$E,2,0)</f>
        <v>Sara Fathi Azam</v>
      </c>
      <c r="D337" s="8" t="str">
        <f>VLOOKUP(B337,'[3]Sales Force'!$D:$J,7,0)</f>
        <v>MR</v>
      </c>
      <c r="E337" s="8">
        <f>VLOOKUP(C337,'[3]Sales Force'!$D:$O,12,0)</f>
        <v>1629</v>
      </c>
      <c r="F337" s="8">
        <f>VLOOKUP(B337,'[3]Sales Force'!$D:$L,9,0)</f>
        <v>1023684432</v>
      </c>
      <c r="G337" s="9">
        <f>VLOOKUP(B337,'[3]Sales Force'!$D:$M,10,0)</f>
        <v>45451</v>
      </c>
      <c r="H337" s="8" t="str">
        <f>VLOOKUP(B337,'[3]Sales Force'!$D:$H,5,0)</f>
        <v>CVM 1 Line</v>
      </c>
      <c r="I337" s="8"/>
      <c r="J337" s="8" t="str">
        <f>VLOOKUP(B337,'[3]Sales Force'!$D:$P,13,0)</f>
        <v>Domiat</v>
      </c>
    </row>
    <row r="338" spans="1:10">
      <c r="A338" s="5">
        <v>1561</v>
      </c>
      <c r="B338" s="13" t="s">
        <v>321</v>
      </c>
      <c r="C338" s="8" t="str">
        <f>VLOOKUP(B338,'[3]Sales Force'!$D:$E,2,0)</f>
        <v>Sara Fathi Azam</v>
      </c>
      <c r="D338" s="8" t="str">
        <f>VLOOKUP(B338,'[3]Sales Force'!$D:$J,7,0)</f>
        <v>MR</v>
      </c>
      <c r="E338" s="8">
        <f>VLOOKUP(C338,'[3]Sales Force'!$D:$O,12,0)</f>
        <v>1629</v>
      </c>
      <c r="F338" s="8">
        <f>VLOOKUP(B338,'[3]Sales Force'!$D:$L,9,0)</f>
        <v>1286052148</v>
      </c>
      <c r="G338" s="9">
        <f>VLOOKUP(B338,'[3]Sales Force'!$D:$M,10,0)</f>
        <v>45717</v>
      </c>
      <c r="H338" s="8" t="str">
        <f>VLOOKUP(B338,'[3]Sales Force'!$D:$H,5,0)</f>
        <v>CVM 1 Line</v>
      </c>
      <c r="I338" s="8"/>
      <c r="J338" s="8" t="str">
        <f>VLOOKUP(B338,'[3]Sales Force'!$D:$P,13,0)</f>
        <v>El Manzala</v>
      </c>
    </row>
    <row r="339" spans="1:10">
      <c r="A339" s="5">
        <v>1617</v>
      </c>
      <c r="B339" s="13" t="s">
        <v>322</v>
      </c>
      <c r="C339" s="8" t="str">
        <f>VLOOKUP(B339,'[3]Sales Force'!$D:$E,2,0)</f>
        <v>Sara Fathi Azam</v>
      </c>
      <c r="D339" s="8" t="str">
        <f>VLOOKUP(B339,'[3]Sales Force'!$D:$J,7,0)</f>
        <v>MR</v>
      </c>
      <c r="E339" s="8">
        <f>VLOOKUP(C339,'[3]Sales Force'!$D:$O,12,0)</f>
        <v>1629</v>
      </c>
      <c r="F339" s="8">
        <f>VLOOKUP(B339,'[3]Sales Force'!$D:$L,9,0)</f>
        <v>1008340456</v>
      </c>
      <c r="G339" s="9">
        <f>VLOOKUP(B339,'[3]Sales Force'!$D:$M,10,0)</f>
        <v>45766</v>
      </c>
      <c r="H339" s="8" t="str">
        <f>VLOOKUP(B339,'[3]Sales Force'!$D:$H,5,0)</f>
        <v>CVM 1 Line</v>
      </c>
      <c r="I339" s="8"/>
      <c r="J339" s="8" t="str">
        <f>VLOOKUP(B339,'[3]Sales Force'!$D:$P,13,0)</f>
        <v>El Mansoura</v>
      </c>
    </row>
    <row r="340" spans="1:10">
      <c r="A340" s="5">
        <v>1810</v>
      </c>
      <c r="B340" s="13" t="s">
        <v>323</v>
      </c>
      <c r="C340" s="8" t="str">
        <f>VLOOKUP(B340,'[3]Sales Force'!$D:$E,2,0)</f>
        <v>Sara Fathi Azam</v>
      </c>
      <c r="D340" s="8" t="str">
        <f>VLOOKUP(B340,'[3]Sales Force'!$D:$J,7,0)</f>
        <v>MR</v>
      </c>
      <c r="E340" s="8">
        <f>VLOOKUP(C340,'[3]Sales Force'!$D:$O,12,0)</f>
        <v>1629</v>
      </c>
      <c r="F340" s="8">
        <f>VLOOKUP(B340,'[3]Sales Force'!$D:$L,9,0)</f>
        <v>1033028614</v>
      </c>
      <c r="G340" s="9">
        <f>VLOOKUP(B340,'[3]Sales Force'!$D:$M,10,0)</f>
        <v>45997</v>
      </c>
      <c r="H340" s="8" t="str">
        <f>VLOOKUP(B340,'[3]Sales Force'!$D:$H,5,0)</f>
        <v>CVM 1 Line</v>
      </c>
      <c r="I340" s="8"/>
      <c r="J340" s="8" t="str">
        <f>VLOOKUP(B340,'[3]Sales Force'!$D:$P,13,0)</f>
        <v>Mansoura</v>
      </c>
    </row>
    <row r="341" spans="1:10">
      <c r="A341" s="5">
        <v>1562</v>
      </c>
      <c r="B341" s="13" t="s">
        <v>324</v>
      </c>
      <c r="C341" s="8" t="str">
        <f>VLOOKUP(B341,'[3]Sales Force'!$D:$E,2,0)</f>
        <v>Sara Fathi Azam</v>
      </c>
      <c r="D341" s="8" t="str">
        <f>VLOOKUP(B341,'[3]Sales Force'!$D:$J,7,0)</f>
        <v>MR</v>
      </c>
      <c r="E341" s="8">
        <f>VLOOKUP(C341,'[3]Sales Force'!$D:$O,12,0)</f>
        <v>1629</v>
      </c>
      <c r="F341" s="8">
        <f>VLOOKUP(B341,'[3]Sales Force'!$D:$L,9,0)</f>
        <v>1124830067</v>
      </c>
      <c r="G341" s="9">
        <f>VLOOKUP(B341,'[3]Sales Force'!$D:$M,10,0)</f>
        <v>45717</v>
      </c>
      <c r="H341" s="8" t="str">
        <f>VLOOKUP(B341,'[3]Sales Force'!$D:$H,5,0)</f>
        <v>CVM 1 Line</v>
      </c>
      <c r="I341" s="8"/>
      <c r="J341" s="8" t="str">
        <f>VLOOKUP(B341,'[3]Sales Force'!$D:$P,13,0)</f>
        <v>Meet Ghamr</v>
      </c>
    </row>
    <row r="342" spans="1:10">
      <c r="A342" s="5">
        <v>1612</v>
      </c>
      <c r="B342" s="13" t="s">
        <v>325</v>
      </c>
      <c r="C342" s="8" t="str">
        <f>VLOOKUP(B342,'[3]Sales Force'!$D:$E,2,0)</f>
        <v>Sara Fathi Azam</v>
      </c>
      <c r="D342" s="8" t="str">
        <f>VLOOKUP(B342,'[3]Sales Force'!$D:$J,7,0)</f>
        <v>MR</v>
      </c>
      <c r="E342" s="8">
        <f>VLOOKUP(C342,'[3]Sales Force'!$D:$O,12,0)</f>
        <v>1629</v>
      </c>
      <c r="F342" s="8">
        <f>VLOOKUP(B342,'[3]Sales Force'!$D:$L,9,0)</f>
        <v>1018292275</v>
      </c>
      <c r="G342" s="9">
        <f>VLOOKUP(B342,'[3]Sales Force'!$D:$M,10,0)</f>
        <v>45759</v>
      </c>
      <c r="H342" s="8" t="str">
        <f>VLOOKUP(B342,'[3]Sales Force'!$D:$H,5,0)</f>
        <v>CVM 1 Line</v>
      </c>
      <c r="I342" s="8"/>
      <c r="J342" s="8" t="str">
        <f>VLOOKUP(B342,'[3]Sales Force'!$D:$P,13,0)</f>
        <v>Sherbeen</v>
      </c>
    </row>
    <row r="343" spans="1:10">
      <c r="A343" s="5">
        <v>1927</v>
      </c>
      <c r="B343" s="15" t="s">
        <v>647</v>
      </c>
      <c r="C343" s="8" t="str">
        <f>VLOOKUP(B343,'[3]Sales Force'!$D:$F,3,0)</f>
        <v>Karam Belal Mohamed</v>
      </c>
      <c r="D343" s="8" t="str">
        <f>VLOOKUP(B343,'[3]Sales Force'!$D:$J,7,0)</f>
        <v>DM</v>
      </c>
      <c r="E343" s="8">
        <f>VLOOKUP(C343,'[3]Sales Force'!$D:$O,12,0)</f>
        <v>69</v>
      </c>
      <c r="F343" s="8">
        <f>VLOOKUP(B343,'[3]Sales Force'!$D:$L,9,0)</f>
        <v>1005800657</v>
      </c>
      <c r="G343" s="9">
        <f>VLOOKUP(B343,'[3]Sales Force'!$D:$M,10,0)</f>
        <v>46113</v>
      </c>
      <c r="H343" s="8" t="str">
        <f>VLOOKUP(B343,'[3]Sales Force'!$D:$H,5,0)</f>
        <v>CVM 2 Line</v>
      </c>
      <c r="I343" s="8" t="str">
        <f>VLOOKUP(B343,'[3]Sales Force'!$D:$N,11,0)</f>
        <v>Saad.Mohamed.Abdelaziz@averroes-eg.com</v>
      </c>
      <c r="J343" s="8" t="str">
        <f>VLOOKUP(B343,'[3]Sales Force'!$D:$P,13,0)</f>
        <v>Talkha</v>
      </c>
    </row>
    <row r="344" spans="1:10">
      <c r="A344" s="5">
        <v>1928</v>
      </c>
      <c r="B344" s="14" t="s">
        <v>648</v>
      </c>
      <c r="C344" s="8" t="str">
        <f>VLOOKUP(B344,'[3]Sales Force'!$D:$E,2,0)</f>
        <v>Saad Mohamed Abdelaziz Abdallah</v>
      </c>
      <c r="D344" s="8" t="str">
        <f>VLOOKUP(B344,'[3]Sales Force'!$D:$J,7,0)</f>
        <v>MR</v>
      </c>
      <c r="E344" s="8">
        <f>VLOOKUP(C344,'[3]Sales Force'!$D:$O,12,0)</f>
        <v>1927</v>
      </c>
      <c r="F344" s="8">
        <f>VLOOKUP(B344,'[3]Sales Force'!$D:$L,9,0)</f>
        <v>1550809085</v>
      </c>
      <c r="G344" s="9">
        <f>VLOOKUP(B344,'[3]Sales Force'!$D:$M,10,0)</f>
        <v>46113</v>
      </c>
      <c r="H344" s="8" t="str">
        <f>VLOOKUP(B344,'[3]Sales Force'!$D:$H,5,0)</f>
        <v>CVM 2 Line</v>
      </c>
      <c r="I344" s="8"/>
      <c r="J344" s="8" t="str">
        <f>VLOOKUP(B344,'[3]Sales Force'!$D:$P,13,0)</f>
        <v>El Mansoura</v>
      </c>
    </row>
    <row r="345" spans="1:10">
      <c r="A345" s="5">
        <v>1643</v>
      </c>
      <c r="B345" s="13" t="s">
        <v>326</v>
      </c>
      <c r="C345" s="8" t="str">
        <f>VLOOKUP(B345,'[3]Sales Force'!$D:$E,2,0)</f>
        <v>Saad Mohamed Abdelaziz Abdallah</v>
      </c>
      <c r="D345" s="8" t="str">
        <f>VLOOKUP(B345,'[3]Sales Force'!$D:$J,7,0)</f>
        <v>MR</v>
      </c>
      <c r="E345" s="8">
        <f>VLOOKUP(C345,'[3]Sales Force'!$D:$O,12,0)</f>
        <v>1927</v>
      </c>
      <c r="F345" s="8">
        <f>VLOOKUP(B345,'[3]Sales Force'!$D:$L,9,0)</f>
        <v>1063854197</v>
      </c>
      <c r="G345" s="9">
        <f>VLOOKUP(B345,'[3]Sales Force'!$D:$M,10,0)</f>
        <v>45783</v>
      </c>
      <c r="H345" s="8" t="str">
        <f>VLOOKUP(B345,'[3]Sales Force'!$D:$H,5,0)</f>
        <v>CVM 2 Line</v>
      </c>
      <c r="I345" s="8"/>
      <c r="J345" s="8" t="str">
        <f>VLOOKUP(B345,'[3]Sales Force'!$D:$P,13,0)</f>
        <v>Domiatte</v>
      </c>
    </row>
    <row r="346" spans="1:10">
      <c r="A346" s="5">
        <v>1644</v>
      </c>
      <c r="B346" s="13" t="s">
        <v>327</v>
      </c>
      <c r="C346" s="8" t="str">
        <f>VLOOKUP(B346,'[3]Sales Force'!$D:$E,2,0)</f>
        <v>Saad Mohamed Abdelaziz Abdallah</v>
      </c>
      <c r="D346" s="8" t="str">
        <f>VLOOKUP(B346,'[3]Sales Force'!$D:$J,7,0)</f>
        <v>MR</v>
      </c>
      <c r="E346" s="8">
        <f>VLOOKUP(C346,'[3]Sales Force'!$D:$O,12,0)</f>
        <v>1927</v>
      </c>
      <c r="F346" s="8">
        <f>VLOOKUP(B346,'[3]Sales Force'!$D:$L,9,0)</f>
        <v>1001303361</v>
      </c>
      <c r="G346" s="9">
        <f>VLOOKUP(B346,'[3]Sales Force'!$D:$M,10,0)</f>
        <v>45783</v>
      </c>
      <c r="H346" s="8" t="str">
        <f>VLOOKUP(B346,'[3]Sales Force'!$D:$H,5,0)</f>
        <v>CVM 2 Line</v>
      </c>
      <c r="I346" s="8"/>
      <c r="J346" s="8" t="str">
        <f>VLOOKUP(B346,'[3]Sales Force'!$D:$P,13,0)</f>
        <v>Mansoura</v>
      </c>
    </row>
    <row r="347" spans="1:10">
      <c r="A347" s="5">
        <v>1645</v>
      </c>
      <c r="B347" s="13" t="s">
        <v>328</v>
      </c>
      <c r="C347" s="8" t="str">
        <f>VLOOKUP(B347,'[3]Sales Force'!$D:$E,2,0)</f>
        <v>Saad Mohamed Abdelaziz Abdallah</v>
      </c>
      <c r="D347" s="8" t="str">
        <f>VLOOKUP(B347,'[3]Sales Force'!$D:$J,7,0)</f>
        <v>MR</v>
      </c>
      <c r="E347" s="8">
        <f>VLOOKUP(C347,'[3]Sales Force'!$D:$O,12,0)</f>
        <v>1927</v>
      </c>
      <c r="F347" s="8">
        <f>VLOOKUP(B347,'[3]Sales Force'!$D:$L,9,0)</f>
        <v>1014902948</v>
      </c>
      <c r="G347" s="9">
        <f>VLOOKUP(B347,'[3]Sales Force'!$D:$M,10,0)</f>
        <v>45780</v>
      </c>
      <c r="H347" s="8" t="str">
        <f>VLOOKUP(B347,'[3]Sales Force'!$D:$H,5,0)</f>
        <v>CVM 2 Line</v>
      </c>
      <c r="I347" s="8"/>
      <c r="J347" s="8" t="str">
        <f>VLOOKUP(B347,'[3]Sales Force'!$D:$P,13,0)</f>
        <v>Mit ghamr</v>
      </c>
    </row>
    <row r="348" spans="1:10">
      <c r="A348" s="5">
        <v>1646</v>
      </c>
      <c r="B348" s="13" t="s">
        <v>329</v>
      </c>
      <c r="C348" s="8" t="str">
        <f>VLOOKUP(B348,'[3]Sales Force'!$D:$E,2,0)</f>
        <v>Saad Mohamed Abdelaziz Abdallah</v>
      </c>
      <c r="D348" s="8" t="str">
        <f>VLOOKUP(B348,'[3]Sales Force'!$D:$J,7,0)</f>
        <v>MR</v>
      </c>
      <c r="E348" s="8">
        <f>VLOOKUP(C348,'[3]Sales Force'!$D:$O,12,0)</f>
        <v>1927</v>
      </c>
      <c r="F348" s="8">
        <f>VLOOKUP(B348,'[3]Sales Force'!$D:$L,9,0)</f>
        <v>1287860208</v>
      </c>
      <c r="G348" s="9">
        <f>VLOOKUP(B348,'[3]Sales Force'!$D:$M,10,0)</f>
        <v>45780</v>
      </c>
      <c r="H348" s="8" t="str">
        <f>VLOOKUP(B348,'[3]Sales Force'!$D:$H,5,0)</f>
        <v>CVM 2 Line</v>
      </c>
      <c r="I348" s="8"/>
      <c r="J348" s="8" t="str">
        <f>VLOOKUP(B348,'[3]Sales Force'!$D:$P,13,0)</f>
        <v>Manzala</v>
      </c>
    </row>
    <row r="349" spans="1:10">
      <c r="A349" s="5">
        <v>1647</v>
      </c>
      <c r="B349" s="13" t="s">
        <v>330</v>
      </c>
      <c r="C349" s="8" t="str">
        <f>VLOOKUP(B349,'[3]Sales Force'!$D:$E,2,0)</f>
        <v>Saad Mohamed Abdelaziz Abdallah</v>
      </c>
      <c r="D349" s="8" t="str">
        <f>VLOOKUP(B349,'[3]Sales Force'!$D:$J,7,0)</f>
        <v>MR</v>
      </c>
      <c r="E349" s="8">
        <f>VLOOKUP(C349,'[3]Sales Force'!$D:$O,12,0)</f>
        <v>1927</v>
      </c>
      <c r="F349" s="8">
        <f>VLOOKUP(B349,'[3]Sales Force'!$D:$L,9,0)</f>
        <v>1001868967</v>
      </c>
      <c r="G349" s="9">
        <f>VLOOKUP(B349,'[3]Sales Force'!$D:$M,10,0)</f>
        <v>45783</v>
      </c>
      <c r="H349" s="8" t="str">
        <f>VLOOKUP(B349,'[3]Sales Force'!$D:$H,5,0)</f>
        <v>CVM 2 Line</v>
      </c>
      <c r="I349" s="8"/>
      <c r="J349" s="8" t="str">
        <f>VLOOKUP(B349,'[3]Sales Force'!$D:$P,13,0)</f>
        <v>Mansoura</v>
      </c>
    </row>
    <row r="350" spans="1:10">
      <c r="A350" s="5">
        <v>1883</v>
      </c>
      <c r="B350" s="15" t="s">
        <v>649</v>
      </c>
      <c r="C350" s="8" t="str">
        <f>VLOOKUP(B350,'[3]Sales Force'!$D:$F,3,0)</f>
        <v>Karam Belal Mohamed</v>
      </c>
      <c r="D350" s="8" t="str">
        <f>VLOOKUP(B350,'[3]Sales Force'!$D:$J,7,0)</f>
        <v>DM</v>
      </c>
      <c r="E350" s="8">
        <f>VLOOKUP(C350,'[3]Sales Force'!$D:$O,12,0)</f>
        <v>69</v>
      </c>
      <c r="F350" s="8">
        <f>VLOOKUP(B350,'[3]Sales Force'!$D:$L,9,0)</f>
        <v>1011160924</v>
      </c>
      <c r="G350" s="9">
        <f>VLOOKUP(B350,'[3]Sales Force'!$D:$M,10,0)</f>
        <v>46081</v>
      </c>
      <c r="H350" s="8" t="str">
        <f>VLOOKUP(B350,'[3]Sales Force'!$D:$H,5,0)</f>
        <v>CVM 2 Line</v>
      </c>
      <c r="I350" s="8" t="str">
        <f>VLOOKUP(B350,'[3]Sales Force'!$D:$N,11,0)</f>
        <v>Abanoub.Eid.Fouad@averroes-eg.com</v>
      </c>
      <c r="J350" s="8" t="str">
        <f>VLOOKUP(B350,'[3]Sales Force'!$D:$P,13,0)</f>
        <v>Shebien El Kom</v>
      </c>
    </row>
    <row r="351" spans="1:10">
      <c r="A351" s="5">
        <v>1785</v>
      </c>
      <c r="B351" s="13" t="s">
        <v>331</v>
      </c>
      <c r="C351" s="8" t="str">
        <f>VLOOKUP(B351,'[3]Sales Force'!$D:$E,2,0)</f>
        <v>Abanoub Eid Fouad</v>
      </c>
      <c r="D351" s="8" t="str">
        <f>VLOOKUP(B351,'[3]Sales Force'!$D:$J,7,0)</f>
        <v>MR</v>
      </c>
      <c r="E351" s="8">
        <f>VLOOKUP(C351,'[3]Sales Force'!$D:$O,12,0)</f>
        <v>1883</v>
      </c>
      <c r="F351" s="8">
        <f>VLOOKUP(B351,'[3]Sales Force'!$D:$L,9,0)</f>
        <v>1007570734</v>
      </c>
      <c r="G351" s="9">
        <f>VLOOKUP(B351,'[3]Sales Force'!$D:$M,10,0)</f>
        <v>45962</v>
      </c>
      <c r="H351" s="8" t="str">
        <f>VLOOKUP(B351,'[3]Sales Force'!$D:$H,5,0)</f>
        <v>CVM 2 Line</v>
      </c>
      <c r="I351" s="8"/>
      <c r="J351" s="8" t="str">
        <f>VLOOKUP(B351,'[3]Sales Force'!$D:$P,13,0)</f>
        <v>Beket ElSabaa</v>
      </c>
    </row>
    <row r="352" spans="1:10">
      <c r="A352" s="5">
        <v>1635</v>
      </c>
      <c r="B352" s="13" t="s">
        <v>332</v>
      </c>
      <c r="C352" s="8" t="str">
        <f>VLOOKUP(B352,'[3]Sales Force'!$D:$E,2,0)</f>
        <v>Abanoub Eid Fouad</v>
      </c>
      <c r="D352" s="8" t="str">
        <f>VLOOKUP(B352,'[3]Sales Force'!$D:$J,7,0)</f>
        <v>MR</v>
      </c>
      <c r="E352" s="8">
        <f>VLOOKUP(C352,'[3]Sales Force'!$D:$O,12,0)</f>
        <v>1883</v>
      </c>
      <c r="F352" s="8">
        <f>VLOOKUP(B352,'[3]Sales Force'!$D:$L,9,0)</f>
        <v>1227067386</v>
      </c>
      <c r="G352" s="9">
        <f>VLOOKUP(B352,'[3]Sales Force'!$D:$M,10,0)</f>
        <v>45780</v>
      </c>
      <c r="H352" s="8" t="str">
        <f>VLOOKUP(B352,'[3]Sales Force'!$D:$H,5,0)</f>
        <v>CVM 2 Line</v>
      </c>
      <c r="I352" s="8"/>
      <c r="J352" s="8" t="str">
        <f>VLOOKUP(B352,'[3]Sales Force'!$D:$P,13,0)</f>
        <v>Kfr zayat </v>
      </c>
    </row>
    <row r="353" spans="1:10">
      <c r="A353" s="5">
        <v>1688</v>
      </c>
      <c r="B353" s="13" t="s">
        <v>333</v>
      </c>
      <c r="C353" s="8" t="str">
        <f>VLOOKUP(B353,'[3]Sales Force'!$D:$E,2,0)</f>
        <v>Abanoub Eid Fouad</v>
      </c>
      <c r="D353" s="8" t="str">
        <f>VLOOKUP(B353,'[3]Sales Force'!$D:$J,7,0)</f>
        <v>MR</v>
      </c>
      <c r="E353" s="8">
        <f>VLOOKUP(C353,'[3]Sales Force'!$D:$O,12,0)</f>
        <v>1883</v>
      </c>
      <c r="F353" s="8">
        <f>VLOOKUP(B353,'[3]Sales Force'!$D:$L,9,0)</f>
        <v>1092913323</v>
      </c>
      <c r="G353" s="9">
        <f>VLOOKUP(B353,'[3]Sales Force'!$D:$M,10,0)</f>
        <v>45811</v>
      </c>
      <c r="H353" s="8" t="str">
        <f>VLOOKUP(B353,'[3]Sales Force'!$D:$H,5,0)</f>
        <v>CVM 2 Line</v>
      </c>
      <c r="I353" s="8"/>
      <c r="J353" s="8" t="str">
        <f>VLOOKUP(B353,'[3]Sales Force'!$D:$P,13,0)</f>
        <v>Tanta City</v>
      </c>
    </row>
    <row r="354" spans="1:10">
      <c r="A354" s="5">
        <v>1636</v>
      </c>
      <c r="B354" s="13" t="s">
        <v>334</v>
      </c>
      <c r="C354" s="8" t="str">
        <f>VLOOKUP(B354,'[3]Sales Force'!$D:$E,2,0)</f>
        <v>Abanoub Eid Fouad</v>
      </c>
      <c r="D354" s="8" t="str">
        <f>VLOOKUP(B354,'[3]Sales Force'!$D:$J,7,0)</f>
        <v>MR</v>
      </c>
      <c r="E354" s="8">
        <f>VLOOKUP(C354,'[3]Sales Force'!$D:$O,12,0)</f>
        <v>1883</v>
      </c>
      <c r="F354" s="8">
        <f>VLOOKUP(B354,'[3]Sales Force'!$D:$L,9,0)</f>
        <v>1140921800</v>
      </c>
      <c r="G354" s="9">
        <f>VLOOKUP(B354,'[3]Sales Force'!$D:$M,10,0)</f>
        <v>45780</v>
      </c>
      <c r="H354" s="8" t="str">
        <f>VLOOKUP(B354,'[3]Sales Force'!$D:$H,5,0)</f>
        <v>CVM 2 Line</v>
      </c>
      <c r="I354" s="8"/>
      <c r="J354" s="8" t="str">
        <f>VLOOKUP(B354,'[3]Sales Force'!$D:$P,13,0)</f>
        <v>Zefta</v>
      </c>
    </row>
    <row r="355" spans="1:10">
      <c r="A355" s="5">
        <v>711</v>
      </c>
      <c r="B355" s="13" t="s">
        <v>335</v>
      </c>
      <c r="C355" s="8" t="str">
        <f>VLOOKUP(B355,'[3]Sales Force'!$D:$E,2,0)</f>
        <v>Abanoub Eid Fouad</v>
      </c>
      <c r="D355" s="8" t="str">
        <f>VLOOKUP(B355,'[3]Sales Force'!$D:$J,7,0)</f>
        <v>MR</v>
      </c>
      <c r="E355" s="8">
        <f>VLOOKUP(C355,'[3]Sales Force'!$D:$O,12,0)</f>
        <v>1883</v>
      </c>
      <c r="F355" s="8">
        <f>VLOOKUP(B355,'[3]Sales Force'!$D:$L,9,0)</f>
        <v>1003456648</v>
      </c>
      <c r="G355" s="9">
        <f>VLOOKUP(B355,'[3]Sales Force'!$D:$M,10,0)</f>
        <v>44222</v>
      </c>
      <c r="H355" s="8" t="str">
        <f>VLOOKUP(B355,'[3]Sales Force'!$D:$H,5,0)</f>
        <v>CVM 2 Line</v>
      </c>
      <c r="I355" s="8"/>
      <c r="J355" s="8" t="str">
        <f>VLOOKUP(B355,'[3]Sales Force'!$D:$P,13,0)</f>
        <v>Shebien El Kom</v>
      </c>
    </row>
    <row r="356" spans="1:10">
      <c r="A356" s="5">
        <v>1847</v>
      </c>
      <c r="B356" s="14" t="s">
        <v>336</v>
      </c>
      <c r="C356" s="8" t="str">
        <f>VLOOKUP(B356,'[3]Sales Force'!$D:$E,2,0)</f>
        <v>Abanoub Eid Fouad</v>
      </c>
      <c r="D356" s="8" t="str">
        <f>VLOOKUP(B356,'[3]Sales Force'!$D:$J,7,0)</f>
        <v>MR</v>
      </c>
      <c r="E356" s="8">
        <f>VLOOKUP(C356,'[3]Sales Force'!$D:$O,12,0)</f>
        <v>1883</v>
      </c>
      <c r="F356" s="41" t="s">
        <v>601</v>
      </c>
      <c r="G356" s="9">
        <f>VLOOKUP(B356,'[3]Sales Force'!$D:$M,10,0)</f>
        <v>46054</v>
      </c>
      <c r="H356" s="8" t="str">
        <f>VLOOKUP(B356,'[3]Sales Force'!$D:$H,5,0)</f>
        <v>CVM 2 Line</v>
      </c>
      <c r="I356" s="8"/>
      <c r="J356" s="8"/>
    </row>
    <row r="357" spans="1:10">
      <c r="A357" s="5">
        <v>1638</v>
      </c>
      <c r="B357" s="17" t="s">
        <v>337</v>
      </c>
      <c r="C357" s="8" t="str">
        <f>VLOOKUP(B357,'[3]Sales Force'!$D:$E,2,0)</f>
        <v>Abanoub Eid Fouad</v>
      </c>
      <c r="D357" s="8" t="str">
        <f>VLOOKUP(B357,'[3]Sales Force'!$D:$J,7,0)</f>
        <v>MR</v>
      </c>
      <c r="E357" s="8">
        <f>VLOOKUP(C357,'[3]Sales Force'!$D:$O,12,0)</f>
        <v>1883</v>
      </c>
      <c r="F357" s="8">
        <f>VLOOKUP(B357,'[3]Sales Force'!$D:$L,9,0)</f>
        <v>1097112085</v>
      </c>
      <c r="G357" s="9">
        <f>VLOOKUP(B357,'[3]Sales Force'!$D:$M,10,0)</f>
        <v>45780</v>
      </c>
      <c r="H357" s="8" t="str">
        <f>VLOOKUP(B357,'[3]Sales Force'!$D:$H,5,0)</f>
        <v>CVM 2 Line</v>
      </c>
      <c r="I357" s="8"/>
      <c r="J357" s="8" t="str">
        <f>VLOOKUP(B357,'[3]Sales Force'!$D:$P,13,0)</f>
        <v>El Bagour</v>
      </c>
    </row>
    <row r="358" spans="1:10">
      <c r="A358" s="5">
        <v>1368</v>
      </c>
      <c r="B358" s="12" t="s">
        <v>338</v>
      </c>
      <c r="C358" s="8" t="str">
        <f>VLOOKUP(B358,'[3]Sales Force'!$D:$F,3,0)</f>
        <v>Karam Belal Mohamed</v>
      </c>
      <c r="D358" s="8" t="str">
        <f>VLOOKUP(B358,'[3]Sales Force'!$D:$J,7,0)</f>
        <v>DM</v>
      </c>
      <c r="E358" s="8">
        <f>VLOOKUP(C358,'[3]Sales Force'!$D:$O,12,0)</f>
        <v>69</v>
      </c>
      <c r="F358" s="8">
        <f>VLOOKUP(B358,'[3]Sales Force'!$D:$L,9,0)</f>
        <v>1007037612</v>
      </c>
      <c r="G358" s="9">
        <f>VLOOKUP(B358,'[3]Sales Force'!$D:$M,10,0)</f>
        <v>45444</v>
      </c>
      <c r="H358" s="8" t="str">
        <f>VLOOKUP(B358,'[3]Sales Force'!$D:$H,5,0)</f>
        <v>CVM 2 Line</v>
      </c>
      <c r="I358" s="8" t="str">
        <f>VLOOKUP(B358,'[3]Sales Force'!$D:$N,11,0)</f>
        <v>Mahmoud.AbdElSattar.AbdElWahab@averroes-eg.com</v>
      </c>
      <c r="J358" s="8" t="str">
        <f>VLOOKUP(B358,'[3]Sales Force'!$D:$P,13,0)</f>
        <v>Menyet Elkamh</v>
      </c>
    </row>
    <row r="359" spans="1:10">
      <c r="A359" s="5">
        <v>1639</v>
      </c>
      <c r="B359" s="13" t="s">
        <v>339</v>
      </c>
      <c r="C359" s="8" t="str">
        <f>VLOOKUP(B359,'[3]Sales Force'!$D:$E,2,0)</f>
        <v>Mahmoud AbdElSattar AbdElWahab</v>
      </c>
      <c r="D359" s="8" t="str">
        <f>VLOOKUP(B359,'[3]Sales Force'!$D:$J,7,0)</f>
        <v>MR</v>
      </c>
      <c r="E359" s="8">
        <f>VLOOKUP(C359,'[3]Sales Force'!$D:$O,12,0)</f>
        <v>1368</v>
      </c>
      <c r="F359" s="8">
        <f>VLOOKUP(B359,'[3]Sales Force'!$D:$L,9,0)</f>
        <v>1551452530</v>
      </c>
      <c r="G359" s="9">
        <f>VLOOKUP(B359,'[3]Sales Force'!$D:$M,10,0)</f>
        <v>45783</v>
      </c>
      <c r="H359" s="8" t="str">
        <f>VLOOKUP(B359,'[3]Sales Force'!$D:$H,5,0)</f>
        <v>CVM 2 Line</v>
      </c>
      <c r="I359" s="8"/>
      <c r="J359" s="8" t="str">
        <f>VLOOKUP(B359,'[3]Sales Force'!$D:$P,13,0)</f>
        <v>Banha - Atreeb</v>
      </c>
    </row>
    <row r="360" spans="1:10">
      <c r="A360" s="5">
        <v>1641</v>
      </c>
      <c r="B360" s="13" t="s">
        <v>340</v>
      </c>
      <c r="C360" s="8" t="str">
        <f>VLOOKUP(B360,'[3]Sales Force'!$D:$E,2,0)</f>
        <v>Mahmoud AbdElSattar AbdElWahab</v>
      </c>
      <c r="D360" s="8" t="str">
        <f>VLOOKUP(B360,'[3]Sales Force'!$D:$J,7,0)</f>
        <v>MR</v>
      </c>
      <c r="E360" s="8">
        <f>VLOOKUP(C360,'[3]Sales Force'!$D:$O,12,0)</f>
        <v>1368</v>
      </c>
      <c r="F360" s="8">
        <f>VLOOKUP(B360,'[3]Sales Force'!$D:$L,9,0)</f>
        <v>1277040381</v>
      </c>
      <c r="G360" s="9">
        <f>VLOOKUP(B360,'[3]Sales Force'!$D:$M,10,0)</f>
        <v>45780</v>
      </c>
      <c r="H360" s="8" t="str">
        <f>VLOOKUP(B360,'[3]Sales Force'!$D:$H,5,0)</f>
        <v>CVM 2 Line</v>
      </c>
      <c r="I360" s="8"/>
      <c r="J360" s="8" t="str">
        <f>VLOOKUP(B360,'[3]Sales Force'!$D:$P,13,0)</f>
        <v>Hehia</v>
      </c>
    </row>
    <row r="361" spans="1:10">
      <c r="A361" s="5">
        <v>1777</v>
      </c>
      <c r="B361" s="13" t="s">
        <v>341</v>
      </c>
      <c r="C361" s="8" t="str">
        <f>VLOOKUP(B361,'[3]Sales Force'!$D:$E,2,0)</f>
        <v>Mahmoud AbdElSattar AbdElWahab</v>
      </c>
      <c r="D361" s="8" t="str">
        <f>VLOOKUP(B361,'[3]Sales Force'!$D:$J,7,0)</f>
        <v>MR</v>
      </c>
      <c r="E361" s="8">
        <f>VLOOKUP(C361,'[3]Sales Force'!$D:$O,12,0)</f>
        <v>1368</v>
      </c>
      <c r="F361" s="8">
        <f>VLOOKUP(B361,'[3]Sales Force'!$D:$L,9,0)</f>
        <v>1553246058</v>
      </c>
      <c r="G361" s="9">
        <f>VLOOKUP(B361,'[3]Sales Force'!$D:$M,10,0)</f>
        <v>45962</v>
      </c>
      <c r="H361" s="8" t="str">
        <f>VLOOKUP(B361,'[3]Sales Force'!$D:$H,5,0)</f>
        <v>CVM 2 Line</v>
      </c>
      <c r="I361" s="8"/>
      <c r="J361" s="8" t="str">
        <f>VLOOKUP(B361,'[3]Sales Force'!$D:$P,13,0)</f>
        <v>Belbais</v>
      </c>
    </row>
    <row r="362" spans="1:10">
      <c r="A362" s="5">
        <v>1683</v>
      </c>
      <c r="B362" s="13" t="s">
        <v>342</v>
      </c>
      <c r="C362" s="8" t="str">
        <f>VLOOKUP(B362,'[3]Sales Force'!$D:$E,2,0)</f>
        <v>Mahmoud AbdElSattar AbdElWahab</v>
      </c>
      <c r="D362" s="8" t="str">
        <f>VLOOKUP(B362,'[3]Sales Force'!$D:$J,7,0)</f>
        <v>MR</v>
      </c>
      <c r="E362" s="8">
        <f>VLOOKUP(C362,'[3]Sales Force'!$D:$O,12,0)</f>
        <v>1368</v>
      </c>
      <c r="F362" s="8">
        <f>VLOOKUP(B362,'[3]Sales Force'!$D:$L,9,0)</f>
        <v>1223027139</v>
      </c>
      <c r="G362" s="9">
        <f>VLOOKUP(B362,'[3]Sales Force'!$D:$M,10,0)</f>
        <v>45810</v>
      </c>
      <c r="H362" s="8" t="str">
        <f>VLOOKUP(B362,'[3]Sales Force'!$D:$H,5,0)</f>
        <v>CVM 2 Line</v>
      </c>
      <c r="I362" s="8"/>
      <c r="J362" s="8" t="str">
        <f>VLOOKUP(B362,'[3]Sales Force'!$D:$P,13,0)</f>
        <v>Shebien El Kanater</v>
      </c>
    </row>
    <row r="363" spans="1:10">
      <c r="A363" s="5">
        <v>1877</v>
      </c>
      <c r="B363" s="14" t="s">
        <v>650</v>
      </c>
      <c r="C363" s="8" t="str">
        <f>VLOOKUP(B363,'[3]Sales Force'!$D:$E,2,0)</f>
        <v>Mahmoud AbdElSattar AbdElWahab</v>
      </c>
      <c r="D363" s="8" t="str">
        <f>VLOOKUP(B363,'[3]Sales Force'!$D:$J,7,0)</f>
        <v>MR</v>
      </c>
      <c r="E363" s="8">
        <f>VLOOKUP(C363,'[3]Sales Force'!$D:$O,12,0)</f>
        <v>1368</v>
      </c>
      <c r="F363" s="8">
        <f>VLOOKUP(B363,'[3]Sales Force'!$D:$L,9,0)</f>
        <v>1050709450</v>
      </c>
      <c r="G363" s="9">
        <f>VLOOKUP(B363,'[3]Sales Force'!$D:$M,10,0)</f>
        <v>46070</v>
      </c>
      <c r="H363" s="8" t="str">
        <f>VLOOKUP(B363,'[3]Sales Force'!$D:$H,5,0)</f>
        <v>CVM 2 Line</v>
      </c>
      <c r="I363" s="8"/>
      <c r="J363" s="8" t="str">
        <f>VLOOKUP(B363,'[3]Sales Force'!$D:$P,13,0)</f>
        <v>El Zakazik City</v>
      </c>
    </row>
    <row r="364" spans="1:10">
      <c r="A364" s="5">
        <v>1838</v>
      </c>
      <c r="B364" s="13" t="s">
        <v>343</v>
      </c>
      <c r="C364" s="8" t="str">
        <f>VLOOKUP(B364,'[3]Sales Force'!$D:$E,2,0)</f>
        <v>Mahmoud AbdElSattar AbdElWahab</v>
      </c>
      <c r="D364" s="8" t="str">
        <f>VLOOKUP(B364,'[3]Sales Force'!$D:$J,7,0)</f>
        <v>MR</v>
      </c>
      <c r="E364" s="8">
        <f>VLOOKUP(C364,'[3]Sales Force'!$D:$O,12,0)</f>
        <v>1368</v>
      </c>
      <c r="F364" s="8">
        <f>VLOOKUP(B364,'[3]Sales Force'!$D:$L,9,0)</f>
        <v>1068040454</v>
      </c>
      <c r="G364" s="9">
        <f>VLOOKUP(B364,'[3]Sales Force'!$D:$M,10,0)</f>
        <v>46025</v>
      </c>
      <c r="H364" s="8" t="str">
        <f>VLOOKUP(B364,'[3]Sales Force'!$D:$H,5,0)</f>
        <v>CVM 2 Line</v>
      </c>
      <c r="I364" s="8"/>
      <c r="J364" s="8" t="str">
        <f>VLOOKUP(B364,'[3]Sales Force'!$D:$P,13,0)</f>
        <v>El Zakazik City</v>
      </c>
    </row>
    <row r="365" spans="1:10">
      <c r="A365" s="5">
        <v>1825</v>
      </c>
      <c r="B365" s="13" t="s">
        <v>344</v>
      </c>
      <c r="C365" s="8" t="str">
        <f>VLOOKUP(B365,'[3]Sales Force'!$D:$E,2,0)</f>
        <v>Mahmoud AbdElSattar AbdElWahab</v>
      </c>
      <c r="D365" s="8" t="str">
        <f>VLOOKUP(B365,'[3]Sales Force'!$D:$J,7,0)</f>
        <v>MR</v>
      </c>
      <c r="E365" s="8">
        <f>VLOOKUP(C365,'[3]Sales Force'!$D:$O,12,0)</f>
        <v>1368</v>
      </c>
      <c r="F365" s="8">
        <f>VLOOKUP(B365,'[3]Sales Force'!$D:$L,9,0)</f>
        <v>1116336056</v>
      </c>
      <c r="G365" s="9">
        <f>VLOOKUP(B365,'[3]Sales Force'!$D:$M,10,0)</f>
        <v>46025</v>
      </c>
      <c r="H365" s="8" t="str">
        <f>VLOOKUP(B365,'[3]Sales Force'!$D:$H,5,0)</f>
        <v>CVM 2 Line</v>
      </c>
      <c r="I365" s="8"/>
      <c r="J365" s="8" t="str">
        <f>VLOOKUP(B365,'[3]Sales Force'!$D:$P,13,0)</f>
        <v>Fakoos</v>
      </c>
    </row>
    <row r="366" spans="1:10">
      <c r="A366" s="5">
        <v>964</v>
      </c>
      <c r="B366" s="11" t="s">
        <v>345</v>
      </c>
      <c r="C366" s="8" t="str">
        <f>VLOOKUP(B366,'[3]Sales Force'!$D:$G,4,0)</f>
        <v>Abo El Abbas Samir</v>
      </c>
      <c r="D366" s="8" t="str">
        <f>VLOOKUP(B366,'[3]Sales Force'!$D:$J,7,0)</f>
        <v>AM</v>
      </c>
      <c r="E366" s="8">
        <f>VLOOKUP(C366,'[3]Sales Force'!$D:$O,12,0)</f>
        <v>61</v>
      </c>
      <c r="F366" s="8" t="str">
        <f>VLOOKUP(B366,'[3]Sales Force'!$D:$L,9,0)</f>
        <v> 1270022536</v>
      </c>
      <c r="G366" s="9">
        <f>VLOOKUP(B366,'[3]Sales Force'!$D:$M,10,0)</f>
        <v>44654</v>
      </c>
      <c r="H366" s="8" t="str">
        <f>VLOOKUP(B366,'[3]Sales Force'!$D:$H,5,0)</f>
        <v>CVM 1 Line &amp; CVM 2 Line</v>
      </c>
      <c r="I366" s="8" t="str">
        <f>VLOOKUP(B366,'[3]Sales Force'!$D:$N,11,0)</f>
        <v>Mohamed.Osman@Averroes-eg.com</v>
      </c>
      <c r="J366" s="8" t="str">
        <f>VLOOKUP(B366,'[3]Sales Force'!$D:$P,13,0)</f>
        <v>Shobra El Khiema</v>
      </c>
    </row>
    <row r="367" spans="1:10">
      <c r="A367" s="5">
        <v>1080</v>
      </c>
      <c r="B367" s="12" t="s">
        <v>346</v>
      </c>
      <c r="C367" s="8" t="str">
        <f>VLOOKUP(B367,'[3]Sales Force'!$D:$F,3,0)</f>
        <v>Mohamed Mostafa Osman</v>
      </c>
      <c r="D367" s="8" t="str">
        <f>VLOOKUP(B367,'[3]Sales Force'!$D:$J,7,0)</f>
        <v>DM</v>
      </c>
      <c r="E367" s="8">
        <f>VLOOKUP(C367,'[3]Sales Force'!$D:$O,12,0)</f>
        <v>964</v>
      </c>
      <c r="F367" s="8" t="str">
        <f>VLOOKUP(B367,'[3]Sales Force'!$D:$L,9,0)</f>
        <v> 01121229559</v>
      </c>
      <c r="G367" s="9">
        <f>VLOOKUP(B367,'[3]Sales Force'!$D:$M,10,0)</f>
        <v>44940</v>
      </c>
      <c r="H367" s="8" t="str">
        <f>VLOOKUP(B367,'[3]Sales Force'!$D:$H,5,0)</f>
        <v>CVM 1 Line</v>
      </c>
      <c r="I367" s="8" t="str">
        <f>VLOOKUP(B367,'[3]Sales Force'!$D:$N,11,0)</f>
        <v>Ahmed.Adel.Kasem@averroes-eg.com</v>
      </c>
      <c r="J367" s="8" t="str">
        <f>VLOOKUP(B367,'[3]Sales Force'!$D:$P,13,0)</f>
        <v>El Badrashien</v>
      </c>
    </row>
    <row r="368" spans="1:10">
      <c r="A368" s="5">
        <v>1203</v>
      </c>
      <c r="B368" s="13" t="s">
        <v>347</v>
      </c>
      <c r="C368" s="8" t="str">
        <f>VLOOKUP(B368,'[3]Sales Force'!$D:$E,2,0)</f>
        <v>Ahmed Adel Kasem</v>
      </c>
      <c r="D368" s="8" t="str">
        <f>VLOOKUP(B368,'[3]Sales Force'!$D:$J,7,0)</f>
        <v>MR</v>
      </c>
      <c r="E368" s="8">
        <f>VLOOKUP(C368,'[3]Sales Force'!$D:$O,12,0)</f>
        <v>1080</v>
      </c>
      <c r="F368" s="8">
        <f>VLOOKUP(B368,'[3]Sales Force'!$D:$L,9,0)</f>
        <v>1030086979</v>
      </c>
      <c r="G368" s="9">
        <f>VLOOKUP(B368,'[3]Sales Force'!$D:$M,10,0)</f>
        <v>44982</v>
      </c>
      <c r="H368" s="8" t="str">
        <f>VLOOKUP(B368,'[3]Sales Force'!$D:$H,5,0)</f>
        <v>CVM 1 Line</v>
      </c>
      <c r="I368" s="8"/>
      <c r="J368" s="8" t="str">
        <f>VLOOKUP(B368,'[3]Sales Force'!$D:$P,13,0)</f>
        <v>El Omrania</v>
      </c>
    </row>
    <row r="369" spans="1:10">
      <c r="A369" s="5">
        <v>1420</v>
      </c>
      <c r="B369" s="13" t="s">
        <v>348</v>
      </c>
      <c r="C369" s="8" t="str">
        <f>VLOOKUP(B369,'[3]Sales Force'!$D:$E,2,0)</f>
        <v>Ahmed Adel Kasem</v>
      </c>
      <c r="D369" s="8" t="str">
        <f>VLOOKUP(B369,'[3]Sales Force'!$D:$J,7,0)</f>
        <v>MR</v>
      </c>
      <c r="E369" s="8">
        <f>VLOOKUP(C369,'[3]Sales Force'!$D:$O,12,0)</f>
        <v>1080</v>
      </c>
      <c r="F369" s="8">
        <f>VLOOKUP(B369,'[3]Sales Force'!$D:$L,9,0)</f>
        <v>1128800071</v>
      </c>
      <c r="G369" s="9">
        <f>VLOOKUP(B369,'[3]Sales Force'!$D:$M,10,0)</f>
        <v>45507</v>
      </c>
      <c r="H369" s="8" t="str">
        <f>VLOOKUP(B369,'[3]Sales Force'!$D:$H,5,0)</f>
        <v>CVM 1 Line</v>
      </c>
      <c r="I369" s="8"/>
      <c r="J369" s="8" t="str">
        <f>VLOOKUP(B369,'[3]Sales Force'!$D:$P,13,0)</f>
        <v>El Talbeia (Faisal)</v>
      </c>
    </row>
    <row r="370" spans="1:10">
      <c r="A370" s="5">
        <v>1874</v>
      </c>
      <c r="B370" s="14" t="s">
        <v>651</v>
      </c>
      <c r="C370" s="8" t="str">
        <f>VLOOKUP(B370,'[3]Sales Force'!$D:$E,2,0)</f>
        <v>Ahmed Adel Kasem</v>
      </c>
      <c r="D370" s="8" t="str">
        <f>VLOOKUP(B370,'[3]Sales Force'!$D:$J,7,0)</f>
        <v>MR</v>
      </c>
      <c r="E370" s="8">
        <f>VLOOKUP(C370,'[3]Sales Force'!$D:$O,12,0)</f>
        <v>1080</v>
      </c>
      <c r="F370" s="8">
        <f>VLOOKUP(B370,'[3]Sales Force'!$D:$L,9,0)</f>
        <v>1150729830</v>
      </c>
      <c r="G370" s="9">
        <f>VLOOKUP(B370,'[3]Sales Force'!$D:$M,10,0)</f>
        <v>46070</v>
      </c>
      <c r="H370" s="8" t="str">
        <f>VLOOKUP(B370,'[3]Sales Force'!$D:$H,5,0)</f>
        <v>CVM 1 Line</v>
      </c>
      <c r="I370" s="8"/>
      <c r="J370" s="8" t="str">
        <f>VLOOKUP(B370,'[3]Sales Force'!$D:$P,13,0)</f>
        <v>El Marazeek (Badrasheen)</v>
      </c>
    </row>
    <row r="371" spans="1:10">
      <c r="A371" s="5">
        <v>1478</v>
      </c>
      <c r="B371" s="13" t="s">
        <v>349</v>
      </c>
      <c r="C371" s="8" t="str">
        <f>VLOOKUP(B371,'[3]Sales Force'!$D:$E,2,0)</f>
        <v>Ahmed Adel Kasem</v>
      </c>
      <c r="D371" s="8" t="str">
        <f>VLOOKUP(B371,'[3]Sales Force'!$D:$J,7,0)</f>
        <v>MR</v>
      </c>
      <c r="E371" s="8">
        <f>VLOOKUP(C371,'[3]Sales Force'!$D:$O,12,0)</f>
        <v>1080</v>
      </c>
      <c r="F371" s="8">
        <f>VLOOKUP(B371,'[3]Sales Force'!$D:$L,9,0)</f>
        <v>1007877709</v>
      </c>
      <c r="G371" s="9">
        <f>VLOOKUP(B371,'[3]Sales Force'!$D:$M,10,0)</f>
        <v>45643</v>
      </c>
      <c r="H371" s="8" t="str">
        <f>VLOOKUP(B371,'[3]Sales Force'!$D:$H,5,0)</f>
        <v>CVM 1 Line</v>
      </c>
      <c r="I371" s="8"/>
      <c r="J371" s="8" t="str">
        <f>VLOOKUP(B371,'[3]Sales Force'!$D:$P,13,0)</f>
        <v>Fayoum</v>
      </c>
    </row>
    <row r="372" spans="1:10">
      <c r="A372" s="5">
        <v>1820</v>
      </c>
      <c r="B372" s="13" t="s">
        <v>350</v>
      </c>
      <c r="C372" s="8" t="str">
        <f>VLOOKUP(B372,'[3]Sales Force'!$D:$E,2,0)</f>
        <v>Ahmed Adel Kasem</v>
      </c>
      <c r="D372" s="8" t="str">
        <f>VLOOKUP(B372,'[3]Sales Force'!$D:$J,7,0)</f>
        <v>MR</v>
      </c>
      <c r="E372" s="8">
        <f>VLOOKUP(C372,'[3]Sales Force'!$D:$O,12,0)</f>
        <v>1080</v>
      </c>
      <c r="F372" s="8">
        <f>VLOOKUP(B372,'[3]Sales Force'!$D:$L,9,0)</f>
        <v>1503003193</v>
      </c>
      <c r="G372" s="9">
        <f>VLOOKUP(B372,'[3]Sales Force'!$D:$M,10,0)</f>
        <v>46006</v>
      </c>
      <c r="H372" s="8" t="str">
        <f>VLOOKUP(B372,'[3]Sales Force'!$D:$H,5,0)</f>
        <v>CVM 1 Line</v>
      </c>
      <c r="I372" s="8"/>
      <c r="J372" s="8" t="str">
        <f>VLOOKUP(B372,'[3]Sales Force'!$D:$P,13,0)</f>
        <v>6th of October City</v>
      </c>
    </row>
    <row r="373" spans="1:10">
      <c r="A373" s="5">
        <v>919</v>
      </c>
      <c r="B373" s="12" t="s">
        <v>351</v>
      </c>
      <c r="C373" s="8" t="str">
        <f>VLOOKUP(B373,'[3]Sales Force'!$D:$F,3,0)</f>
        <v>Mohamed Mostafa Osman</v>
      </c>
      <c r="D373" s="8" t="str">
        <f>VLOOKUP(B373,'[3]Sales Force'!$D:$J,7,0)</f>
        <v>DM</v>
      </c>
      <c r="E373" s="8">
        <f>VLOOKUP(C373,'[3]Sales Force'!$D:$O,12,0)</f>
        <v>964</v>
      </c>
      <c r="F373" s="8" t="str">
        <f>VLOOKUP(B373,'[3]Sales Force'!$D:$L,9,0)</f>
        <v> 1150520440</v>
      </c>
      <c r="G373" s="9">
        <f>VLOOKUP(B373,'[3]Sales Force'!$D:$M,10,0)</f>
        <v>44598</v>
      </c>
      <c r="H373" s="8" t="str">
        <f>VLOOKUP(B373,'[3]Sales Force'!$D:$H,5,0)</f>
        <v>CVM 1 Line</v>
      </c>
      <c r="I373" s="8" t="str">
        <f>VLOOKUP(B373,'[3]Sales Force'!$D:$N,11,0)</f>
        <v>Moustafa.Diab@averroes-eg.com</v>
      </c>
      <c r="J373" s="8" t="str">
        <f>VLOOKUP(B373,'[3]Sales Force'!$D:$P,13,0)</f>
        <v>El Marg</v>
      </c>
    </row>
    <row r="374" spans="1:10">
      <c r="A374" s="5">
        <v>957</v>
      </c>
      <c r="B374" s="13" t="s">
        <v>352</v>
      </c>
      <c r="C374" s="8" t="str">
        <f>VLOOKUP(B374,'[3]Sales Force'!$D:$E,2,0)</f>
        <v>Moustafa Mohamed Diab</v>
      </c>
      <c r="D374" s="8" t="str">
        <f>VLOOKUP(B374,'[3]Sales Force'!$D:$J,7,0)</f>
        <v>MR</v>
      </c>
      <c r="E374" s="8">
        <f>VLOOKUP(C374,'[3]Sales Force'!$D:$O,12,0)</f>
        <v>919</v>
      </c>
      <c r="F374" s="8" t="str">
        <f>VLOOKUP(B374,'[3]Sales Force'!$D:$L,9,0)</f>
        <v> 1021465722</v>
      </c>
      <c r="G374" s="9">
        <f>VLOOKUP(B374,'[3]Sales Force'!$D:$M,10,0)</f>
        <v>44625</v>
      </c>
      <c r="H374" s="8" t="str">
        <f>VLOOKUP(B374,'[3]Sales Force'!$D:$H,5,0)</f>
        <v>CVM 1 Line</v>
      </c>
      <c r="I374" s="8"/>
      <c r="J374" s="8" t="str">
        <f>VLOOKUP(B374,'[3]Sales Force'!$D:$P,13,0)</f>
        <v>Ismaelia City</v>
      </c>
    </row>
    <row r="375" spans="1:10">
      <c r="A375" s="5">
        <v>1575</v>
      </c>
      <c r="B375" s="13" t="s">
        <v>353</v>
      </c>
      <c r="C375" s="8" t="str">
        <f>VLOOKUP(B375,'[3]Sales Force'!$D:$E,2,0)</f>
        <v>Moustafa Mohamed Diab</v>
      </c>
      <c r="D375" s="8" t="str">
        <f>VLOOKUP(B375,'[3]Sales Force'!$D:$J,7,0)</f>
        <v>MR</v>
      </c>
      <c r="E375" s="8">
        <f>VLOOKUP(C375,'[3]Sales Force'!$D:$O,12,0)</f>
        <v>919</v>
      </c>
      <c r="F375" s="8">
        <f>VLOOKUP(B375,'[3]Sales Force'!$D:$L,9,0)</f>
        <v>1017334085</v>
      </c>
      <c r="G375" s="9">
        <f>VLOOKUP(B375,'[3]Sales Force'!$D:$M,10,0)</f>
        <v>45717</v>
      </c>
      <c r="H375" s="8" t="str">
        <f>VLOOKUP(B375,'[3]Sales Force'!$D:$H,5,0)</f>
        <v>CVM 1 Line</v>
      </c>
      <c r="I375" s="8"/>
      <c r="J375" s="8" t="str">
        <f>VLOOKUP(B375,'[3]Sales Force'!$D:$P,13,0)</f>
        <v>El Salam</v>
      </c>
    </row>
    <row r="376" spans="1:10">
      <c r="A376" s="5">
        <v>1898</v>
      </c>
      <c r="B376" s="14" t="s">
        <v>652</v>
      </c>
      <c r="C376" s="8" t="str">
        <f>VLOOKUP(B376,'[3]Sales Force'!$D:$E,2,0)</f>
        <v>Moustafa Mohamed Diab</v>
      </c>
      <c r="D376" s="8" t="str">
        <f>VLOOKUP(B376,'[3]Sales Force'!$D:$J,7,0)</f>
        <v>MR</v>
      </c>
      <c r="E376" s="8">
        <f>VLOOKUP(C376,'[3]Sales Force'!$D:$O,12,0)</f>
        <v>919</v>
      </c>
      <c r="F376" s="8">
        <f>VLOOKUP(B376,'[3]Sales Force'!$D:$L,9,0)</f>
        <v>1019106855</v>
      </c>
      <c r="G376" s="9">
        <f>VLOOKUP(B376,'[3]Sales Force'!$D:$M,10,0)</f>
        <v>46088</v>
      </c>
      <c r="H376" s="8" t="str">
        <f>VLOOKUP(B376,'[3]Sales Force'!$D:$H,5,0)</f>
        <v>CVM 1 Line</v>
      </c>
      <c r="I376" s="8"/>
      <c r="J376" s="8" t="str">
        <f>VLOOKUP(B376,'[3]Sales Force'!$D:$P,13,0)</f>
        <v>El kobbah</v>
      </c>
    </row>
    <row r="377" spans="1:10">
      <c r="A377" s="5">
        <v>1935</v>
      </c>
      <c r="B377" s="14" t="s">
        <v>653</v>
      </c>
      <c r="C377" s="8" t="str">
        <f>VLOOKUP(B377,'[3]Sales Force'!$D:$E,2,0)</f>
        <v>Moustafa Mohamed Diab</v>
      </c>
      <c r="D377" s="8" t="str">
        <f>VLOOKUP(B377,'[3]Sales Force'!$D:$J,7,0)</f>
        <v>MR</v>
      </c>
      <c r="E377" s="8">
        <f>VLOOKUP(C377,'[3]Sales Force'!$D:$O,12,0)</f>
        <v>919</v>
      </c>
      <c r="F377" s="8">
        <f>VLOOKUP(B377,'[3]Sales Force'!$D:$L,9,0)</f>
        <v>1127287680</v>
      </c>
      <c r="G377" s="9">
        <f>VLOOKUP(B377,'[3]Sales Force'!$D:$M,10,0)</f>
        <v>46113</v>
      </c>
      <c r="H377" s="8" t="str">
        <f>VLOOKUP(B377,'[3]Sales Force'!$D:$H,5,0)</f>
        <v>CVM 1 Line</v>
      </c>
      <c r="I377" s="8"/>
      <c r="J377" s="8" t="str">
        <f>VLOOKUP(B377,'[3]Sales Force'!$D:$P,13,0)</f>
        <v>NASR CITY I</v>
      </c>
    </row>
    <row r="378" spans="1:10">
      <c r="A378" s="5">
        <v>822</v>
      </c>
      <c r="B378" s="13" t="s">
        <v>354</v>
      </c>
      <c r="C378" s="8" t="str">
        <f>VLOOKUP(B378,'[3]Sales Force'!$D:$E,2,0)</f>
        <v>Moustafa Mohamed Diab</v>
      </c>
      <c r="D378" s="8" t="str">
        <f>VLOOKUP(B378,'[3]Sales Force'!$D:$J,7,0)</f>
        <v>MR</v>
      </c>
      <c r="E378" s="8">
        <f>VLOOKUP(C378,'[3]Sales Force'!$D:$O,12,0)</f>
        <v>919</v>
      </c>
      <c r="F378" s="8">
        <f>VLOOKUP(B378,'[3]Sales Force'!$D:$L,9,0)</f>
        <v>1113219760</v>
      </c>
      <c r="G378" s="9">
        <f>VLOOKUP(B378,'[3]Sales Force'!$D:$M,10,0)</f>
        <v>44440</v>
      </c>
      <c r="H378" s="8" t="str">
        <f>VLOOKUP(B378,'[3]Sales Force'!$D:$H,5,0)</f>
        <v>CVM 1 Line</v>
      </c>
      <c r="I378" s="8"/>
      <c r="J378" s="8" t="str">
        <f>VLOOKUP(B378,'[3]Sales Force'!$D:$P,13,0)</f>
        <v>Roksi</v>
      </c>
    </row>
    <row r="379" spans="1:10">
      <c r="A379" s="5">
        <v>1378</v>
      </c>
      <c r="B379" s="13" t="s">
        <v>355</v>
      </c>
      <c r="C379" s="8" t="str">
        <f>VLOOKUP(B379,'[3]Sales Force'!$D:$E,2,0)</f>
        <v>Moustafa Mohamed Diab</v>
      </c>
      <c r="D379" s="8" t="str">
        <f>VLOOKUP(B379,'[3]Sales Force'!$D:$J,7,0)</f>
        <v>MR</v>
      </c>
      <c r="E379" s="8">
        <f>VLOOKUP(C379,'[3]Sales Force'!$D:$O,12,0)</f>
        <v>919</v>
      </c>
      <c r="F379" s="8">
        <f>VLOOKUP(B379,'[3]Sales Force'!$D:$L,9,0)</f>
        <v>1151554870</v>
      </c>
      <c r="G379" s="9">
        <f>VLOOKUP(B379,'[3]Sales Force'!$D:$M,10,0)</f>
        <v>45444</v>
      </c>
      <c r="H379" s="8" t="str">
        <f>VLOOKUP(B379,'[3]Sales Force'!$D:$H,5,0)</f>
        <v>CVM 1 Line</v>
      </c>
      <c r="I379" s="8"/>
      <c r="J379" s="8" t="str">
        <f>VLOOKUP(B379,'[3]Sales Force'!$D:$P,13,0)</f>
        <v>El Marg</v>
      </c>
    </row>
    <row r="380" spans="1:10">
      <c r="A380" s="5">
        <v>902</v>
      </c>
      <c r="B380" s="12" t="s">
        <v>356</v>
      </c>
      <c r="C380" s="8" t="str">
        <f>VLOOKUP(B380,'[3]Sales Force'!$D:$F,3,0)</f>
        <v>Mohamed Mostafa Osman</v>
      </c>
      <c r="D380" s="8" t="str">
        <f>VLOOKUP(B380,'[3]Sales Force'!$D:$J,7,0)</f>
        <v>DM</v>
      </c>
      <c r="E380" s="8">
        <f>VLOOKUP(C380,'[3]Sales Force'!$D:$O,12,0)</f>
        <v>964</v>
      </c>
      <c r="F380" s="8" t="str">
        <f>VLOOKUP(B380,'[3]Sales Force'!$D:$L,9,0)</f>
        <v> 1140755966</v>
      </c>
      <c r="G380" s="9">
        <f>VLOOKUP(B380,'[3]Sales Force'!$D:$M,10,0)</f>
        <v>44598</v>
      </c>
      <c r="H380" s="8" t="str">
        <f>VLOOKUP(B380,'[3]Sales Force'!$D:$H,5,0)</f>
        <v>CVM 1 Line</v>
      </c>
      <c r="I380" s="8" t="str">
        <f>VLOOKUP(B380,'[3]Sales Force'!$D:$N,11,0)</f>
        <v>Nourhan.Mohamed.Ali@averroes-eg.com</v>
      </c>
      <c r="J380" s="8" t="str">
        <f>VLOOKUP(B380,'[3]Sales Force'!$D:$P,13,0)</f>
        <v>Helwan</v>
      </c>
    </row>
    <row r="381" spans="1:10">
      <c r="A381" s="5">
        <v>1423</v>
      </c>
      <c r="B381" s="13" t="s">
        <v>357</v>
      </c>
      <c r="C381" s="8" t="str">
        <f>VLOOKUP(B381,'[3]Sales Force'!$D:$E,2,0)</f>
        <v>Nourhan Mohamed Ali</v>
      </c>
      <c r="D381" s="8" t="str">
        <f>VLOOKUP(B381,'[3]Sales Force'!$D:$J,7,0)</f>
        <v>MR</v>
      </c>
      <c r="E381" s="8">
        <f>VLOOKUP(C381,'[3]Sales Force'!$D:$O,12,0)</f>
        <v>902</v>
      </c>
      <c r="F381" s="8">
        <f>VLOOKUP(B381,'[3]Sales Force'!$D:$L,9,0)</f>
        <v>1150767238</v>
      </c>
      <c r="G381" s="9">
        <f>VLOOKUP(B381,'[3]Sales Force'!$D:$M,10,0)</f>
        <v>45514</v>
      </c>
      <c r="H381" s="8" t="str">
        <f>VLOOKUP(B381,'[3]Sales Force'!$D:$H,5,0)</f>
        <v>CVM 1 Line</v>
      </c>
      <c r="I381" s="8"/>
      <c r="J381" s="8" t="str">
        <f>VLOOKUP(B381,'[3]Sales Force'!$D:$P,13,0)</f>
        <v>Embaba</v>
      </c>
    </row>
    <row r="382" spans="1:10">
      <c r="A382" s="5">
        <v>1905</v>
      </c>
      <c r="B382" s="14" t="s">
        <v>654</v>
      </c>
      <c r="C382" s="8" t="str">
        <f>VLOOKUP(B382,'[3]Sales Force'!$D:$E,2,0)</f>
        <v>Nourhan Mohamed Ali</v>
      </c>
      <c r="D382" s="8" t="str">
        <f>VLOOKUP(B382,'[3]Sales Force'!$D:$J,7,0)</f>
        <v>MR</v>
      </c>
      <c r="E382" s="8">
        <f>VLOOKUP(C382,'[3]Sales Force'!$D:$O,12,0)</f>
        <v>902</v>
      </c>
      <c r="F382" s="8">
        <f>VLOOKUP(B382,'[3]Sales Force'!$D:$L,9,0)</f>
        <v>1205958572</v>
      </c>
      <c r="G382" s="9">
        <f>VLOOKUP(B382,'[3]Sales Force'!$D:$M,10,0)</f>
        <v>46105</v>
      </c>
      <c r="H382" s="8" t="str">
        <f>VLOOKUP(B382,'[3]Sales Force'!$D:$H,5,0)</f>
        <v>CVM 1 Line</v>
      </c>
      <c r="I382" s="8"/>
      <c r="J382" s="8" t="str">
        <f>VLOOKUP(B382,'[3]Sales Force'!$D:$P,13,0)</f>
        <v>Ahmed Helmy St</v>
      </c>
    </row>
    <row r="383" spans="1:10">
      <c r="A383" s="5">
        <v>1891</v>
      </c>
      <c r="B383" s="14" t="s">
        <v>655</v>
      </c>
      <c r="C383" s="8" t="str">
        <f>VLOOKUP(B383,'[3]Sales Force'!$D:$E,2,0)</f>
        <v>Nourhan Mohamed Ali</v>
      </c>
      <c r="D383" s="8" t="str">
        <f>VLOOKUP(B383,'[3]Sales Force'!$D:$J,7,0)</f>
        <v>MR</v>
      </c>
      <c r="E383" s="8">
        <f>VLOOKUP(C383,'[3]Sales Force'!$D:$O,12,0)</f>
        <v>902</v>
      </c>
      <c r="F383" s="8">
        <f>VLOOKUP(B383,'[3]Sales Force'!$D:$L,9,0)</f>
        <v>1126329255</v>
      </c>
      <c r="G383" s="9">
        <f>VLOOKUP(B383,'[3]Sales Force'!$D:$M,10,0)</f>
        <v>46082</v>
      </c>
      <c r="H383" s="8" t="str">
        <f>VLOOKUP(B383,'[3]Sales Force'!$D:$H,5,0)</f>
        <v>CVM 1 Line</v>
      </c>
      <c r="I383" s="8"/>
      <c r="J383" s="8" t="str">
        <f>VLOOKUP(B383,'[3]Sales Force'!$D:$P,13,0)</f>
        <v>Helwan</v>
      </c>
    </row>
    <row r="384" spans="1:10">
      <c r="A384" s="5">
        <v>1527</v>
      </c>
      <c r="B384" s="13" t="s">
        <v>358</v>
      </c>
      <c r="C384" s="8" t="str">
        <f>VLOOKUP(B384,'[3]Sales Force'!$D:$E,2,0)</f>
        <v>Nourhan Mohamed Ali</v>
      </c>
      <c r="D384" s="8" t="str">
        <f>VLOOKUP(B384,'[3]Sales Force'!$D:$J,7,0)</f>
        <v>MR</v>
      </c>
      <c r="E384" s="8">
        <f>VLOOKUP(C384,'[3]Sales Force'!$D:$O,12,0)</f>
        <v>902</v>
      </c>
      <c r="F384" s="8">
        <f>VLOOKUP(B384,'[3]Sales Force'!$D:$L,9,0)</f>
        <v>1221429587</v>
      </c>
      <c r="G384" s="9">
        <f>VLOOKUP(B384,'[3]Sales Force'!$D:$M,10,0)</f>
        <v>45689</v>
      </c>
      <c r="H384" s="8" t="str">
        <f>VLOOKUP(B384,'[3]Sales Force'!$D:$H,5,0)</f>
        <v>CVM 1 Line</v>
      </c>
      <c r="I384" s="8"/>
      <c r="J384" s="8"/>
    </row>
    <row r="385" spans="1:10">
      <c r="A385" s="5">
        <v>1402</v>
      </c>
      <c r="B385" s="13" t="s">
        <v>359</v>
      </c>
      <c r="C385" s="8" t="str">
        <f>VLOOKUP(B385,'[3]Sales Force'!$D:$E,2,0)</f>
        <v>Nourhan Mohamed Ali</v>
      </c>
      <c r="D385" s="8" t="str">
        <f>VLOOKUP(B385,'[3]Sales Force'!$D:$J,7,0)</f>
        <v>MR</v>
      </c>
      <c r="E385" s="8">
        <f>VLOOKUP(C385,'[3]Sales Force'!$D:$O,12,0)</f>
        <v>902</v>
      </c>
      <c r="F385" s="8">
        <f>VLOOKUP(B385,'[3]Sales Force'!$D:$L,9,0)</f>
        <v>1094978573</v>
      </c>
      <c r="G385" s="9">
        <f>VLOOKUP(B385,'[3]Sales Force'!$D:$M,10,0)</f>
        <v>45465</v>
      </c>
      <c r="H385" s="8" t="str">
        <f>VLOOKUP(B385,'[3]Sales Force'!$D:$H,5,0)</f>
        <v>CVM 1 Line</v>
      </c>
      <c r="I385" s="8"/>
      <c r="J385" s="8" t="str">
        <f>VLOOKUP(B385,'[3]Sales Force'!$D:$P,13,0)</f>
        <v>Shobra El Khiema</v>
      </c>
    </row>
    <row r="386" spans="1:10">
      <c r="A386" s="5">
        <v>1607</v>
      </c>
      <c r="B386" s="13" t="s">
        <v>360</v>
      </c>
      <c r="C386" s="8" t="str">
        <f>VLOOKUP(B386,'[3]Sales Force'!$D:$E,2,0)</f>
        <v>Nourhan Mohamed Ali</v>
      </c>
      <c r="D386" s="8" t="str">
        <f>VLOOKUP(B386,'[3]Sales Force'!$D:$J,7,0)</f>
        <v>MR</v>
      </c>
      <c r="E386" s="8">
        <f>VLOOKUP(C386,'[3]Sales Force'!$D:$O,12,0)</f>
        <v>902</v>
      </c>
      <c r="F386" s="8">
        <f>VLOOKUP(B386,'[3]Sales Force'!$D:$L,9,0)</f>
        <v>1155571637</v>
      </c>
      <c r="G386" s="9">
        <f>VLOOKUP(B386,'[3]Sales Force'!$D:$M,10,0)</f>
        <v>45752</v>
      </c>
      <c r="H386" s="8" t="str">
        <f>VLOOKUP(B386,'[3]Sales Force'!$D:$H,5,0)</f>
        <v>CVM 1 Line</v>
      </c>
      <c r="I386" s="8"/>
      <c r="J386" s="8" t="str">
        <f>VLOOKUP(B386,'[3]Sales Force'!$D:$P,13,0)</f>
        <v>El Maasara</v>
      </c>
    </row>
    <row r="387" spans="1:10">
      <c r="A387" s="5">
        <v>1600</v>
      </c>
      <c r="B387" s="12" t="s">
        <v>361</v>
      </c>
      <c r="C387" s="8" t="str">
        <f>VLOOKUP(B387,'[3]Sales Force'!$D:$F,3,0)</f>
        <v>Mohamed Mostafa Osman</v>
      </c>
      <c r="D387" s="8" t="str">
        <f>VLOOKUP(B387,'[3]Sales Force'!$D:$J,7,0)</f>
        <v>DM</v>
      </c>
      <c r="E387" s="8">
        <f>VLOOKUP(C387,'[3]Sales Force'!$D:$O,12,0)</f>
        <v>964</v>
      </c>
      <c r="F387" s="8">
        <f>VLOOKUP(B387,'[3]Sales Force'!$D:$L,9,0)</f>
        <v>1152596661</v>
      </c>
      <c r="G387" s="9">
        <f>VLOOKUP(B387,'[3]Sales Force'!$D:$M,10,0)</f>
        <v>45752</v>
      </c>
      <c r="H387" s="8" t="str">
        <f>VLOOKUP(B387,'[3]Sales Force'!$D:$H,5,0)</f>
        <v>CVM 2 Line</v>
      </c>
      <c r="I387" s="8" t="str">
        <f>VLOOKUP(B387,'[3]Sales Force'!$D:$N,11,0)</f>
        <v>Ahmed.Mohamed.ElSayed@averroes-eg.com</v>
      </c>
      <c r="J387" s="8" t="str">
        <f>VLOOKUP(B387,'[3]Sales Force'!$D:$P,13,0)</f>
        <v>Elmataria</v>
      </c>
    </row>
    <row r="388" spans="1:10">
      <c r="A388" s="5">
        <v>1653</v>
      </c>
      <c r="B388" s="13" t="s">
        <v>362</v>
      </c>
      <c r="C388" s="8" t="str">
        <f>VLOOKUP(B388,'[3]Sales Force'!$D:$E,2,0)</f>
        <v>Ahmed Mohamed ElSayed Ali</v>
      </c>
      <c r="D388" s="8" t="str">
        <f>VLOOKUP(B388,'[3]Sales Force'!$D:$J,7,0)</f>
        <v>MR</v>
      </c>
      <c r="E388" s="8">
        <f>VLOOKUP(C388,'[3]Sales Force'!$D:$O,12,0)</f>
        <v>1600</v>
      </c>
      <c r="F388" s="8">
        <f>VLOOKUP(B388,'[3]Sales Force'!$D:$L,9,0)</f>
        <v>1278644170</v>
      </c>
      <c r="G388" s="9">
        <f>VLOOKUP(B388,'[3]Sales Force'!$D:$M,10,0)</f>
        <v>45780</v>
      </c>
      <c r="H388" s="8" t="str">
        <f>VLOOKUP(B388,'[3]Sales Force'!$D:$H,5,0)</f>
        <v>CVM 2 Line</v>
      </c>
      <c r="I388" s="8"/>
      <c r="J388" s="8" t="str">
        <f>VLOOKUP(B388,'[3]Sales Force'!$D:$P,13,0)</f>
        <v>Hadayek elkobba</v>
      </c>
    </row>
    <row r="389" spans="1:10">
      <c r="A389" s="5">
        <v>1818</v>
      </c>
      <c r="B389" s="17" t="s">
        <v>364</v>
      </c>
      <c r="C389" s="8" t="str">
        <f>VLOOKUP(B389,'[3]Sales Force'!$D:$E,2,0)</f>
        <v>Ahmed Mohamed ElSayed Ali</v>
      </c>
      <c r="D389" s="8" t="str">
        <f>VLOOKUP(B389,'[3]Sales Force'!$D:$J,7,0)</f>
        <v>MR</v>
      </c>
      <c r="E389" s="8">
        <f>VLOOKUP(C389,'[3]Sales Force'!$D:$O,12,0)</f>
        <v>1600</v>
      </c>
      <c r="F389" s="8">
        <f>VLOOKUP(B389,'[3]Sales Force'!$D:$L,9,0)</f>
        <v>1030761317</v>
      </c>
      <c r="G389" s="9">
        <f>VLOOKUP(B389,'[3]Sales Force'!$D:$M,10,0)</f>
        <v>45997</v>
      </c>
      <c r="H389" s="8" t="str">
        <f>VLOOKUP(B389,'[3]Sales Force'!$D:$H,5,0)</f>
        <v>CVM 2 Line</v>
      </c>
      <c r="I389" s="8"/>
      <c r="J389" s="8" t="str">
        <f>VLOOKUP(B389,'[3]Sales Force'!$D:$P,13,0)</f>
        <v>El Obour City</v>
      </c>
    </row>
    <row r="390" spans="1:10">
      <c r="A390" s="5">
        <v>1655</v>
      </c>
      <c r="B390" s="13" t="s">
        <v>365</v>
      </c>
      <c r="C390" s="8" t="str">
        <f>VLOOKUP(B390,'[3]Sales Force'!$D:$E,2,0)</f>
        <v>Ahmed Mohamed ElSayed Ali</v>
      </c>
      <c r="D390" s="8" t="str">
        <f>VLOOKUP(B390,'[3]Sales Force'!$D:$J,7,0)</f>
        <v>MR</v>
      </c>
      <c r="E390" s="8">
        <f>VLOOKUP(C390,'[3]Sales Force'!$D:$O,12,0)</f>
        <v>1600</v>
      </c>
      <c r="F390" s="8">
        <f>VLOOKUP(B390,'[3]Sales Force'!$D:$L,9,0)</f>
        <v>1068982036</v>
      </c>
      <c r="G390" s="9">
        <f>VLOOKUP(B390,'[3]Sales Force'!$D:$M,10,0)</f>
        <v>45780</v>
      </c>
      <c r="H390" s="8" t="str">
        <f>VLOOKUP(B390,'[3]Sales Force'!$D:$H,5,0)</f>
        <v>CVM 2 Line</v>
      </c>
      <c r="I390" s="8"/>
      <c r="J390" s="8" t="str">
        <f>VLOOKUP(B390,'[3]Sales Force'!$D:$P,13,0)</f>
        <v>Ismaillia</v>
      </c>
    </row>
    <row r="391" spans="1:10">
      <c r="A391" s="5">
        <v>1917</v>
      </c>
      <c r="B391" s="15" t="s">
        <v>656</v>
      </c>
      <c r="C391" s="8" t="str">
        <f>VLOOKUP(B391,'[3]Sales Force'!$D:$F,3,0)</f>
        <v>Mohamed Mostafa Osman</v>
      </c>
      <c r="D391" s="8" t="str">
        <f>VLOOKUP(B391,'[3]Sales Force'!$D:$J,7,0)</f>
        <v>DM</v>
      </c>
      <c r="E391" s="8">
        <f>VLOOKUP(C391,'[3]Sales Force'!$D:$O,12,0)</f>
        <v>964</v>
      </c>
      <c r="F391" s="8">
        <f>VLOOKUP(B391,'[3]Sales Force'!$D:$L,9,0)</f>
        <v>1095703343</v>
      </c>
      <c r="G391" s="9">
        <f>VLOOKUP(B391,'[3]Sales Force'!$D:$M,10,0)</f>
        <v>46113</v>
      </c>
      <c r="H391" s="8" t="str">
        <f>VLOOKUP(B391,'[3]Sales Force'!$D:$H,5,0)</f>
        <v>CVM 2 Line</v>
      </c>
      <c r="I391" s="8" t="str">
        <f>VLOOKUP(B391,'[3]Sales Force'!$D:$N,11,0)</f>
        <v>Mostafa.Gamal.Mahmoud@averroes-eg.com</v>
      </c>
      <c r="J391" s="8" t="str">
        <f>VLOOKUP(B391,'[3]Sales Force'!$D:$P,13,0)</f>
        <v>Hadayek Al Ahram</v>
      </c>
    </row>
    <row r="392" spans="1:10">
      <c r="A392" s="5">
        <v>1916</v>
      </c>
      <c r="B392" s="14" t="s">
        <v>657</v>
      </c>
      <c r="C392" s="8" t="str">
        <f>VLOOKUP(B392,'[3]Sales Force'!$D:$E,2,0)</f>
        <v>Mostafa Gamal Mahmoud</v>
      </c>
      <c r="D392" s="8" t="str">
        <f>VLOOKUP(B392,'[3]Sales Force'!$D:$J,7,0)</f>
        <v>MR</v>
      </c>
      <c r="E392" s="8">
        <f>VLOOKUP(C392,'[3]Sales Force'!$D:$O,12,0)</f>
        <v>1917</v>
      </c>
      <c r="F392" s="8">
        <f>VLOOKUP(B392,'[3]Sales Force'!$D:$L,9,0)</f>
        <v>1207667044</v>
      </c>
      <c r="G392" s="9">
        <f>VLOOKUP(B392,'[3]Sales Force'!$D:$M,10,0)</f>
        <v>46113</v>
      </c>
      <c r="H392" s="8" t="str">
        <f>VLOOKUP(B392,'[3]Sales Force'!$D:$H,5,0)</f>
        <v>CVM 2 Line</v>
      </c>
      <c r="I392" s="8"/>
      <c r="J392" s="8" t="str">
        <f>VLOOKUP(B392,'[3]Sales Force'!$D:$P,13,0)</f>
        <v>Fayoum City</v>
      </c>
    </row>
    <row r="393" spans="1:10">
      <c r="A393" s="5">
        <v>1915</v>
      </c>
      <c r="B393" s="14" t="s">
        <v>658</v>
      </c>
      <c r="C393" s="8" t="str">
        <f>VLOOKUP(B393,'[3]Sales Force'!$D:$E,2,0)</f>
        <v>Mostafa Gamal Mahmoud</v>
      </c>
      <c r="D393" s="8" t="str">
        <f>VLOOKUP(B393,'[3]Sales Force'!$D:$J,7,0)</f>
        <v>MR</v>
      </c>
      <c r="E393" s="8">
        <f>VLOOKUP(C393,'[3]Sales Force'!$D:$O,12,0)</f>
        <v>1917</v>
      </c>
      <c r="F393" s="8">
        <f>VLOOKUP(B393,'[3]Sales Force'!$D:$L,9,0)</f>
        <v>1013219918</v>
      </c>
      <c r="G393" s="9">
        <f>VLOOKUP(B393,'[3]Sales Force'!$D:$M,10,0)</f>
        <v>46113</v>
      </c>
      <c r="H393" s="8" t="str">
        <f>VLOOKUP(B393,'[3]Sales Force'!$D:$H,5,0)</f>
        <v>CVM 2 Line</v>
      </c>
      <c r="I393" s="8"/>
      <c r="J393" s="8" t="str">
        <f>VLOOKUP(B393,'[3]Sales Force'!$D:$P,13,0)</f>
        <v>El Haram</v>
      </c>
    </row>
    <row r="394" spans="1:10">
      <c r="A394" s="5">
        <v>1807</v>
      </c>
      <c r="B394" s="13" t="s">
        <v>366</v>
      </c>
      <c r="C394" s="8" t="str">
        <f>VLOOKUP(B394,'[3]Sales Force'!$D:$E,2,0)</f>
        <v>Mostafa Gamal Mahmoud</v>
      </c>
      <c r="D394" s="8" t="str">
        <f>VLOOKUP(B394,'[3]Sales Force'!$D:$J,7,0)</f>
        <v>MR</v>
      </c>
      <c r="E394" s="8">
        <f>VLOOKUP(C394,'[3]Sales Force'!$D:$O,12,0)</f>
        <v>1917</v>
      </c>
      <c r="F394" s="8">
        <f>VLOOKUP(B394,'[3]Sales Force'!$D:$L,9,0)</f>
        <v>1143258719</v>
      </c>
      <c r="G394" s="9">
        <f>VLOOKUP(B394,'[3]Sales Force'!$D:$M,10,0)</f>
        <v>45992</v>
      </c>
      <c r="H394" s="8" t="str">
        <f>VLOOKUP(B394,'[3]Sales Force'!$D:$H,5,0)</f>
        <v>CVM 2 Line</v>
      </c>
      <c r="I394" s="8"/>
      <c r="J394" s="8" t="str">
        <f>VLOOKUP(B394,'[3]Sales Force'!$D:$P,13,0)</f>
        <v>El Ayat</v>
      </c>
    </row>
    <row r="395" spans="1:10">
      <c r="A395" s="5">
        <v>1651</v>
      </c>
      <c r="B395" s="13" t="s">
        <v>367</v>
      </c>
      <c r="C395" s="8" t="str">
        <f>VLOOKUP(B395,'[3]Sales Force'!$D:$E,2,0)</f>
        <v>Mostafa Gamal Mahmoud</v>
      </c>
      <c r="D395" s="8" t="str">
        <f>VLOOKUP(B395,'[3]Sales Force'!$D:$J,7,0)</f>
        <v>MR</v>
      </c>
      <c r="E395" s="8">
        <f>VLOOKUP(C395,'[3]Sales Force'!$D:$O,12,0)</f>
        <v>1917</v>
      </c>
      <c r="F395" s="8">
        <f>VLOOKUP(B395,'[3]Sales Force'!$D:$L,9,0)</f>
        <v>1060036380</v>
      </c>
      <c r="G395" s="9">
        <f>VLOOKUP(B395,'[3]Sales Force'!$D:$M,10,0)</f>
        <v>45780</v>
      </c>
      <c r="H395" s="8" t="str">
        <f>VLOOKUP(B395,'[3]Sales Force'!$D:$H,5,0)</f>
        <v>CVM 2 Line</v>
      </c>
      <c r="I395" s="8"/>
      <c r="J395" s="8" t="str">
        <f>VLOOKUP(B395,'[3]Sales Force'!$D:$P,13,0)</f>
        <v>October</v>
      </c>
    </row>
    <row r="396" spans="1:10">
      <c r="A396" s="5">
        <v>1753</v>
      </c>
      <c r="B396" s="13" t="s">
        <v>368</v>
      </c>
      <c r="C396" s="8" t="str">
        <f>VLOOKUP(B396,'[3]Sales Force'!$D:$E,2,0)</f>
        <v>Mostafa Gamal Mahmoud</v>
      </c>
      <c r="D396" s="8" t="str">
        <f>VLOOKUP(B396,'[3]Sales Force'!$D:$J,7,0)</f>
        <v>MR</v>
      </c>
      <c r="E396" s="8">
        <f>VLOOKUP(C396,'[3]Sales Force'!$D:$O,12,0)</f>
        <v>1917</v>
      </c>
      <c r="F396" s="8">
        <f>VLOOKUP(B396,'[3]Sales Force'!$D:$L,9,0)</f>
        <v>1111751972</v>
      </c>
      <c r="G396" s="9">
        <f>VLOOKUP(B396,'[3]Sales Force'!$D:$M,10,0)</f>
        <v>45920</v>
      </c>
      <c r="H396" s="8" t="str">
        <f>VLOOKUP(B396,'[3]Sales Force'!$D:$H,5,0)</f>
        <v>CVM 2 Line</v>
      </c>
      <c r="I396" s="8"/>
      <c r="J396" s="8" t="str">
        <f>VLOOKUP(B396,'[3]Sales Force'!$D:$P,13,0)</f>
        <v>Faisal</v>
      </c>
    </row>
    <row r="397" spans="1:10">
      <c r="A397" s="5">
        <v>1737</v>
      </c>
      <c r="B397" s="13" t="s">
        <v>369</v>
      </c>
      <c r="C397" s="8" t="str">
        <f>VLOOKUP(B397,'[3]Sales Force'!$D:$E,2,0)</f>
        <v>Mostafa Gamal Mahmoud</v>
      </c>
      <c r="D397" s="8" t="str">
        <f>VLOOKUP(B397,'[3]Sales Force'!$D:$J,7,0)</f>
        <v>MR</v>
      </c>
      <c r="E397" s="8">
        <f>VLOOKUP(C397,'[3]Sales Force'!$D:$O,12,0)</f>
        <v>1917</v>
      </c>
      <c r="F397" s="8">
        <f>VLOOKUP(B397,'[3]Sales Force'!$D:$L,9,0)</f>
        <v>1008528492</v>
      </c>
      <c r="G397" s="9">
        <f>VLOOKUP(B397,'[3]Sales Force'!$D:$M,10,0)</f>
        <v>45885</v>
      </c>
      <c r="H397" s="8" t="str">
        <f>VLOOKUP(B397,'[3]Sales Force'!$D:$H,5,0)</f>
        <v>CVM 2 Line</v>
      </c>
      <c r="I397" s="8"/>
      <c r="J397" s="8" t="str">
        <f>VLOOKUP(B397,'[3]Sales Force'!$D:$P,13,0)</f>
        <v>El Warak</v>
      </c>
    </row>
    <row r="398" spans="1:10">
      <c r="A398" s="5">
        <v>1350</v>
      </c>
      <c r="B398" s="12" t="s">
        <v>370</v>
      </c>
      <c r="C398" s="8" t="str">
        <f>VLOOKUP(B398,'[3]Sales Force'!$D:$F,3,0)</f>
        <v>Mohamed Mostafa Osman</v>
      </c>
      <c r="D398" s="8" t="str">
        <f>VLOOKUP(B398,'[3]Sales Force'!$D:$J,7,0)</f>
        <v>DM</v>
      </c>
      <c r="E398" s="8">
        <f>VLOOKUP(C398,'[3]Sales Force'!$D:$O,12,0)</f>
        <v>964</v>
      </c>
      <c r="F398" s="8">
        <f>VLOOKUP(B398,'[3]Sales Force'!$D:$L,9,0)</f>
        <v>1068816736</v>
      </c>
      <c r="G398" s="9">
        <f>VLOOKUP(B398,'[3]Sales Force'!$D:$M,10,0)</f>
        <v>45419</v>
      </c>
      <c r="H398" s="8" t="str">
        <f>VLOOKUP(B398,'[3]Sales Force'!$D:$H,5,0)</f>
        <v>CVM 2 Line</v>
      </c>
      <c r="I398" s="8" t="str">
        <f>VLOOKUP(B398,'[3]Sales Force'!$D:$N,11,0)</f>
        <v>Nermeen.Zaki.AbdElMaseh@averroes-eg.com</v>
      </c>
      <c r="J398" s="8" t="str">
        <f>VLOOKUP(B398,'[3]Sales Force'!$D:$P,13,0)</f>
        <v>el sahel</v>
      </c>
    </row>
    <row r="399" spans="1:10">
      <c r="A399" s="5">
        <v>1652</v>
      </c>
      <c r="B399" s="13" t="s">
        <v>371</v>
      </c>
      <c r="C399" s="8" t="str">
        <f>VLOOKUP(B399,'[3]Sales Force'!$D:$E,2,0)</f>
        <v>Nermeen Zaki AbdElMaseh</v>
      </c>
      <c r="D399" s="8" t="str">
        <f>VLOOKUP(B399,'[3]Sales Force'!$D:$J,7,0)</f>
        <v>MR</v>
      </c>
      <c r="E399" s="8">
        <f>VLOOKUP(C399,'[3]Sales Force'!$D:$O,12,0)</f>
        <v>1350</v>
      </c>
      <c r="F399" s="8">
        <f>VLOOKUP(B399,'[3]Sales Force'!$D:$L,9,0)</f>
        <v>1012890069</v>
      </c>
      <c r="G399" s="9">
        <f>VLOOKUP(B399,'[3]Sales Force'!$D:$M,10,0)</f>
        <v>45780</v>
      </c>
      <c r="H399" s="8" t="str">
        <f>VLOOKUP(B399,'[3]Sales Force'!$D:$H,5,0)</f>
        <v>CVM 2 Line</v>
      </c>
      <c r="I399" s="8"/>
      <c r="J399" s="8" t="str">
        <f>VLOOKUP(B399,'[3]Sales Force'!$D:$P,13,0)</f>
        <v>Shoubra</v>
      </c>
    </row>
    <row r="400" spans="1:10">
      <c r="A400" s="5">
        <v>1656</v>
      </c>
      <c r="B400" s="13" t="s">
        <v>372</v>
      </c>
      <c r="C400" s="8" t="str">
        <f>VLOOKUP(B400,'[3]Sales Force'!$D:$E,2,0)</f>
        <v>Nermeen Zaki AbdElMaseh</v>
      </c>
      <c r="D400" s="8" t="str">
        <f>VLOOKUP(B400,'[3]Sales Force'!$D:$J,7,0)</f>
        <v>MR</v>
      </c>
      <c r="E400" s="8">
        <f>VLOOKUP(C400,'[3]Sales Force'!$D:$O,12,0)</f>
        <v>1350</v>
      </c>
      <c r="F400" s="8">
        <f>VLOOKUP(B400,'[3]Sales Force'!$D:$L,9,0)</f>
        <v>1284911947</v>
      </c>
      <c r="G400" s="9">
        <f>VLOOKUP(B400,'[3]Sales Force'!$D:$M,10,0)</f>
        <v>45780</v>
      </c>
      <c r="H400" s="8" t="str">
        <f>VLOOKUP(B400,'[3]Sales Force'!$D:$H,5,0)</f>
        <v>CVM 2 Line</v>
      </c>
      <c r="I400" s="8"/>
      <c r="J400" s="8" t="str">
        <f>VLOOKUP(B400,'[3]Sales Force'!$D:$P,13,0)</f>
        <v>Imbaba</v>
      </c>
    </row>
    <row r="401" spans="1:10">
      <c r="A401" s="5">
        <v>1934</v>
      </c>
      <c r="B401" s="14" t="s">
        <v>659</v>
      </c>
      <c r="C401" s="8" t="str">
        <f>VLOOKUP(B401,'[3]Sales Force'!$D:$E,2,0)</f>
        <v>Nermeen Zaki AbdElMaseh</v>
      </c>
      <c r="D401" s="8" t="str">
        <f>VLOOKUP(B401,'[3]Sales Force'!$D:$J,7,0)</f>
        <v>MR</v>
      </c>
      <c r="E401" s="8">
        <f>VLOOKUP(C401,'[3]Sales Force'!$D:$O,12,0)</f>
        <v>1350</v>
      </c>
      <c r="F401" s="8">
        <f>VLOOKUP(B401,'[3]Sales Force'!$D:$L,9,0)</f>
        <v>1141487813</v>
      </c>
      <c r="G401" s="9">
        <f>VLOOKUP(B401,'[3]Sales Force'!$D:$M,10,0)</f>
        <v>46113</v>
      </c>
      <c r="H401" s="8" t="str">
        <f>VLOOKUP(B401,'[3]Sales Force'!$D:$H,5,0)</f>
        <v>CVM 2 Line</v>
      </c>
      <c r="I401" s="8"/>
      <c r="J401" s="8" t="str">
        <f>VLOOKUP(B401,'[3]Sales Force'!$D:$P,13,0)</f>
        <v>Helwan</v>
      </c>
    </row>
    <row r="402" spans="1:10">
      <c r="A402" s="5">
        <v>1813</v>
      </c>
      <c r="B402" s="13" t="s">
        <v>373</v>
      </c>
      <c r="C402" s="8" t="str">
        <f>VLOOKUP(B402,'[3]Sales Force'!$D:$E,2,0)</f>
        <v>Nermeen Zaki AbdElMaseh</v>
      </c>
      <c r="D402" s="8" t="str">
        <f>VLOOKUP(B402,'[3]Sales Force'!$D:$J,7,0)</f>
        <v>MR</v>
      </c>
      <c r="E402" s="8">
        <f>VLOOKUP(C402,'[3]Sales Force'!$D:$O,12,0)</f>
        <v>1350</v>
      </c>
      <c r="F402" s="8">
        <f>VLOOKUP(B402,'[3]Sales Force'!$D:$L,9,0)</f>
        <v>1092362363</v>
      </c>
      <c r="G402" s="9">
        <f>VLOOKUP(B402,'[3]Sales Force'!$D:$M,10,0)</f>
        <v>45999</v>
      </c>
      <c r="H402" s="8" t="str">
        <f>VLOOKUP(B402,'[3]Sales Force'!$D:$H,5,0)</f>
        <v>CVM 2 Line</v>
      </c>
      <c r="I402" s="8"/>
      <c r="J402" s="8" t="str">
        <f>VLOOKUP(B402,'[3]Sales Force'!$D:$P,13,0)</f>
        <v>El Maadi</v>
      </c>
    </row>
    <row r="403" spans="1:10">
      <c r="A403" s="5">
        <v>1290</v>
      </c>
      <c r="B403" s="11" t="s">
        <v>374</v>
      </c>
      <c r="C403" s="8" t="str">
        <f>VLOOKUP(B403,'[3]Sales Force'!$D:$G,4,0)</f>
        <v>Abo El Abbas Samir</v>
      </c>
      <c r="D403" s="8" t="str">
        <f>VLOOKUP(B403,'[3]Sales Force'!$D:$J,7,0)</f>
        <v>AM</v>
      </c>
      <c r="E403" s="8">
        <f>VLOOKUP(C403,'[3]Sales Force'!$D:$O,12,0)</f>
        <v>61</v>
      </c>
      <c r="F403" s="8">
        <f>VLOOKUP(B403,'[3]Sales Force'!$D:$L,9,0)</f>
        <v>1092111119</v>
      </c>
      <c r="G403" s="9">
        <f>VLOOKUP(B403,'[3]Sales Force'!$D:$M,10,0)</f>
        <v>45231</v>
      </c>
      <c r="H403" s="8" t="str">
        <f>VLOOKUP(B403,'[3]Sales Force'!$D:$H,5,0)</f>
        <v>CVM 1 Line &amp; CVM 2 Line</v>
      </c>
      <c r="I403" s="8" t="str">
        <f>VLOOKUP(B403,'[3]Sales Force'!$D:$N,11,0)</f>
        <v>Mostafa.Maged.Mohamed@averroes-eg.com</v>
      </c>
      <c r="J403" s="8" t="str">
        <f>VLOOKUP(B403,'[3]Sales Force'!$D:$P,13,0)</f>
        <v>Tahta</v>
      </c>
    </row>
    <row r="404" spans="1:10">
      <c r="A404" s="5">
        <v>83</v>
      </c>
      <c r="B404" s="12" t="s">
        <v>375</v>
      </c>
      <c r="C404" s="8" t="str">
        <f>VLOOKUP(B404,'[3]Sales Force'!$D:$F,3,0)</f>
        <v>Mostafa Maged Mohamed</v>
      </c>
      <c r="D404" s="8" t="str">
        <f>VLOOKUP(B404,'[3]Sales Force'!$D:$J,7,0)</f>
        <v>DM</v>
      </c>
      <c r="E404" s="8">
        <f>VLOOKUP(C404,'[3]Sales Force'!$D:$O,12,0)</f>
        <v>1290</v>
      </c>
      <c r="F404" s="8" t="str">
        <f>VLOOKUP(B404,'[3]Sales Force'!$D:$L,9,0)</f>
        <v> 1030827666</v>
      </c>
      <c r="G404" s="9">
        <f>VLOOKUP(B404,'[3]Sales Force'!$D:$M,10,0)</f>
        <v>41658</v>
      </c>
      <c r="H404" s="8" t="str">
        <f>VLOOKUP(B404,'[3]Sales Force'!$D:$H,5,0)</f>
        <v>CVM 1 Line</v>
      </c>
      <c r="I404" s="8" t="str">
        <f>VLOOKUP(B404,'[3]Sales Force'!$D:$N,11,0)</f>
        <v>medhat.abdelnasser@averroes-eg.com</v>
      </c>
      <c r="J404" s="8" t="str">
        <f>VLOOKUP(B404,'[3]Sales Force'!$D:$P,13,0)</f>
        <v>Nagaa Hamady</v>
      </c>
    </row>
    <row r="405" spans="1:10">
      <c r="A405" s="5">
        <v>513</v>
      </c>
      <c r="B405" s="13" t="s">
        <v>376</v>
      </c>
      <c r="C405" s="8" t="str">
        <f>VLOOKUP(B405,'[3]Sales Force'!$D:$E,2,0)</f>
        <v>Medhat AbdElnasser Mohamed</v>
      </c>
      <c r="D405" s="8" t="str">
        <f>VLOOKUP(B405,'[3]Sales Force'!$D:$J,7,0)</f>
        <v>MR</v>
      </c>
      <c r="E405" s="8">
        <f>VLOOKUP(C405,'[3]Sales Force'!$D:$O,12,0)</f>
        <v>83</v>
      </c>
      <c r="F405" s="8">
        <f>VLOOKUP(B405,'[3]Sales Force'!$D:$L,9,0)</f>
        <v>1114454222</v>
      </c>
      <c r="G405" s="9">
        <f>VLOOKUP(B405,'[3]Sales Force'!$D:$M,10,0)</f>
        <v>43834</v>
      </c>
      <c r="H405" s="8" t="str">
        <f>VLOOKUP(B405,'[3]Sales Force'!$D:$H,5,0)</f>
        <v>CVM 1 Line</v>
      </c>
      <c r="I405" s="8"/>
      <c r="J405" s="8" t="str">
        <f>VLOOKUP(B405,'[3]Sales Force'!$D:$P,13,0)</f>
        <v>Sakalta</v>
      </c>
    </row>
    <row r="406" spans="1:10">
      <c r="A406" s="5">
        <v>916</v>
      </c>
      <c r="B406" s="13" t="s">
        <v>377</v>
      </c>
      <c r="C406" s="8" t="str">
        <f>VLOOKUP(B406,'[3]Sales Force'!$D:$E,2,0)</f>
        <v>Medhat AbdElnasser Mohamed</v>
      </c>
      <c r="D406" s="8" t="str">
        <f>VLOOKUP(B406,'[3]Sales Force'!$D:$J,7,0)</f>
        <v>MR</v>
      </c>
      <c r="E406" s="8">
        <f>VLOOKUP(C406,'[3]Sales Force'!$D:$O,12,0)</f>
        <v>83</v>
      </c>
      <c r="F406" s="8" t="str">
        <f>VLOOKUP(B406,'[3]Sales Force'!$D:$L,9,0)</f>
        <v> 1095144727</v>
      </c>
      <c r="G406" s="9">
        <f>VLOOKUP(B406,'[3]Sales Force'!$D:$M,10,0)</f>
        <v>44593</v>
      </c>
      <c r="H406" s="8" t="str">
        <f>VLOOKUP(B406,'[3]Sales Force'!$D:$H,5,0)</f>
        <v>CVM 1 Line</v>
      </c>
      <c r="I406" s="8"/>
      <c r="J406" s="8" t="str">
        <f>VLOOKUP(B406,'[3]Sales Force'!$D:$P,13,0)</f>
        <v>Luxor City</v>
      </c>
    </row>
    <row r="407" spans="1:10">
      <c r="A407" s="5">
        <v>1631</v>
      </c>
      <c r="B407" s="13" t="s">
        <v>378</v>
      </c>
      <c r="C407" s="8" t="str">
        <f>VLOOKUP(B407,'[3]Sales Force'!$D:$E,2,0)</f>
        <v>Medhat AbdElnasser Mohamed</v>
      </c>
      <c r="D407" s="8" t="str">
        <f>VLOOKUP(B407,'[3]Sales Force'!$D:$J,7,0)</f>
        <v>MR</v>
      </c>
      <c r="E407" s="8">
        <f>VLOOKUP(C407,'[3]Sales Force'!$D:$O,12,0)</f>
        <v>83</v>
      </c>
      <c r="F407" s="8">
        <f>VLOOKUP(B407,'[3]Sales Force'!$D:$L,9,0)</f>
        <v>1143119675</v>
      </c>
      <c r="G407" s="9">
        <f>VLOOKUP(B407,'[3]Sales Force'!$D:$M,10,0)</f>
        <v>45787</v>
      </c>
      <c r="H407" s="8" t="str">
        <f>VLOOKUP(B407,'[3]Sales Force'!$D:$H,5,0)</f>
        <v>CVM 1 Line</v>
      </c>
      <c r="I407" s="8"/>
      <c r="J407" s="8" t="str">
        <f>VLOOKUP(B407,'[3]Sales Force'!$D:$P,13,0)</f>
        <v>Aswan City</v>
      </c>
    </row>
    <row r="408" spans="1:10">
      <c r="A408" s="5">
        <v>1867</v>
      </c>
      <c r="B408" s="14" t="s">
        <v>379</v>
      </c>
      <c r="C408" s="8" t="str">
        <f>VLOOKUP(B408,'[3]Sales Force'!$D:$E,2,0)</f>
        <v>Medhat AbdElnasser Mohamed</v>
      </c>
      <c r="D408" s="8" t="str">
        <f>VLOOKUP(B408,'[3]Sales Force'!$D:$J,7,0)</f>
        <v>MR</v>
      </c>
      <c r="E408" s="8">
        <f>VLOOKUP(C408,'[3]Sales Force'!$D:$O,12,0)</f>
        <v>83</v>
      </c>
      <c r="F408" s="8">
        <f>VLOOKUP(B408,'[3]Sales Force'!$D:$L,9,0)</f>
        <v>1227702182</v>
      </c>
      <c r="G408" s="9">
        <f>VLOOKUP(B408,'[3]Sales Force'!$D:$M,10,0)</f>
        <v>46062</v>
      </c>
      <c r="H408" s="8" t="str">
        <f>VLOOKUP(B408,'[3]Sales Force'!$D:$H,5,0)</f>
        <v>CVM 1 Line</v>
      </c>
      <c r="I408" s="8"/>
      <c r="J408" s="8" t="str">
        <f>VLOOKUP(B408,'[3]Sales Force'!$D:$P,13,0)</f>
        <v>Nagaa Hamady</v>
      </c>
    </row>
    <row r="409" spans="1:10">
      <c r="A409" s="5">
        <v>804</v>
      </c>
      <c r="B409" s="13" t="s">
        <v>380</v>
      </c>
      <c r="C409" s="8" t="str">
        <f>VLOOKUP(B409,'[3]Sales Force'!$D:$E,2,0)</f>
        <v>Medhat AbdElnasser Mohamed</v>
      </c>
      <c r="D409" s="8" t="str">
        <f>VLOOKUP(B409,'[3]Sales Force'!$D:$J,7,0)</f>
        <v>MR</v>
      </c>
      <c r="E409" s="8">
        <f>VLOOKUP(C409,'[3]Sales Force'!$D:$O,12,0)</f>
        <v>83</v>
      </c>
      <c r="F409" s="41" t="s">
        <v>601</v>
      </c>
      <c r="G409" s="9">
        <f>VLOOKUP(B409,'[3]Sales Force'!$D:$M,10,0)</f>
        <v>44409</v>
      </c>
      <c r="H409" s="8" t="str">
        <f>VLOOKUP(B409,'[3]Sales Force'!$D:$H,5,0)</f>
        <v>CVM 1 Line</v>
      </c>
      <c r="I409" s="8"/>
      <c r="J409" s="8" t="str">
        <f>VLOOKUP(B409,'[3]Sales Force'!$D:$P,13,0)</f>
        <v>Gerga</v>
      </c>
    </row>
    <row r="410" spans="1:10">
      <c r="A410" s="5">
        <v>1689</v>
      </c>
      <c r="B410" s="13" t="s">
        <v>381</v>
      </c>
      <c r="C410" s="8" t="str">
        <f>VLOOKUP(B410,'[3]Sales Force'!$D:$E,2,0)</f>
        <v>Medhat AbdElnasser Mohamed</v>
      </c>
      <c r="D410" s="8" t="str">
        <f>VLOOKUP(B410,'[3]Sales Force'!$D:$J,7,0)</f>
        <v>MR</v>
      </c>
      <c r="E410" s="8">
        <f>VLOOKUP(C410,'[3]Sales Force'!$D:$O,12,0)</f>
        <v>83</v>
      </c>
      <c r="F410" s="8">
        <f>VLOOKUP(B410,'[3]Sales Force'!$D:$L,9,0)</f>
        <v>1286199823</v>
      </c>
      <c r="G410" s="9">
        <f>VLOOKUP(B410,'[3]Sales Force'!$D:$M,10,0)</f>
        <v>45822</v>
      </c>
      <c r="H410" s="8" t="str">
        <f>VLOOKUP(B410,'[3]Sales Force'!$D:$H,5,0)</f>
        <v>CVM 1 Line</v>
      </c>
      <c r="I410" s="8"/>
      <c r="J410" s="8" t="str">
        <f>VLOOKUP(B410,'[3]Sales Force'!$D:$P,13,0)</f>
        <v>Quena City</v>
      </c>
    </row>
    <row r="411" spans="1:10">
      <c r="A411" s="5">
        <v>1268</v>
      </c>
      <c r="B411" s="13" t="s">
        <v>382</v>
      </c>
      <c r="C411" s="8" t="str">
        <f>VLOOKUP(B411,'[3]Sales Force'!$D:$E,2,0)</f>
        <v>Medhat AbdElnasser Mohamed</v>
      </c>
      <c r="D411" s="8" t="str">
        <f>VLOOKUP(B411,'[3]Sales Force'!$D:$J,7,0)</f>
        <v>MR</v>
      </c>
      <c r="E411" s="8">
        <f>VLOOKUP(C411,'[3]Sales Force'!$D:$O,12,0)</f>
        <v>83</v>
      </c>
      <c r="F411" s="8">
        <f>VLOOKUP(B411,'[3]Sales Force'!$D:$L,9,0)</f>
        <v>1227048802</v>
      </c>
      <c r="G411" s="9">
        <f>VLOOKUP(B411,'[3]Sales Force'!$D:$M,10,0)</f>
        <v>45185</v>
      </c>
      <c r="H411" s="8" t="str">
        <f>VLOOKUP(B411,'[3]Sales Force'!$D:$H,5,0)</f>
        <v>CVM 1 Line</v>
      </c>
      <c r="I411" s="8"/>
      <c r="J411" s="8" t="str">
        <f>VLOOKUP(B411,'[3]Sales Force'!$D:$P,13,0)</f>
        <v>Tahta</v>
      </c>
    </row>
    <row r="412" spans="1:10">
      <c r="A412" s="5">
        <v>348</v>
      </c>
      <c r="B412" s="12" t="s">
        <v>383</v>
      </c>
      <c r="C412" s="8" t="str">
        <f>VLOOKUP(B412,'[3]Sales Force'!$D:$F,3,0)</f>
        <v>Mostafa Maged Mohamed</v>
      </c>
      <c r="D412" s="8" t="str">
        <f>VLOOKUP(B412,'[3]Sales Force'!$D:$J,7,0)</f>
        <v>DM</v>
      </c>
      <c r="E412" s="8">
        <f>VLOOKUP(C412,'[3]Sales Force'!$D:$O,12,0)</f>
        <v>1290</v>
      </c>
      <c r="F412" s="8" t="str">
        <f>VLOOKUP(B412,'[3]Sales Force'!$D:$L,9,0)</f>
        <v> 1022285517</v>
      </c>
      <c r="G412" s="9">
        <f>VLOOKUP(B412,'[3]Sales Force'!$D:$M,10,0)</f>
        <v>44819</v>
      </c>
      <c r="H412" s="8" t="str">
        <f>VLOOKUP(B412,'[3]Sales Force'!$D:$H,5,0)</f>
        <v>CVM 1 Line</v>
      </c>
      <c r="I412" s="8" t="str">
        <f>VLOOKUP(B412,'[3]Sales Force'!$D:$N,11,0)</f>
        <v>Mohamed.Saad.Sedik@averroes-eg.com</v>
      </c>
      <c r="J412" s="8" t="str">
        <f>VLOOKUP(B412,'[3]Sales Force'!$D:$P,13,0)</f>
        <v>Manqabad</v>
      </c>
    </row>
    <row r="413" spans="1:10">
      <c r="A413" s="5">
        <v>1526</v>
      </c>
      <c r="B413" s="13" t="s">
        <v>384</v>
      </c>
      <c r="C413" s="8" t="str">
        <f>VLOOKUP(B413,'[3]Sales Force'!$D:$E,2,0)</f>
        <v>Mohamed Saad Sedik</v>
      </c>
      <c r="D413" s="8" t="str">
        <f>VLOOKUP(B413,'[3]Sales Force'!$D:$J,7,0)</f>
        <v>MR</v>
      </c>
      <c r="E413" s="8">
        <f>VLOOKUP(C413,'[3]Sales Force'!$D:$O,12,0)</f>
        <v>348</v>
      </c>
      <c r="F413" s="8">
        <f>VLOOKUP(B413,'[3]Sales Force'!$D:$L,9,0)</f>
        <v>1069607055</v>
      </c>
      <c r="G413" s="9">
        <f>VLOOKUP(B413,'[3]Sales Force'!$D:$M,10,0)</f>
        <v>45689</v>
      </c>
      <c r="H413" s="8" t="str">
        <f>VLOOKUP(B413,'[3]Sales Force'!$D:$H,5,0)</f>
        <v>CVM 1 Line</v>
      </c>
      <c r="I413" s="8"/>
      <c r="J413" s="8" t="str">
        <f>VLOOKUP(B413,'[3]Sales Force'!$D:$P,13,0)</f>
        <v>Malawy</v>
      </c>
    </row>
    <row r="414" spans="1:10">
      <c r="A414" s="5">
        <v>1897</v>
      </c>
      <c r="B414" s="14" t="s">
        <v>660</v>
      </c>
      <c r="C414" s="8" t="str">
        <f>VLOOKUP(B414,'[3]Sales Force'!$D:$E,2,0)</f>
        <v>Mohamed Saad Sedik</v>
      </c>
      <c r="D414" s="8" t="str">
        <f>VLOOKUP(B414,'[3]Sales Force'!$D:$J,7,0)</f>
        <v>MR</v>
      </c>
      <c r="E414" s="8">
        <f>VLOOKUP(C414,'[3]Sales Force'!$D:$O,12,0)</f>
        <v>348</v>
      </c>
      <c r="F414" s="8">
        <f>VLOOKUP(B414,'[3]Sales Force'!$D:$L,9,0)</f>
        <v>1212368592</v>
      </c>
      <c r="G414" s="9">
        <f>VLOOKUP(B414,'[3]Sales Force'!$D:$M,10,0)</f>
        <v>46084</v>
      </c>
      <c r="H414" s="8" t="str">
        <f>VLOOKUP(B414,'[3]Sales Force'!$D:$H,5,0)</f>
        <v>CVM 1 Line</v>
      </c>
      <c r="I414" s="8"/>
      <c r="J414" s="8" t="str">
        <f>VLOOKUP(B414,'[3]Sales Force'!$D:$P,13,0)</f>
        <v>Manfalout</v>
      </c>
    </row>
    <row r="415" spans="1:10">
      <c r="A415" s="5">
        <v>1259</v>
      </c>
      <c r="B415" s="13" t="s">
        <v>385</v>
      </c>
      <c r="C415" s="8" t="str">
        <f>VLOOKUP(B415,'[3]Sales Force'!$D:$E,2,0)</f>
        <v>Mohamed Saad Sedik</v>
      </c>
      <c r="D415" s="8" t="str">
        <f>VLOOKUP(B415,'[3]Sales Force'!$D:$J,7,0)</f>
        <v>MR</v>
      </c>
      <c r="E415" s="8">
        <f>VLOOKUP(C415,'[3]Sales Force'!$D:$O,12,0)</f>
        <v>348</v>
      </c>
      <c r="F415" s="8">
        <f>VLOOKUP(B415,'[3]Sales Force'!$D:$L,9,0)</f>
        <v>1211455979</v>
      </c>
      <c r="G415" s="9">
        <f>VLOOKUP(B415,'[3]Sales Force'!$D:$M,10,0)</f>
        <v>45172</v>
      </c>
      <c r="H415" s="8" t="str">
        <f>VLOOKUP(B415,'[3]Sales Force'!$D:$H,5,0)</f>
        <v>CVM 1 Line</v>
      </c>
      <c r="I415" s="8"/>
      <c r="J415" s="8" t="str">
        <f>VLOOKUP(B415,'[3]Sales Force'!$D:$P,13,0)</f>
        <v>Bani Mazar</v>
      </c>
    </row>
    <row r="416" spans="1:10">
      <c r="A416" s="5">
        <v>1804</v>
      </c>
      <c r="B416" s="13" t="s">
        <v>386</v>
      </c>
      <c r="C416" s="8" t="str">
        <f>VLOOKUP(B416,'[3]Sales Force'!$D:$E,2,0)</f>
        <v>Mohamed Saad Sedik</v>
      </c>
      <c r="D416" s="8" t="str">
        <f>VLOOKUP(B416,'[3]Sales Force'!$D:$J,7,0)</f>
        <v>MR</v>
      </c>
      <c r="E416" s="8">
        <f>VLOOKUP(C416,'[3]Sales Force'!$D:$O,12,0)</f>
        <v>348</v>
      </c>
      <c r="F416" s="8">
        <f>VLOOKUP(B416,'[3]Sales Force'!$D:$L,9,0)</f>
        <v>1122731323</v>
      </c>
      <c r="G416" s="9">
        <f>VLOOKUP(B416,'[3]Sales Force'!$D:$M,10,0)</f>
        <v>45992</v>
      </c>
      <c r="H416" s="8" t="str">
        <f>VLOOKUP(B416,'[3]Sales Force'!$D:$H,5,0)</f>
        <v>CVM 1 Line</v>
      </c>
      <c r="I416" s="8"/>
      <c r="J416" s="8" t="str">
        <f>VLOOKUP(B416,'[3]Sales Force'!$D:$P,13,0)</f>
        <v>Bani Swaif City</v>
      </c>
    </row>
    <row r="417" spans="1:10">
      <c r="A417" s="5">
        <v>816</v>
      </c>
      <c r="B417" s="13" t="s">
        <v>387</v>
      </c>
      <c r="C417" s="8" t="str">
        <f>VLOOKUP(B417,'[3]Sales Force'!$D:$E,2,0)</f>
        <v>Mohamed Saad Sedik</v>
      </c>
      <c r="D417" s="8" t="str">
        <f>VLOOKUP(B417,'[3]Sales Force'!$D:$J,7,0)</f>
        <v>MR</v>
      </c>
      <c r="E417" s="8">
        <f>VLOOKUP(C417,'[3]Sales Force'!$D:$O,12,0)</f>
        <v>348</v>
      </c>
      <c r="F417" s="41" t="s">
        <v>601</v>
      </c>
      <c r="G417" s="9">
        <f>VLOOKUP(B417,'[3]Sales Force'!$D:$M,10,0)</f>
        <v>44440</v>
      </c>
      <c r="H417" s="8" t="str">
        <f>VLOOKUP(B417,'[3]Sales Force'!$D:$H,5,0)</f>
        <v>CVM 1 Line</v>
      </c>
      <c r="I417" s="8"/>
      <c r="J417" s="8" t="str">
        <f>VLOOKUP(B417,'[3]Sales Force'!$D:$P,13,0)</f>
        <v>El Menia City</v>
      </c>
    </row>
    <row r="418" spans="1:10">
      <c r="A418" s="5">
        <v>1791</v>
      </c>
      <c r="B418" s="13" t="s">
        <v>388</v>
      </c>
      <c r="C418" s="8" t="str">
        <f>VLOOKUP(B418,'[3]Sales Force'!$D:$E,2,0)</f>
        <v>Mohamed Saad Sedik</v>
      </c>
      <c r="D418" s="8" t="str">
        <f>VLOOKUP(B418,'[3]Sales Force'!$D:$J,7,0)</f>
        <v>MR</v>
      </c>
      <c r="E418" s="8">
        <f>VLOOKUP(C418,'[3]Sales Force'!$D:$O,12,0)</f>
        <v>348</v>
      </c>
      <c r="F418" s="8">
        <f>VLOOKUP(B418,'[3]Sales Force'!$D:$L,9,0)</f>
        <v>1116563423</v>
      </c>
      <c r="G418" s="9">
        <f>VLOOKUP(B418,'[3]Sales Force'!$D:$M,10,0)</f>
        <v>45964</v>
      </c>
      <c r="H418" s="8" t="str">
        <f>VLOOKUP(B418,'[3]Sales Force'!$D:$H,5,0)</f>
        <v>CVM 1 Line</v>
      </c>
      <c r="I418" s="8"/>
      <c r="J418" s="8" t="str">
        <f>VLOOKUP(B418,'[3]Sales Force'!$D:$P,13,0)</f>
        <v>Assiut city</v>
      </c>
    </row>
    <row r="419" spans="1:10">
      <c r="A419" s="5">
        <v>1802</v>
      </c>
      <c r="B419" s="13" t="s">
        <v>389</v>
      </c>
      <c r="C419" s="8" t="str">
        <f>VLOOKUP(B419,'[3]Sales Force'!$D:$E,2,0)</f>
        <v>Mohamed Saad Sedik</v>
      </c>
      <c r="D419" s="8" t="str">
        <f>VLOOKUP(B419,'[3]Sales Force'!$D:$J,7,0)</f>
        <v>MR</v>
      </c>
      <c r="E419" s="8">
        <f>VLOOKUP(C419,'[3]Sales Force'!$D:$O,12,0)</f>
        <v>348</v>
      </c>
      <c r="F419" s="8">
        <f>VLOOKUP(B419,'[3]Sales Force'!$D:$L,9,0)</f>
        <v>1095037481</v>
      </c>
      <c r="G419" s="9">
        <f>VLOOKUP(B419,'[3]Sales Force'!$D:$M,10,0)</f>
        <v>45983</v>
      </c>
      <c r="H419" s="8" t="str">
        <f>VLOOKUP(B419,'[3]Sales Force'!$D:$H,5,0)</f>
        <v>CVM 1 Line</v>
      </c>
      <c r="I419" s="8"/>
      <c r="J419" s="8" t="str">
        <f>VLOOKUP(B419,'[3]Sales Force'!$D:$P,13,0)</f>
        <v>Assiut city</v>
      </c>
    </row>
    <row r="420" spans="1:10">
      <c r="A420" s="5">
        <v>1659</v>
      </c>
      <c r="B420" s="12" t="s">
        <v>390</v>
      </c>
      <c r="C420" s="8" t="str">
        <f>VLOOKUP(B420,'[3]Sales Force'!$D:$F,3,0)</f>
        <v>Mostafa Maged Mohamed</v>
      </c>
      <c r="D420" s="8" t="str">
        <f>VLOOKUP(B420,'[3]Sales Force'!$D:$J,7,0)</f>
        <v>DM</v>
      </c>
      <c r="E420" s="8">
        <f>VLOOKUP(C420,'[3]Sales Force'!$D:$O,12,0)</f>
        <v>1290</v>
      </c>
      <c r="F420" s="8">
        <f>VLOOKUP(B420,'[3]Sales Force'!$D:$L,9,0)</f>
        <v>1024670853</v>
      </c>
      <c r="G420" s="9">
        <f>VLOOKUP(B420,'[3]Sales Force'!$D:$M,10,0)</f>
        <v>45783</v>
      </c>
      <c r="H420" s="8" t="str">
        <f>VLOOKUP(B420,'[3]Sales Force'!$D:$H,5,0)</f>
        <v>CVM 2 Line</v>
      </c>
      <c r="I420" s="8" t="str">
        <f>VLOOKUP(B420,'[3]Sales Force'!$D:$N,11,0)</f>
        <v>AbdelRahman.Ibrahim.Mahran@averroes-eg.com</v>
      </c>
      <c r="J420" s="8" t="str">
        <f>VLOOKUP(B420,'[3]Sales Force'!$D:$P,13,0)</f>
        <v>el minia city </v>
      </c>
    </row>
    <row r="421" spans="1:10">
      <c r="A421" s="5">
        <v>1694</v>
      </c>
      <c r="B421" s="13" t="s">
        <v>391</v>
      </c>
      <c r="C421" s="8" t="str">
        <f>VLOOKUP(B421,'[3]Sales Force'!$D:$E,2,0)</f>
        <v>AbdelRahman Ibrahim Mahran</v>
      </c>
      <c r="D421" s="8" t="str">
        <f>VLOOKUP(B421,'[3]Sales Force'!$D:$J,7,0)</f>
        <v>MR</v>
      </c>
      <c r="E421" s="8">
        <f>VLOOKUP(C421,'[3]Sales Force'!$D:$O,12,0)</f>
        <v>1659</v>
      </c>
      <c r="F421" s="8">
        <f>VLOOKUP(B421,'[3]Sales Force'!$D:$L,9,0)</f>
        <v>1114976499</v>
      </c>
      <c r="G421" s="9">
        <f>VLOOKUP(B421,'[3]Sales Force'!$D:$M,10,0)</f>
        <v>45818</v>
      </c>
      <c r="H421" s="8" t="str">
        <f>VLOOKUP(B421,'[3]Sales Force'!$D:$H,5,0)</f>
        <v>CVM 2 Line</v>
      </c>
      <c r="I421" s="8"/>
      <c r="J421" s="8" t="str">
        <f>VLOOKUP(B421,'[3]Sales Force'!$D:$P,13,0)</f>
        <v>El Menya</v>
      </c>
    </row>
    <row r="422" spans="1:10">
      <c r="A422" s="5">
        <v>1669</v>
      </c>
      <c r="B422" s="13" t="s">
        <v>392</v>
      </c>
      <c r="C422" s="8" t="str">
        <f>VLOOKUP(B422,'[3]Sales Force'!$D:$E,2,0)</f>
        <v>AbdelRahman Ibrahim Mahran</v>
      </c>
      <c r="D422" s="8" t="str">
        <f>VLOOKUP(B422,'[3]Sales Force'!$D:$J,7,0)</f>
        <v>MR</v>
      </c>
      <c r="E422" s="8">
        <f>VLOOKUP(C422,'[3]Sales Force'!$D:$O,12,0)</f>
        <v>1659</v>
      </c>
      <c r="F422" s="8">
        <f>VLOOKUP(B422,'[3]Sales Force'!$D:$L,9,0)</f>
        <v>1229878146</v>
      </c>
      <c r="G422" s="9">
        <f>VLOOKUP(B422,'[3]Sales Force'!$D:$M,10,0)</f>
        <v>45778</v>
      </c>
      <c r="H422" s="8" t="str">
        <f>VLOOKUP(B422,'[3]Sales Force'!$D:$H,5,0)</f>
        <v>CVM 2 Line</v>
      </c>
      <c r="I422" s="8"/>
      <c r="J422" s="8" t="str">
        <f>VLOOKUP(B422,'[3]Sales Force'!$D:$P,13,0)</f>
        <v>Assiut city</v>
      </c>
    </row>
    <row r="423" spans="1:10">
      <c r="A423" s="5">
        <v>1771</v>
      </c>
      <c r="B423" s="13" t="s">
        <v>393</v>
      </c>
      <c r="C423" s="8" t="str">
        <f>VLOOKUP(B423,'[3]Sales Force'!$D:$E,2,0)</f>
        <v>AbdelRahman Ibrahim Mahran</v>
      </c>
      <c r="D423" s="8" t="str">
        <f>VLOOKUP(B423,'[3]Sales Force'!$D:$J,7,0)</f>
        <v>MR</v>
      </c>
      <c r="E423" s="8">
        <f>VLOOKUP(C423,'[3]Sales Force'!$D:$O,12,0)</f>
        <v>1659</v>
      </c>
      <c r="F423" s="8">
        <f>VLOOKUP(B423,'[3]Sales Force'!$D:$L,9,0)</f>
        <v>1010670188</v>
      </c>
      <c r="G423" s="9">
        <f>VLOOKUP(B423,'[3]Sales Force'!$D:$M,10,0)</f>
        <v>45950</v>
      </c>
      <c r="H423" s="8" t="str">
        <f>VLOOKUP(B423,'[3]Sales Force'!$D:$H,5,0)</f>
        <v>CVM 2 Line</v>
      </c>
      <c r="I423" s="8"/>
      <c r="J423" s="8" t="str">
        <f>VLOOKUP(B423,'[3]Sales Force'!$D:$P,13,0)</f>
        <v>Dayrout</v>
      </c>
    </row>
    <row r="424" spans="1:10">
      <c r="A424" s="5">
        <v>1660</v>
      </c>
      <c r="B424" s="13" t="s">
        <v>394</v>
      </c>
      <c r="C424" s="8" t="str">
        <f>VLOOKUP(B424,'[3]Sales Force'!$D:$E,2,0)</f>
        <v>AbdelRahman Ibrahim Mahran</v>
      </c>
      <c r="D424" s="8" t="str">
        <f>VLOOKUP(B424,'[3]Sales Force'!$D:$J,7,0)</f>
        <v>MR</v>
      </c>
      <c r="E424" s="8">
        <f>VLOOKUP(C424,'[3]Sales Force'!$D:$O,12,0)</f>
        <v>1659</v>
      </c>
      <c r="F424" s="8">
        <f>VLOOKUP(B424,'[3]Sales Force'!$D:$L,9,0)</f>
        <v>1222876437</v>
      </c>
      <c r="G424" s="9">
        <f>VLOOKUP(B424,'[3]Sales Force'!$D:$M,10,0)</f>
        <v>45778</v>
      </c>
      <c r="H424" s="8" t="str">
        <f>VLOOKUP(B424,'[3]Sales Force'!$D:$H,5,0)</f>
        <v>CVM 2 Line</v>
      </c>
      <c r="I424" s="8"/>
      <c r="J424" s="8" t="str">
        <f>VLOOKUP(B424,'[3]Sales Force'!$D:$P,13,0)</f>
        <v>Malawy</v>
      </c>
    </row>
    <row r="425" spans="1:10">
      <c r="A425" s="5">
        <v>1661</v>
      </c>
      <c r="B425" s="13" t="s">
        <v>396</v>
      </c>
      <c r="C425" s="8" t="str">
        <f>VLOOKUP(B425,'[3]Sales Force'!$D:$E,2,0)</f>
        <v>AbdelRahman Ibrahim Mahran</v>
      </c>
      <c r="D425" s="8" t="str">
        <f>VLOOKUP(B425,'[3]Sales Force'!$D:$J,7,0)</f>
        <v>MR</v>
      </c>
      <c r="E425" s="8">
        <f>VLOOKUP(C425,'[3]Sales Force'!$D:$O,12,0)</f>
        <v>1659</v>
      </c>
      <c r="F425" s="8">
        <f>VLOOKUP(B425,'[3]Sales Force'!$D:$L,9,0)</f>
        <v>1223895479</v>
      </c>
      <c r="G425" s="9">
        <f>VLOOKUP(B425,'[3]Sales Force'!$D:$M,10,0)</f>
        <v>45783</v>
      </c>
      <c r="H425" s="8" t="str">
        <f>VLOOKUP(B425,'[3]Sales Force'!$D:$H,5,0)</f>
        <v>CVM 2 Line</v>
      </c>
      <c r="I425" s="8"/>
      <c r="J425" s="8" t="str">
        <f>VLOOKUP(B425,'[3]Sales Force'!$D:$P,13,0)</f>
        <v>Samalout</v>
      </c>
    </row>
    <row r="426" spans="1:10">
      <c r="A426" s="5">
        <v>1792</v>
      </c>
      <c r="B426" s="13" t="s">
        <v>397</v>
      </c>
      <c r="C426" s="8" t="str">
        <f>VLOOKUP(B426,'[3]Sales Force'!$D:$E,2,0)</f>
        <v>AbdelRahman Ibrahim Mahran</v>
      </c>
      <c r="D426" s="8" t="str">
        <f>VLOOKUP(B426,'[3]Sales Force'!$D:$J,7,0)</f>
        <v>MR</v>
      </c>
      <c r="E426" s="8">
        <f>VLOOKUP(C426,'[3]Sales Force'!$D:$O,12,0)</f>
        <v>1659</v>
      </c>
      <c r="F426" s="8">
        <f>VLOOKUP(B426,'[3]Sales Force'!$D:$L,9,0)</f>
        <v>1276456348</v>
      </c>
      <c r="G426" s="9">
        <f>VLOOKUP(B426,'[3]Sales Force'!$D:$M,10,0)</f>
        <v>45963</v>
      </c>
      <c r="H426" s="8" t="str">
        <f>VLOOKUP(B426,'[3]Sales Force'!$D:$H,5,0)</f>
        <v>CVM 2 Line</v>
      </c>
      <c r="I426" s="8"/>
      <c r="J426" s="8" t="str">
        <f>VLOOKUP(B426,'[3]Sales Force'!$D:$P,13,0)</f>
        <v>Assiut city</v>
      </c>
    </row>
    <row r="427" spans="1:10">
      <c r="A427" s="5">
        <v>941</v>
      </c>
      <c r="B427" s="12" t="s">
        <v>398</v>
      </c>
      <c r="C427" s="8" t="str">
        <f>VLOOKUP(B427,'[3]Sales Force'!$D:$F,3,0)</f>
        <v>Mostafa Maged Mohamed</v>
      </c>
      <c r="D427" s="8" t="str">
        <f>VLOOKUP(B427,'[3]Sales Force'!$D:$J,7,0)</f>
        <v>DM</v>
      </c>
      <c r="E427" s="8">
        <f>VLOOKUP(C427,'[3]Sales Force'!$D:$O,12,0)</f>
        <v>1290</v>
      </c>
      <c r="F427" s="8" t="str">
        <f>VLOOKUP(B427,'[3]Sales Force'!$D:$L,9,0)</f>
        <v> 1203325561</v>
      </c>
      <c r="G427" s="9">
        <f>VLOOKUP(B427,'[3]Sales Force'!$D:$M,10,0)</f>
        <v>44621</v>
      </c>
      <c r="H427" s="8" t="str">
        <f>VLOOKUP(B427,'[3]Sales Force'!$D:$H,5,0)</f>
        <v>CVM 2 Line</v>
      </c>
      <c r="I427" s="8" t="str">
        <f>VLOOKUP(B427,'[3]Sales Force'!$D:$N,11,0)</f>
        <v>Andrew.Joseph.boules@averroes-eg.com</v>
      </c>
      <c r="J427" s="8" t="str">
        <f>VLOOKUP(B427,'[3]Sales Force'!$D:$P,13,0)</f>
        <v>Quena City</v>
      </c>
    </row>
    <row r="428" spans="1:10">
      <c r="A428" s="5">
        <v>1665</v>
      </c>
      <c r="B428" s="13" t="s">
        <v>399</v>
      </c>
      <c r="C428" s="8" t="str">
        <f>VLOOKUP(B428,'[3]Sales Force'!$D:$E,2,0)</f>
        <v>Andrew Joseph boules</v>
      </c>
      <c r="D428" s="8" t="str">
        <f>VLOOKUP(B428,'[3]Sales Force'!$D:$J,7,0)</f>
        <v>MR</v>
      </c>
      <c r="E428" s="8">
        <f>VLOOKUP(C428,'[3]Sales Force'!$D:$O,12,0)</f>
        <v>941</v>
      </c>
      <c r="F428" s="8">
        <f>VLOOKUP(B428,'[3]Sales Force'!$D:$L,9,0)</f>
        <v>1029279612</v>
      </c>
      <c r="G428" s="9">
        <f>VLOOKUP(B428,'[3]Sales Force'!$D:$M,10,0)</f>
        <v>45780</v>
      </c>
      <c r="H428" s="8" t="str">
        <f>VLOOKUP(B428,'[3]Sales Force'!$D:$H,5,0)</f>
        <v>CVM 2 Line</v>
      </c>
      <c r="I428" s="8"/>
      <c r="J428" s="8" t="str">
        <f>VLOOKUP(B428,'[3]Sales Force'!$D:$P,13,0)</f>
        <v>Sohag City</v>
      </c>
    </row>
    <row r="429" spans="1:10">
      <c r="A429" s="5">
        <v>1666</v>
      </c>
      <c r="B429" s="13" t="s">
        <v>400</v>
      </c>
      <c r="C429" s="8" t="str">
        <f>VLOOKUP(B429,'[3]Sales Force'!$D:$E,2,0)</f>
        <v>Andrew Joseph boules</v>
      </c>
      <c r="D429" s="8" t="str">
        <f>VLOOKUP(B429,'[3]Sales Force'!$D:$J,7,0)</f>
        <v>MR</v>
      </c>
      <c r="E429" s="8">
        <f>VLOOKUP(C429,'[3]Sales Force'!$D:$O,12,0)</f>
        <v>941</v>
      </c>
      <c r="F429" s="8">
        <f>VLOOKUP(B429,'[3]Sales Force'!$D:$L,9,0)</f>
        <v>1023720048</v>
      </c>
      <c r="G429" s="9">
        <f>VLOOKUP(B429,'[3]Sales Force'!$D:$M,10,0)</f>
        <v>45780</v>
      </c>
      <c r="H429" s="8" t="str">
        <f>VLOOKUP(B429,'[3]Sales Force'!$D:$H,5,0)</f>
        <v>CVM 2 Line</v>
      </c>
      <c r="I429" s="8"/>
      <c r="J429" s="8" t="str">
        <f>VLOOKUP(B429,'[3]Sales Force'!$D:$P,13,0)</f>
        <v>Sohag City</v>
      </c>
    </row>
    <row r="430" spans="1:10">
      <c r="A430" s="5">
        <v>1667</v>
      </c>
      <c r="B430" s="13" t="s">
        <v>401</v>
      </c>
      <c r="C430" s="8" t="str">
        <f>VLOOKUP(B430,'[3]Sales Force'!$D:$E,2,0)</f>
        <v>Andrew Joseph boules</v>
      </c>
      <c r="D430" s="8" t="str">
        <f>VLOOKUP(B430,'[3]Sales Force'!$D:$J,7,0)</f>
        <v>MR</v>
      </c>
      <c r="E430" s="8">
        <f>VLOOKUP(C430,'[3]Sales Force'!$D:$O,12,0)</f>
        <v>941</v>
      </c>
      <c r="F430" s="8">
        <f>VLOOKUP(B430,'[3]Sales Force'!$D:$L,9,0)</f>
        <v>1094639007</v>
      </c>
      <c r="G430" s="9">
        <f>VLOOKUP(B430,'[3]Sales Force'!$D:$M,10,0)</f>
        <v>45780</v>
      </c>
      <c r="H430" s="8" t="str">
        <f>VLOOKUP(B430,'[3]Sales Force'!$D:$H,5,0)</f>
        <v>CVM 2 Line</v>
      </c>
      <c r="I430" s="8"/>
      <c r="J430" s="8" t="str">
        <f>VLOOKUP(B430,'[3]Sales Force'!$D:$P,13,0)</f>
        <v>Farshout</v>
      </c>
    </row>
    <row r="431" spans="1:10">
      <c r="A431" s="5">
        <v>1662</v>
      </c>
      <c r="B431" s="13" t="s">
        <v>402</v>
      </c>
      <c r="C431" s="8" t="str">
        <f>VLOOKUP(B431,'[3]Sales Force'!$D:$E,2,0)</f>
        <v>Andrew Joseph boules</v>
      </c>
      <c r="D431" s="8" t="str">
        <f>VLOOKUP(B431,'[3]Sales Force'!$D:$J,7,0)</f>
        <v>MR</v>
      </c>
      <c r="E431" s="8">
        <f>VLOOKUP(C431,'[3]Sales Force'!$D:$O,12,0)</f>
        <v>941</v>
      </c>
      <c r="F431" s="8">
        <f>VLOOKUP(B431,'[3]Sales Force'!$D:$L,9,0)</f>
        <v>1026493259</v>
      </c>
      <c r="G431" s="9">
        <f>VLOOKUP(B431,'[3]Sales Force'!$D:$M,10,0)</f>
        <v>45780</v>
      </c>
      <c r="H431" s="8" t="str">
        <f>VLOOKUP(B431,'[3]Sales Force'!$D:$H,5,0)</f>
        <v>CVM 2 Line</v>
      </c>
      <c r="I431" s="8"/>
      <c r="J431" s="8" t="str">
        <f>VLOOKUP(B431,'[3]Sales Force'!$D:$P,13,0)</f>
        <v>Quena City</v>
      </c>
    </row>
    <row r="432" spans="1:10">
      <c r="A432" s="5">
        <v>1695</v>
      </c>
      <c r="B432" s="13" t="s">
        <v>403</v>
      </c>
      <c r="C432" s="8" t="str">
        <f>VLOOKUP(B432,'[3]Sales Force'!$D:$E,2,0)</f>
        <v>Andrew Joseph boules</v>
      </c>
      <c r="D432" s="8" t="str">
        <f>VLOOKUP(B432,'[3]Sales Force'!$D:$J,7,0)</f>
        <v>MR</v>
      </c>
      <c r="E432" s="8">
        <f>VLOOKUP(C432,'[3]Sales Force'!$D:$O,12,0)</f>
        <v>941</v>
      </c>
      <c r="F432" s="8" t="str">
        <f>VLOOKUP(B432,'[3]Sales Force'!$D:$L,9,0)</f>
        <v>1225161169‬</v>
      </c>
      <c r="G432" s="9">
        <f>VLOOKUP(B432,'[3]Sales Force'!$D:$M,10,0)</f>
        <v>45822</v>
      </c>
      <c r="H432" s="8" t="str">
        <f>VLOOKUP(B432,'[3]Sales Force'!$D:$H,5,0)</f>
        <v>CVM 2 Line</v>
      </c>
      <c r="I432" s="8"/>
      <c r="J432" s="8" t="str">
        <f>VLOOKUP(B432,'[3]Sales Force'!$D:$P,13,0)</f>
        <v>Tahta</v>
      </c>
    </row>
    <row r="433" spans="1:10">
      <c r="A433" s="5">
        <v>1663</v>
      </c>
      <c r="B433" s="13" t="s">
        <v>404</v>
      </c>
      <c r="C433" s="8" t="str">
        <f>VLOOKUP(B433,'[3]Sales Force'!$D:$E,2,0)</f>
        <v>Andrew Joseph boules</v>
      </c>
      <c r="D433" s="8" t="str">
        <f>VLOOKUP(B433,'[3]Sales Force'!$D:$J,7,0)</f>
        <v>MR</v>
      </c>
      <c r="E433" s="8">
        <f>VLOOKUP(C433,'[3]Sales Force'!$D:$O,12,0)</f>
        <v>941</v>
      </c>
      <c r="F433" s="8">
        <f>VLOOKUP(B433,'[3]Sales Force'!$D:$L,9,0)</f>
        <v>1128798543</v>
      </c>
      <c r="G433" s="9">
        <f>VLOOKUP(B433,'[3]Sales Force'!$D:$M,10,0)</f>
        <v>45780</v>
      </c>
      <c r="H433" s="8" t="str">
        <f>VLOOKUP(B433,'[3]Sales Force'!$D:$H,5,0)</f>
        <v>CVM 2 Line</v>
      </c>
      <c r="I433" s="8"/>
      <c r="J433" s="8" t="str">
        <f>VLOOKUP(B433,'[3]Sales Force'!$D:$P,13,0)</f>
        <v>Aswan City</v>
      </c>
    </row>
    <row r="434" spans="1:10">
      <c r="A434" s="5">
        <v>1664</v>
      </c>
      <c r="B434" s="13" t="s">
        <v>405</v>
      </c>
      <c r="C434" s="8" t="str">
        <f>VLOOKUP(B434,'[3]Sales Force'!$D:$E,2,0)</f>
        <v>Andrew Joseph boules</v>
      </c>
      <c r="D434" s="8" t="str">
        <f>VLOOKUP(B434,'[3]Sales Force'!$D:$J,7,0)</f>
        <v>MR</v>
      </c>
      <c r="E434" s="8">
        <f>VLOOKUP(C434,'[3]Sales Force'!$D:$O,12,0)</f>
        <v>941</v>
      </c>
      <c r="F434" s="8">
        <f>VLOOKUP(B434,'[3]Sales Force'!$D:$L,9,0)</f>
        <v>1064738945</v>
      </c>
      <c r="G434" s="9">
        <f>VLOOKUP(B434,'[3]Sales Force'!$D:$M,10,0)</f>
        <v>45780</v>
      </c>
      <c r="H434" s="8" t="str">
        <f>VLOOKUP(B434,'[3]Sales Force'!$D:$H,5,0)</f>
        <v>CVM 2 Line</v>
      </c>
      <c r="I434" s="8"/>
      <c r="J434" s="8" t="str">
        <f>VLOOKUP(B434,'[3]Sales Force'!$D:$P,13,0)</f>
        <v>Luxor City</v>
      </c>
    </row>
    <row r="435" spans="1:10">
      <c r="A435" s="5">
        <v>91</v>
      </c>
      <c r="B435" s="11" t="s">
        <v>406</v>
      </c>
      <c r="C435" s="8" t="str">
        <f>VLOOKUP(B435,'[3]Sales Force'!$D:$G,4,0)</f>
        <v>Abo El Abbas Samir</v>
      </c>
      <c r="D435" s="8" t="str">
        <f>VLOOKUP(B435,'[3]Sales Force'!$D:$J,7,0)</f>
        <v>AM</v>
      </c>
      <c r="E435" s="8">
        <f>VLOOKUP(C435,'[3]Sales Force'!$D:$O,12,0)</f>
        <v>61</v>
      </c>
      <c r="F435" s="8" t="str">
        <f>VLOOKUP(B435,'[3]Sales Force'!$D:$L,9,0)</f>
        <v> 1030826111</v>
      </c>
      <c r="G435" s="9">
        <f>VLOOKUP(B435,'[3]Sales Force'!$D:$M,10,0)</f>
        <v>42463</v>
      </c>
      <c r="H435" s="8" t="str">
        <f>VLOOKUP(B435,'[3]Sales Force'!$D:$H,5,0)</f>
        <v>CVM 1 Line &amp; CVM 2 Line</v>
      </c>
      <c r="I435" s="8" t="str">
        <f>VLOOKUP(B435,'[3]Sales Force'!$D:$N,11,0)</f>
        <v>ramyahmed@averroes-eg.com</v>
      </c>
      <c r="J435" s="8" t="str">
        <f>VLOOKUP(B435,'[3]Sales Force'!$D:$P,13,0)</f>
        <v>El Asafra</v>
      </c>
    </row>
    <row r="436" spans="1:10">
      <c r="A436" s="5">
        <v>854</v>
      </c>
      <c r="B436" s="12" t="s">
        <v>407</v>
      </c>
      <c r="C436" s="8" t="str">
        <f>VLOOKUP(B436,'[3]Sales Force'!$D:$F,3,0)</f>
        <v>Ramy Ahmed Mohamed</v>
      </c>
      <c r="D436" s="8" t="str">
        <f>VLOOKUP(B436,'[3]Sales Force'!$D:$J,7,0)</f>
        <v>DM</v>
      </c>
      <c r="E436" s="8">
        <f>VLOOKUP(C436,'[3]Sales Force'!$D:$O,12,0)</f>
        <v>91</v>
      </c>
      <c r="F436" s="8">
        <f>VLOOKUP(B436,'[3]Sales Force'!$D:$L,9,0)</f>
        <v>1065737956</v>
      </c>
      <c r="G436" s="9">
        <f>VLOOKUP(B436,'[3]Sales Force'!$D:$M,10,0)</f>
        <v>44500</v>
      </c>
      <c r="H436" s="8" t="str">
        <f>VLOOKUP(B436,'[3]Sales Force'!$D:$H,5,0)</f>
        <v>CVM 1 Line</v>
      </c>
      <c r="I436" s="8" t="str">
        <f>VLOOKUP(B436,'[3]Sales Force'!$D:$N,11,0)</f>
        <v>Asmaa.AbdElmonem.Mohamed.Zahran@averroes-eg.com</v>
      </c>
      <c r="J436" s="8" t="str">
        <f>VLOOKUP(B436,'[3]Sales Force'!$D:$P,13,0)</f>
        <v>Kom Hamada</v>
      </c>
    </row>
    <row r="437" spans="1:10">
      <c r="A437" s="5">
        <v>1476</v>
      </c>
      <c r="B437" s="13" t="s">
        <v>408</v>
      </c>
      <c r="C437" s="8" t="str">
        <f>VLOOKUP(B437,'[3]Sales Force'!$D:$E,2,0)</f>
        <v>Asmaa AbdElmonem Mohamed Zahran</v>
      </c>
      <c r="D437" s="8" t="str">
        <f>VLOOKUP(B437,'[3]Sales Force'!$D:$J,7,0)</f>
        <v>MR</v>
      </c>
      <c r="E437" s="8">
        <f>VLOOKUP(C437,'[3]Sales Force'!$D:$O,12,0)</f>
        <v>854</v>
      </c>
      <c r="F437" s="8">
        <f>VLOOKUP(B437,'[3]Sales Force'!$D:$L,9,0)</f>
        <v>1060267938</v>
      </c>
      <c r="G437" s="9">
        <f>VLOOKUP(B437,'[3]Sales Force'!$D:$M,10,0)</f>
        <v>45640</v>
      </c>
      <c r="H437" s="8" t="str">
        <f>VLOOKUP(B437,'[3]Sales Force'!$D:$H,5,0)</f>
        <v>CVM 1 Line</v>
      </c>
      <c r="I437" s="8"/>
      <c r="J437" s="8" t="str">
        <f>VLOOKUP(B437,'[3]Sales Force'!$D:$P,13,0)</f>
        <v>Kafr El Shiekh</v>
      </c>
    </row>
    <row r="438" spans="1:10">
      <c r="A438" s="5">
        <v>1198</v>
      </c>
      <c r="B438" s="13" t="s">
        <v>409</v>
      </c>
      <c r="C438" s="8" t="str">
        <f>VLOOKUP(B438,'[3]Sales Force'!$D:$E,2,0)</f>
        <v>Asmaa AbdElmonem Mohamed Zahran</v>
      </c>
      <c r="D438" s="8" t="str">
        <f>VLOOKUP(B438,'[3]Sales Force'!$D:$J,7,0)</f>
        <v>MR</v>
      </c>
      <c r="E438" s="8">
        <f>VLOOKUP(C438,'[3]Sales Force'!$D:$O,12,0)</f>
        <v>854</v>
      </c>
      <c r="F438" s="8">
        <f>VLOOKUP(B438,'[3]Sales Force'!$D:$L,9,0)</f>
        <v>1030180007</v>
      </c>
      <c r="G438" s="9">
        <f>VLOOKUP(B438,'[3]Sales Force'!$D:$M,10,0)</f>
        <v>44983</v>
      </c>
      <c r="H438" s="8" t="str">
        <f>VLOOKUP(B438,'[3]Sales Force'!$D:$H,5,0)</f>
        <v>CVM 1 Line</v>
      </c>
      <c r="I438" s="8"/>
      <c r="J438" s="8" t="str">
        <f>VLOOKUP(B438,'[3]Sales Force'!$D:$P,13,0)</f>
        <v>Housh Easa</v>
      </c>
    </row>
    <row r="439" spans="1:10">
      <c r="A439" s="5">
        <v>1922</v>
      </c>
      <c r="B439" s="14" t="s">
        <v>661</v>
      </c>
      <c r="C439" s="8" t="str">
        <f>VLOOKUP(B439,'[3]Sales Force'!$D:$E,2,0)</f>
        <v>Asmaa AbdElmonem Mohamed Zahran</v>
      </c>
      <c r="D439" s="8" t="str">
        <f>VLOOKUP(B439,'[3]Sales Force'!$D:$J,7,0)</f>
        <v>MR</v>
      </c>
      <c r="E439" s="8">
        <f>VLOOKUP(C439,'[3]Sales Force'!$D:$O,12,0)</f>
        <v>854</v>
      </c>
      <c r="F439" s="8">
        <f>VLOOKUP(B439,'[3]Sales Force'!$D:$L,9,0)</f>
        <v>1147591491</v>
      </c>
      <c r="G439" s="9">
        <f>VLOOKUP(B439,'[3]Sales Force'!$D:$M,10,0)</f>
        <v>46113</v>
      </c>
      <c r="H439" s="8" t="str">
        <f>VLOOKUP(B439,'[3]Sales Force'!$D:$H,5,0)</f>
        <v>CVM 1 Line</v>
      </c>
      <c r="I439" s="8"/>
      <c r="J439" s="8" t="str">
        <f>VLOOKUP(B439,'[3]Sales Force'!$D:$P,13,0)</f>
        <v>Damanhour</v>
      </c>
    </row>
    <row r="440" spans="1:10">
      <c r="A440" s="5">
        <v>1848</v>
      </c>
      <c r="B440" s="14" t="s">
        <v>410</v>
      </c>
      <c r="C440" s="8" t="str">
        <f>VLOOKUP(B440,'[3]Sales Force'!$D:$E,2,0)</f>
        <v>Asmaa AbdElmonem Mohamed Zahran</v>
      </c>
      <c r="D440" s="8" t="str">
        <f>VLOOKUP(B440,'[3]Sales Force'!$D:$J,7,0)</f>
        <v>MR</v>
      </c>
      <c r="E440" s="8">
        <f>VLOOKUP(C440,'[3]Sales Force'!$D:$O,12,0)</f>
        <v>854</v>
      </c>
      <c r="F440" s="8">
        <f>VLOOKUP(B440,'[3]Sales Force'!$D:$L,9,0)</f>
        <v>1010612709</v>
      </c>
      <c r="G440" s="9">
        <f>VLOOKUP(B440,'[3]Sales Force'!$D:$M,10,0)</f>
        <v>46054</v>
      </c>
      <c r="H440" s="8" t="str">
        <f>VLOOKUP(B440,'[3]Sales Force'!$D:$H,5,0)</f>
        <v>CVM 1 Line</v>
      </c>
      <c r="I440" s="8"/>
      <c r="J440" s="8" t="str">
        <f>VLOOKUP(B440,'[3]Sales Force'!$D:$P,13,0)</f>
        <v>Kom Hamada</v>
      </c>
    </row>
    <row r="441" spans="1:10">
      <c r="A441" s="5">
        <v>1735</v>
      </c>
      <c r="B441" s="13" t="s">
        <v>411</v>
      </c>
      <c r="C441" s="8" t="str">
        <f>VLOOKUP(B441,'[3]Sales Force'!$D:$E,2,0)</f>
        <v>Asmaa AbdElmonem Mohamed Zahran</v>
      </c>
      <c r="D441" s="8" t="str">
        <f>VLOOKUP(B441,'[3]Sales Force'!$D:$J,7,0)</f>
        <v>MR</v>
      </c>
      <c r="E441" s="8">
        <f>VLOOKUP(C441,'[3]Sales Force'!$D:$O,12,0)</f>
        <v>854</v>
      </c>
      <c r="F441" s="8">
        <f>VLOOKUP(B441,'[3]Sales Force'!$D:$L,9,0)</f>
        <v>1026755342</v>
      </c>
      <c r="G441" s="9">
        <f>VLOOKUP(B441,'[3]Sales Force'!$D:$M,10,0)</f>
        <v>45901</v>
      </c>
      <c r="H441" s="8" t="str">
        <f>VLOOKUP(B441,'[3]Sales Force'!$D:$H,5,0)</f>
        <v>CVM 1 Line</v>
      </c>
      <c r="I441" s="8"/>
      <c r="J441" s="8" t="str">
        <f>VLOOKUP(B441,'[3]Sales Force'!$D:$P,13,0)</f>
        <v>Fowa</v>
      </c>
    </row>
    <row r="442" spans="1:10">
      <c r="A442" s="5">
        <v>894</v>
      </c>
      <c r="B442" s="13" t="s">
        <v>412</v>
      </c>
      <c r="C442" s="8" t="str">
        <f>VLOOKUP(B442,'[3]Sales Force'!$D:$E,2,0)</f>
        <v>Asmaa AbdElmonem Mohamed Zahran</v>
      </c>
      <c r="D442" s="8" t="str">
        <f>VLOOKUP(B442,'[3]Sales Force'!$D:$J,7,0)</f>
        <v>MR</v>
      </c>
      <c r="E442" s="8">
        <f>VLOOKUP(C442,'[3]Sales Force'!$D:$O,12,0)</f>
        <v>854</v>
      </c>
      <c r="F442" s="8" t="str">
        <f>VLOOKUP(B442,'[3]Sales Force'!$D:$L,9,0)</f>
        <v> 1027473139</v>
      </c>
      <c r="G442" s="9">
        <f>VLOOKUP(B442,'[3]Sales Force'!$D:$M,10,0)</f>
        <v>44593</v>
      </c>
      <c r="H442" s="8" t="str">
        <f>VLOOKUP(B442,'[3]Sales Force'!$D:$H,5,0)</f>
        <v>CVM 1 Line</v>
      </c>
      <c r="I442" s="8"/>
      <c r="J442" s="8" t="str">
        <f>VLOOKUP(B442,'[3]Sales Force'!$D:$P,13,0)</f>
        <v>Damanhour</v>
      </c>
    </row>
    <row r="443" spans="1:10">
      <c r="A443" s="5">
        <v>1335</v>
      </c>
      <c r="B443" s="13" t="s">
        <v>414</v>
      </c>
      <c r="C443" s="8" t="str">
        <f>VLOOKUP(B443,'[3]Sales Force'!$D:$E,2,0)</f>
        <v>Asmaa AbdElmonem Mohamed Zahran</v>
      </c>
      <c r="D443" s="8" t="str">
        <f>VLOOKUP(B443,'[3]Sales Force'!$D:$J,7,0)</f>
        <v>MR</v>
      </c>
      <c r="E443" s="8">
        <f>VLOOKUP(C443,'[3]Sales Force'!$D:$O,12,0)</f>
        <v>854</v>
      </c>
      <c r="F443" s="8">
        <f>VLOOKUP(B443,'[3]Sales Force'!$D:$L,9,0)</f>
        <v>1022565719</v>
      </c>
      <c r="G443" s="9">
        <f>VLOOKUP(B443,'[3]Sales Force'!$D:$M,10,0)</f>
        <v>45318</v>
      </c>
      <c r="H443" s="8" t="str">
        <f>VLOOKUP(B443,'[3]Sales Force'!$D:$H,5,0)</f>
        <v>CVM 1 Line</v>
      </c>
      <c r="I443" s="8"/>
      <c r="J443" s="8" t="str">
        <f>VLOOKUP(B443,'[3]Sales Force'!$D:$P,13,0)</f>
        <v>Kafr El Shiekh</v>
      </c>
    </row>
    <row r="444" spans="1:10">
      <c r="A444" s="5">
        <v>841</v>
      </c>
      <c r="B444" s="12" t="s">
        <v>415</v>
      </c>
      <c r="C444" s="8" t="str">
        <f>VLOOKUP(B444,'[3]Sales Force'!$D:$F,3,0)</f>
        <v>Ramy Ahmed Mohamed</v>
      </c>
      <c r="D444" s="8" t="str">
        <f>VLOOKUP(B444,'[3]Sales Force'!$D:$J,7,0)</f>
        <v>DM</v>
      </c>
      <c r="E444" s="8">
        <f>VLOOKUP(C444,'[3]Sales Force'!$D:$O,12,0)</f>
        <v>91</v>
      </c>
      <c r="F444" s="8">
        <f>VLOOKUP(B444,'[3]Sales Force'!$D:$L,9,0)</f>
        <v>1159806707</v>
      </c>
      <c r="G444" s="9">
        <f>VLOOKUP(B444,'[3]Sales Force'!$D:$M,10,0)</f>
        <v>44479</v>
      </c>
      <c r="H444" s="8" t="str">
        <f>VLOOKUP(B444,'[3]Sales Force'!$D:$H,5,0)</f>
        <v>CVM 1 Line</v>
      </c>
      <c r="I444" s="8" t="str">
        <f>VLOOKUP(B444,'[3]Sales Force'!$D:$N,11,0)</f>
        <v>Esraa.Abdelkader.Ahmed.Rashwan@averroes-eg.com</v>
      </c>
      <c r="J444" s="8" t="str">
        <f>VLOOKUP(B444,'[3]Sales Force'!$D:$P,13,0)</f>
        <v>Smoha - Ezbet Saad</v>
      </c>
    </row>
    <row r="445" spans="1:10">
      <c r="A445" s="5">
        <v>1621</v>
      </c>
      <c r="B445" s="13" t="s">
        <v>416</v>
      </c>
      <c r="C445" s="8" t="str">
        <f>VLOOKUP(B445,'[3]Sales Force'!$D:$E,2,0)</f>
        <v>Esraa Abdelkader Ahmed Rashwan</v>
      </c>
      <c r="D445" s="8" t="str">
        <f>VLOOKUP(B445,'[3]Sales Force'!$D:$J,7,0)</f>
        <v>MR</v>
      </c>
      <c r="E445" s="8">
        <f>VLOOKUP(C445,'[3]Sales Force'!$D:$O,12,0)</f>
        <v>841</v>
      </c>
      <c r="F445" s="8">
        <f>VLOOKUP(B445,'[3]Sales Force'!$D:$L,9,0)</f>
        <v>1277421599</v>
      </c>
      <c r="G445" s="9">
        <f>VLOOKUP(B445,'[3]Sales Force'!$D:$M,10,0)</f>
        <v>45780</v>
      </c>
      <c r="H445" s="8" t="str">
        <f>VLOOKUP(B445,'[3]Sales Force'!$D:$H,5,0)</f>
        <v>CVM 1 Line</v>
      </c>
      <c r="I445" s="8"/>
      <c r="J445" s="8" t="str">
        <f>VLOOKUP(B445,'[3]Sales Force'!$D:$P,13,0)</f>
        <v>Betash</v>
      </c>
    </row>
    <row r="446" spans="1:10">
      <c r="A446" s="5">
        <v>1853</v>
      </c>
      <c r="B446" s="14" t="s">
        <v>417</v>
      </c>
      <c r="C446" s="8" t="str">
        <f>VLOOKUP(B446,'[3]Sales Force'!$D:$E,2,0)</f>
        <v>Esraa Abdelkader Ahmed Rashwan</v>
      </c>
      <c r="D446" s="8" t="str">
        <f>VLOOKUP(B446,'[3]Sales Force'!$D:$J,7,0)</f>
        <v>MR</v>
      </c>
      <c r="E446" s="8">
        <f>VLOOKUP(C446,'[3]Sales Force'!$D:$O,12,0)</f>
        <v>841</v>
      </c>
      <c r="F446" s="8">
        <f>VLOOKUP(B446,'[3]Sales Force'!$D:$L,9,0)</f>
        <v>1032612671</v>
      </c>
      <c r="G446" s="9">
        <f>VLOOKUP(B446,'[3]Sales Force'!$D:$M,10,0)</f>
        <v>46054</v>
      </c>
      <c r="H446" s="8" t="str">
        <f>VLOOKUP(B446,'[3]Sales Force'!$D:$H,5,0)</f>
        <v>CVM 1 Line</v>
      </c>
      <c r="I446" s="8"/>
      <c r="J446" s="8" t="str">
        <f>VLOOKUP(B446,'[3]Sales Force'!$D:$P,13,0)</f>
        <v>El Asafra</v>
      </c>
    </row>
    <row r="447" spans="1:10">
      <c r="A447" s="5">
        <v>1852</v>
      </c>
      <c r="B447" s="14" t="s">
        <v>418</v>
      </c>
      <c r="C447" s="8" t="str">
        <f>VLOOKUP(B447,'[3]Sales Force'!$D:$E,2,0)</f>
        <v>Esraa Abdelkader Ahmed Rashwan</v>
      </c>
      <c r="D447" s="8" t="str">
        <f>VLOOKUP(B447,'[3]Sales Force'!$D:$J,7,0)</f>
        <v>MR</v>
      </c>
      <c r="E447" s="8">
        <f>VLOOKUP(C447,'[3]Sales Force'!$D:$O,12,0)</f>
        <v>841</v>
      </c>
      <c r="F447" s="8">
        <f>VLOOKUP(B447,'[3]Sales Force'!$D:$L,9,0)</f>
        <v>1271990569</v>
      </c>
      <c r="G447" s="9">
        <f>VLOOKUP(B447,'[3]Sales Force'!$D:$M,10,0)</f>
        <v>46054</v>
      </c>
      <c r="H447" s="8" t="str">
        <f>VLOOKUP(B447,'[3]Sales Force'!$D:$H,5,0)</f>
        <v>CVM 1 Line</v>
      </c>
      <c r="I447" s="8"/>
      <c r="J447" s="8" t="str">
        <f>VLOOKUP(B447,'[3]Sales Force'!$D:$P,13,0)</f>
        <v>El Asafra</v>
      </c>
    </row>
    <row r="448" spans="1:10">
      <c r="A448" s="5">
        <v>1574</v>
      </c>
      <c r="B448" s="13" t="s">
        <v>419</v>
      </c>
      <c r="C448" s="8" t="str">
        <f>VLOOKUP(B448,'[3]Sales Force'!$D:$E,2,0)</f>
        <v>Esraa Abdelkader Ahmed Rashwan</v>
      </c>
      <c r="D448" s="8" t="str">
        <f>VLOOKUP(B448,'[3]Sales Force'!$D:$J,7,0)</f>
        <v>MR</v>
      </c>
      <c r="E448" s="8">
        <f>VLOOKUP(C448,'[3]Sales Force'!$D:$O,12,0)</f>
        <v>841</v>
      </c>
      <c r="F448" s="8">
        <f>VLOOKUP(B448,'[3]Sales Force'!$D:$L,9,0)</f>
        <v>1102158457</v>
      </c>
      <c r="G448" s="9">
        <f>VLOOKUP(B448,'[3]Sales Force'!$D:$M,10,0)</f>
        <v>45718</v>
      </c>
      <c r="H448" s="8" t="str">
        <f>VLOOKUP(B448,'[3]Sales Force'!$D:$H,5,0)</f>
        <v>CVM 1 Line</v>
      </c>
      <c r="I448" s="8"/>
      <c r="J448" s="8" t="str">
        <f>VLOOKUP(B448,'[3]Sales Force'!$D:$P,13,0)</f>
        <v>Moharam Bek</v>
      </c>
    </row>
    <row r="449" spans="1:10">
      <c r="A449" s="5">
        <v>1742</v>
      </c>
      <c r="B449" s="13" t="s">
        <v>420</v>
      </c>
      <c r="C449" s="8" t="str">
        <f>VLOOKUP(B449,'[3]Sales Force'!$D:$E,2,0)</f>
        <v>Esraa Abdelkader Ahmed Rashwan</v>
      </c>
      <c r="D449" s="8" t="str">
        <f>VLOOKUP(B449,'[3]Sales Force'!$D:$J,7,0)</f>
        <v>MR</v>
      </c>
      <c r="E449" s="8">
        <f>VLOOKUP(C449,'[3]Sales Force'!$D:$O,12,0)</f>
        <v>841</v>
      </c>
      <c r="F449" s="8">
        <f>VLOOKUP(B449,'[3]Sales Force'!$D:$L,9,0)</f>
        <v>1205591081</v>
      </c>
      <c r="G449" s="9">
        <f>VLOOKUP(B449,'[3]Sales Force'!$D:$M,10,0)</f>
        <v>45907</v>
      </c>
      <c r="H449" s="8" t="str">
        <f>VLOOKUP(B449,'[3]Sales Force'!$D:$H,5,0)</f>
        <v>CVM 1 Line</v>
      </c>
      <c r="I449" s="8"/>
      <c r="J449" s="8" t="str">
        <f>VLOOKUP(B449,'[3]Sales Force'!$D:$P,13,0)</f>
        <v>Hagar El Nwatia</v>
      </c>
    </row>
    <row r="450" spans="1:10">
      <c r="A450" s="5">
        <v>1680</v>
      </c>
      <c r="B450" s="13" t="s">
        <v>421</v>
      </c>
      <c r="C450" s="8" t="str">
        <f>VLOOKUP(B450,'[3]Sales Force'!$D:$E,2,0)</f>
        <v>Esraa Abdelkader Ahmed Rashwan</v>
      </c>
      <c r="D450" s="8" t="str">
        <f>VLOOKUP(B450,'[3]Sales Force'!$D:$J,7,0)</f>
        <v>MR</v>
      </c>
      <c r="E450" s="8">
        <f>VLOOKUP(C450,'[3]Sales Force'!$D:$O,12,0)</f>
        <v>841</v>
      </c>
      <c r="F450" s="8">
        <f>VLOOKUP(B450,'[3]Sales Force'!$D:$L,9,0)</f>
        <v>1271765629</v>
      </c>
      <c r="G450" s="9">
        <f>VLOOKUP(B450,'[3]Sales Force'!$D:$M,10,0)</f>
        <v>45780</v>
      </c>
      <c r="H450" s="8" t="str">
        <f>VLOOKUP(B450,'[3]Sales Force'!$D:$H,5,0)</f>
        <v>CVM 1 Line</v>
      </c>
      <c r="I450" s="8"/>
      <c r="J450" s="8" t="str">
        <f>VLOOKUP(B450,'[3]Sales Force'!$D:$P,13,0)</f>
        <v>Ragheb</v>
      </c>
    </row>
    <row r="451" spans="1:10">
      <c r="A451" s="5">
        <v>128</v>
      </c>
      <c r="B451" s="12" t="s">
        <v>422</v>
      </c>
      <c r="C451" s="8" t="str">
        <f>VLOOKUP(B451,'[3]Sales Force'!$D:$F,3,0)</f>
        <v>Ramy Ahmed Mohamed</v>
      </c>
      <c r="D451" s="8" t="str">
        <f>VLOOKUP(B451,'[3]Sales Force'!$D:$J,7,0)</f>
        <v>DM</v>
      </c>
      <c r="E451" s="8">
        <f>VLOOKUP(C451,'[3]Sales Force'!$D:$O,12,0)</f>
        <v>91</v>
      </c>
      <c r="F451" s="8" t="str">
        <f>VLOOKUP(B451,'[3]Sales Force'!$D:$L,9,0)</f>
        <v> 01090039538</v>
      </c>
      <c r="G451" s="9">
        <f>VLOOKUP(B451,'[3]Sales Force'!$D:$M,10,0)</f>
        <v>42345</v>
      </c>
      <c r="H451" s="8" t="str">
        <f>VLOOKUP(B451,'[3]Sales Force'!$D:$H,5,0)</f>
        <v>CVM 2 Line</v>
      </c>
      <c r="I451" s="8" t="str">
        <f>VLOOKUP(B451,'[3]Sales Force'!$D:$N,11,0)</f>
        <v>elhusseiny.kassem@averroes-eg.com</v>
      </c>
      <c r="J451" s="8" t="str">
        <f>VLOOKUP(B451,'[3]Sales Force'!$D:$P,13,0)</f>
        <v>Kafr El Shiekh</v>
      </c>
    </row>
    <row r="452" spans="1:10">
      <c r="A452" s="5">
        <v>1670</v>
      </c>
      <c r="B452" s="13" t="s">
        <v>423</v>
      </c>
      <c r="C452" s="8" t="str">
        <f>VLOOKUP(B452,'[3]Sales Force'!$D:$E,2,0)</f>
        <v>Elhoseny Kasem Mohamed</v>
      </c>
      <c r="D452" s="8" t="str">
        <f>VLOOKUP(B452,'[3]Sales Force'!$D:$J,7,0)</f>
        <v>MR</v>
      </c>
      <c r="E452" s="8">
        <f>VLOOKUP(C452,'[3]Sales Force'!$D:$O,12,0)</f>
        <v>128</v>
      </c>
      <c r="F452" s="8">
        <f>VLOOKUP(B452,'[3]Sales Force'!$D:$L,9,0)</f>
        <v>1002525478</v>
      </c>
      <c r="G452" s="9">
        <f>VLOOKUP(B452,'[3]Sales Force'!$D:$M,10,0)</f>
        <v>45780</v>
      </c>
      <c r="H452" s="8" t="str">
        <f>VLOOKUP(B452,'[3]Sales Force'!$D:$H,5,0)</f>
        <v>CVM 2 Line</v>
      </c>
      <c r="I452" s="8"/>
      <c r="J452" s="8" t="str">
        <f>VLOOKUP(B452,'[3]Sales Force'!$D:$P,13,0)</f>
        <v>Kafr El Dawar</v>
      </c>
    </row>
    <row r="453" spans="1:10">
      <c r="A453" s="5">
        <v>1674</v>
      </c>
      <c r="B453" s="13" t="s">
        <v>424</v>
      </c>
      <c r="C453" s="8" t="str">
        <f>VLOOKUP(B453,'[3]Sales Force'!$D:$E,2,0)</f>
        <v>Elhoseny Kasem Mohamed</v>
      </c>
      <c r="D453" s="8" t="str">
        <f>VLOOKUP(B453,'[3]Sales Force'!$D:$J,7,0)</f>
        <v>MR</v>
      </c>
      <c r="E453" s="8">
        <f>VLOOKUP(C453,'[3]Sales Force'!$D:$O,12,0)</f>
        <v>128</v>
      </c>
      <c r="F453" s="8">
        <f>VLOOKUP(B453,'[3]Sales Force'!$D:$L,9,0)</f>
        <v>1281450546</v>
      </c>
      <c r="G453" s="9">
        <f>VLOOKUP(B453,'[3]Sales Force'!$D:$M,10,0)</f>
        <v>45780</v>
      </c>
      <c r="H453" s="8" t="str">
        <f>VLOOKUP(B453,'[3]Sales Force'!$D:$H,5,0)</f>
        <v>CVM 2 Line</v>
      </c>
      <c r="I453" s="8"/>
      <c r="J453" s="8" t="str">
        <f>VLOOKUP(B453,'[3]Sales Force'!$D:$P,13,0)</f>
        <v>Itay elbaroud</v>
      </c>
    </row>
    <row r="454" spans="1:10">
      <c r="A454" s="5">
        <v>1675</v>
      </c>
      <c r="B454" s="13" t="s">
        <v>425</v>
      </c>
      <c r="C454" s="8" t="str">
        <f>VLOOKUP(B454,'[3]Sales Force'!$D:$E,2,0)</f>
        <v>Elhoseny Kasem Mohamed</v>
      </c>
      <c r="D454" s="8" t="str">
        <f>VLOOKUP(B454,'[3]Sales Force'!$D:$J,7,0)</f>
        <v>MR</v>
      </c>
      <c r="E454" s="8">
        <f>VLOOKUP(C454,'[3]Sales Force'!$D:$O,12,0)</f>
        <v>128</v>
      </c>
      <c r="F454" s="8">
        <f>VLOOKUP(B454,'[3]Sales Force'!$D:$L,9,0)</f>
        <v>1061962082</v>
      </c>
      <c r="G454" s="9">
        <f>VLOOKUP(B454,'[3]Sales Force'!$D:$M,10,0)</f>
        <v>45780</v>
      </c>
      <c r="H454" s="8" t="str">
        <f>VLOOKUP(B454,'[3]Sales Force'!$D:$H,5,0)</f>
        <v>CVM 2 Line</v>
      </c>
      <c r="I454" s="8"/>
      <c r="J454" s="8" t="str">
        <f>VLOOKUP(B454,'[3]Sales Force'!$D:$P,13,0)</f>
        <v>Fowa</v>
      </c>
    </row>
    <row r="455" spans="1:10">
      <c r="A455" s="5">
        <v>1676</v>
      </c>
      <c r="B455" s="13" t="s">
        <v>426</v>
      </c>
      <c r="C455" s="8" t="str">
        <f>VLOOKUP(B455,'[3]Sales Force'!$D:$E,2,0)</f>
        <v>Elhoseny Kasem Mohamed</v>
      </c>
      <c r="D455" s="8" t="str">
        <f>VLOOKUP(B455,'[3]Sales Force'!$D:$J,7,0)</f>
        <v>MR</v>
      </c>
      <c r="E455" s="8">
        <f>VLOOKUP(C455,'[3]Sales Force'!$D:$O,12,0)</f>
        <v>128</v>
      </c>
      <c r="F455" s="8">
        <f>VLOOKUP(B455,'[3]Sales Force'!$D:$L,9,0)</f>
        <v>1093099282</v>
      </c>
      <c r="G455" s="9">
        <f>VLOOKUP(B455,'[3]Sales Force'!$D:$M,10,0)</f>
        <v>45780</v>
      </c>
      <c r="H455" s="8" t="str">
        <f>VLOOKUP(B455,'[3]Sales Force'!$D:$H,5,0)</f>
        <v>CVM 2 Line</v>
      </c>
      <c r="I455" s="8"/>
      <c r="J455" s="8" t="str">
        <f>VLOOKUP(B455,'[3]Sales Force'!$D:$P,13,0)</f>
        <v>Kafr elsheikh</v>
      </c>
    </row>
    <row r="456" spans="1:10">
      <c r="A456" s="5">
        <v>1671</v>
      </c>
      <c r="B456" s="13" t="s">
        <v>427</v>
      </c>
      <c r="C456" s="8" t="str">
        <f>VLOOKUP(B456,'[3]Sales Force'!$D:$E,2,0)</f>
        <v>Elhoseny Kasem Mohamed</v>
      </c>
      <c r="D456" s="8" t="str">
        <f>VLOOKUP(B456,'[3]Sales Force'!$D:$J,7,0)</f>
        <v>MR</v>
      </c>
      <c r="E456" s="8">
        <f>VLOOKUP(C456,'[3]Sales Force'!$D:$O,12,0)</f>
        <v>128</v>
      </c>
      <c r="F456" s="8">
        <f>VLOOKUP(B456,'[3]Sales Force'!$D:$L,9,0)</f>
        <v>1112336659</v>
      </c>
      <c r="G456" s="9">
        <f>VLOOKUP(B456,'[3]Sales Force'!$D:$M,10,0)</f>
        <v>45780</v>
      </c>
      <c r="H456" s="8" t="str">
        <f>VLOOKUP(B456,'[3]Sales Force'!$D:$H,5,0)</f>
        <v>CVM 2 Line</v>
      </c>
      <c r="I456" s="8"/>
      <c r="J456" s="8" t="str">
        <f>VLOOKUP(B456,'[3]Sales Force'!$D:$P,13,0)</f>
        <v>Damanhour</v>
      </c>
    </row>
    <row r="457" spans="1:10">
      <c r="A457" s="5">
        <v>1858</v>
      </c>
      <c r="B457" s="14" t="s">
        <v>428</v>
      </c>
      <c r="C457" s="8" t="str">
        <f>VLOOKUP(B457,'[3]Sales Force'!$D:$E,2,0)</f>
        <v>Elhoseny Kasem Mohamed</v>
      </c>
      <c r="D457" s="8" t="str">
        <f>VLOOKUP(B457,'[3]Sales Force'!$D:$J,7,0)</f>
        <v>MR</v>
      </c>
      <c r="E457" s="8">
        <f>VLOOKUP(C457,'[3]Sales Force'!$D:$O,12,0)</f>
        <v>128</v>
      </c>
      <c r="F457" s="8">
        <f>VLOOKUP(B457,'[3]Sales Force'!$D:$L,9,0)</f>
        <v>1555974405</v>
      </c>
      <c r="G457" s="9">
        <f>VLOOKUP(B457,'[3]Sales Force'!$D:$M,10,0)</f>
        <v>46060</v>
      </c>
      <c r="H457" s="8" t="str">
        <f>VLOOKUP(B457,'[3]Sales Force'!$D:$H,5,0)</f>
        <v>CVM 2 Line</v>
      </c>
      <c r="I457" s="8"/>
      <c r="J457" s="8" t="str">
        <f>VLOOKUP(B457,'[3]Sales Force'!$D:$P,13,0)</f>
        <v>Kafr elsheikh</v>
      </c>
    </row>
    <row r="458" spans="1:10">
      <c r="A458" s="5">
        <v>1672</v>
      </c>
      <c r="B458" s="13" t="s">
        <v>429</v>
      </c>
      <c r="C458" s="8" t="str">
        <f>VLOOKUP(B458,'[3]Sales Force'!$D:$E,2,0)</f>
        <v>Elhoseny Kasem Mohamed</v>
      </c>
      <c r="D458" s="8" t="str">
        <f>VLOOKUP(B458,'[3]Sales Force'!$D:$J,7,0)</f>
        <v>MR</v>
      </c>
      <c r="E458" s="8">
        <f>VLOOKUP(C458,'[3]Sales Force'!$D:$O,12,0)</f>
        <v>128</v>
      </c>
      <c r="F458" s="8">
        <f>VLOOKUP(B458,'[3]Sales Force'!$D:$L,9,0)</f>
        <v>1009150205</v>
      </c>
      <c r="G458" s="9">
        <f>VLOOKUP(B458,'[3]Sales Force'!$D:$M,10,0)</f>
        <v>45780</v>
      </c>
      <c r="H458" s="8" t="str">
        <f>VLOOKUP(B458,'[3]Sales Force'!$D:$H,5,0)</f>
        <v>CVM 2 Line</v>
      </c>
      <c r="I458" s="8"/>
      <c r="J458" s="8" t="str">
        <f>VLOOKUP(B458,'[3]Sales Force'!$D:$P,13,0)</f>
        <v>Abou El Matameer</v>
      </c>
    </row>
    <row r="459" spans="1:10">
      <c r="A459" s="5">
        <v>1673</v>
      </c>
      <c r="B459" s="13" t="s">
        <v>430</v>
      </c>
      <c r="C459" s="8" t="str">
        <f>VLOOKUP(B459,'[3]Sales Force'!$D:$E,2,0)</f>
        <v>Elhoseny Kasem Mohamed</v>
      </c>
      <c r="D459" s="8" t="str">
        <f>VLOOKUP(B459,'[3]Sales Force'!$D:$J,7,0)</f>
        <v>MR</v>
      </c>
      <c r="E459" s="8">
        <f>VLOOKUP(C459,'[3]Sales Force'!$D:$O,12,0)</f>
        <v>128</v>
      </c>
      <c r="F459" s="8">
        <f>VLOOKUP(B459,'[3]Sales Force'!$D:$L,9,0)</f>
        <v>1555784253</v>
      </c>
      <c r="G459" s="9">
        <f>VLOOKUP(B459,'[3]Sales Force'!$D:$M,10,0)</f>
        <v>45780</v>
      </c>
      <c r="H459" s="8" t="str">
        <f>VLOOKUP(B459,'[3]Sales Force'!$D:$H,5,0)</f>
        <v>CVM 2 Line</v>
      </c>
      <c r="I459" s="8"/>
      <c r="J459" s="8" t="str">
        <f>VLOOKUP(B459,'[3]Sales Force'!$D:$P,13,0)</f>
        <v>Abou Homous</v>
      </c>
    </row>
    <row r="460" spans="1:10">
      <c r="A460" s="5">
        <v>1003</v>
      </c>
      <c r="B460" s="12" t="s">
        <v>431</v>
      </c>
      <c r="C460" s="8" t="str">
        <f>VLOOKUP(B460,'[3]Sales Force'!$D:$F,3,0)</f>
        <v>Ramy Ahmed Mohamed</v>
      </c>
      <c r="D460" s="8" t="str">
        <f>VLOOKUP(B460,'[3]Sales Force'!$D:$J,7,0)</f>
        <v>DM</v>
      </c>
      <c r="E460" s="8">
        <f>VLOOKUP(C460,'[3]Sales Force'!$D:$O,12,0)</f>
        <v>91</v>
      </c>
      <c r="F460" s="8" t="str">
        <f>VLOOKUP(B460,'[3]Sales Force'!$D:$L,9,0)</f>
        <v> 01118583363</v>
      </c>
      <c r="G460" s="9">
        <f>VLOOKUP(B460,'[3]Sales Force'!$D:$M,10,0)</f>
        <v>44829</v>
      </c>
      <c r="H460" s="8" t="str">
        <f>VLOOKUP(B460,'[3]Sales Force'!$D:$H,5,0)</f>
        <v>CVM 2 Line</v>
      </c>
      <c r="I460" s="8" t="str">
        <f>VLOOKUP(B460,'[3]Sales Force'!$D:$N,11,0)</f>
        <v>Youssef.Ashraf.Ismail@averroes-eg.com</v>
      </c>
      <c r="J460" s="8" t="str">
        <f>VLOOKUP(B460,'[3]Sales Force'!$D:$P,13,0)</f>
        <v>Moharam Bek</v>
      </c>
    </row>
    <row r="461" spans="1:10">
      <c r="A461" s="5">
        <v>1946</v>
      </c>
      <c r="B461" s="14" t="s">
        <v>662</v>
      </c>
      <c r="C461" s="8" t="str">
        <f>VLOOKUP(B461,'[3]Sales Force'!$D:$E,2,0)</f>
        <v>Youssef Ashraf Ismail</v>
      </c>
      <c r="D461" s="8" t="str">
        <f>VLOOKUP(B461,'[3]Sales Force'!$D:$J,7,0)</f>
        <v>MR</v>
      </c>
      <c r="E461" s="8">
        <f>VLOOKUP(C461,'[3]Sales Force'!$D:$O,12,0)</f>
        <v>1003</v>
      </c>
      <c r="F461" s="8">
        <f>VLOOKUP(B461,'[3]Sales Force'!$D:$L,9,0)</f>
        <v>1277847616</v>
      </c>
      <c r="G461" s="9">
        <f>VLOOKUP(B461,'[3]Sales Force'!$D:$M,10,0)</f>
        <v>46139</v>
      </c>
      <c r="H461" s="8" t="str">
        <f>VLOOKUP(B461,'[3]Sales Force'!$D:$H,5,0)</f>
        <v>CVM 2 Line</v>
      </c>
      <c r="I461" s="8"/>
      <c r="J461" s="8" t="str">
        <f>VLOOKUP(B461,'[3]Sales Force'!$D:$P,13,0)</f>
        <v>El Asafra Kebly</v>
      </c>
    </row>
    <row r="462" spans="1:10">
      <c r="A462" s="5">
        <v>1677</v>
      </c>
      <c r="B462" s="13" t="s">
        <v>433</v>
      </c>
      <c r="C462" s="8" t="str">
        <f>VLOOKUP(B462,'[3]Sales Force'!$D:$E,2,0)</f>
        <v>Youssef Ashraf Ismail</v>
      </c>
      <c r="D462" s="8" t="str">
        <f>VLOOKUP(B462,'[3]Sales Force'!$D:$J,7,0)</f>
        <v>MR</v>
      </c>
      <c r="E462" s="8">
        <f>VLOOKUP(C462,'[3]Sales Force'!$D:$O,12,0)</f>
        <v>1003</v>
      </c>
      <c r="F462" s="8">
        <f>VLOOKUP(B462,'[3]Sales Force'!$D:$L,9,0)</f>
        <v>1008928549</v>
      </c>
      <c r="G462" s="9">
        <f>VLOOKUP(B462,'[3]Sales Force'!$D:$M,10,0)</f>
        <v>45780</v>
      </c>
      <c r="H462" s="8" t="str">
        <f>VLOOKUP(B462,'[3]Sales Force'!$D:$H,5,0)</f>
        <v>CVM 2 Line</v>
      </c>
      <c r="I462" s="8"/>
      <c r="J462" s="8" t="str">
        <f>VLOOKUP(B462,'[3]Sales Force'!$D:$P,13,0)</f>
        <v>Awaied</v>
      </c>
    </row>
    <row r="463" spans="1:10">
      <c r="A463" s="5">
        <v>1720</v>
      </c>
      <c r="B463" s="13" t="s">
        <v>434</v>
      </c>
      <c r="C463" s="8" t="str">
        <f>VLOOKUP(B463,'[3]Sales Force'!$D:$E,2,0)</f>
        <v>Youssef Ashraf Ismail</v>
      </c>
      <c r="D463" s="8" t="str">
        <f>VLOOKUP(B463,'[3]Sales Force'!$D:$J,7,0)</f>
        <v>MR</v>
      </c>
      <c r="E463" s="8">
        <f>VLOOKUP(C463,'[3]Sales Force'!$D:$O,12,0)</f>
        <v>1003</v>
      </c>
      <c r="F463" s="8">
        <f>VLOOKUP(B463,'[3]Sales Force'!$D:$L,9,0)</f>
        <v>1063296618</v>
      </c>
      <c r="G463" s="9">
        <f>VLOOKUP(B463,'[3]Sales Force'!$D:$M,10,0)</f>
        <v>45871</v>
      </c>
      <c r="H463" s="8" t="str">
        <f>VLOOKUP(B463,'[3]Sales Force'!$D:$H,5,0)</f>
        <v>CVM 2 Line</v>
      </c>
      <c r="I463" s="8"/>
      <c r="J463" s="8" t="str">
        <f>VLOOKUP(B463,'[3]Sales Force'!$D:$P,13,0)</f>
        <v>Sidi Beshr</v>
      </c>
    </row>
    <row r="464" spans="1:10">
      <c r="A464" s="5">
        <v>1678</v>
      </c>
      <c r="B464" s="13" t="s">
        <v>435</v>
      </c>
      <c r="C464" s="8" t="str">
        <f>VLOOKUP(B464,'[3]Sales Force'!$D:$E,2,0)</f>
        <v>Youssef Ashraf Ismail</v>
      </c>
      <c r="D464" s="8" t="str">
        <f>VLOOKUP(B464,'[3]Sales Force'!$D:$J,7,0)</f>
        <v>MR</v>
      </c>
      <c r="E464" s="8">
        <f>VLOOKUP(C464,'[3]Sales Force'!$D:$O,12,0)</f>
        <v>1003</v>
      </c>
      <c r="F464" s="8">
        <f>VLOOKUP(B464,'[3]Sales Force'!$D:$L,9,0)</f>
        <v>1200849672</v>
      </c>
      <c r="G464" s="9">
        <f>VLOOKUP(B464,'[3]Sales Force'!$D:$M,10,0)</f>
        <v>45782</v>
      </c>
      <c r="H464" s="8" t="str">
        <f>VLOOKUP(B464,'[3]Sales Force'!$D:$H,5,0)</f>
        <v>CVM 2 Line</v>
      </c>
      <c r="I464" s="8"/>
      <c r="J464" s="8" t="str">
        <f>VLOOKUP(B464,'[3]Sales Force'!$D:$P,13,0)</f>
        <v>Toson</v>
      </c>
    </row>
    <row r="465" spans="1:10">
      <c r="A465" s="5">
        <v>1776</v>
      </c>
      <c r="B465" s="13" t="s">
        <v>436</v>
      </c>
      <c r="C465" s="8" t="str">
        <f>VLOOKUP(B465,'[3]Sales Force'!$D:$E,2,0)</f>
        <v>Youssef Ashraf Ismail</v>
      </c>
      <c r="D465" s="8" t="str">
        <f>VLOOKUP(B465,'[3]Sales Force'!$D:$J,7,0)</f>
        <v>MR</v>
      </c>
      <c r="E465" s="8">
        <f>VLOOKUP(C465,'[3]Sales Force'!$D:$O,12,0)</f>
        <v>1003</v>
      </c>
      <c r="F465" s="8">
        <f>VLOOKUP(B465,'[3]Sales Force'!$D:$L,9,0)</f>
        <v>1096453095</v>
      </c>
      <c r="G465" s="9">
        <f>VLOOKUP(B465,'[3]Sales Force'!$D:$M,10,0)</f>
        <v>45962</v>
      </c>
      <c r="H465" s="8" t="str">
        <f>VLOOKUP(B465,'[3]Sales Force'!$D:$H,5,0)</f>
        <v>CVM 2 Line</v>
      </c>
      <c r="I465" s="8"/>
      <c r="J465" s="8" t="str">
        <f>VLOOKUP(B465,'[3]Sales Force'!$D:$P,13,0)</f>
        <v>El Werdian</v>
      </c>
    </row>
    <row r="466" spans="1:10">
      <c r="A466" s="5">
        <v>1146</v>
      </c>
      <c r="B466" s="13" t="s">
        <v>437</v>
      </c>
      <c r="C466" s="8" t="str">
        <f>VLOOKUP(B466,'[3]Sales Force'!$D:$E,2,0)</f>
        <v>Youssef Ashraf Ismail</v>
      </c>
      <c r="D466" s="8" t="str">
        <f>VLOOKUP(B466,'[3]Sales Force'!$D:$J,7,0)</f>
        <v>MR</v>
      </c>
      <c r="E466" s="8">
        <f>VLOOKUP(C466,'[3]Sales Force'!$D:$O,12,0)</f>
        <v>1003</v>
      </c>
      <c r="F466" s="8">
        <f>VLOOKUP(B466,'[3]Sales Force'!$D:$L,9,0)</f>
        <v>1285989706</v>
      </c>
      <c r="G466" s="9">
        <f>VLOOKUP(B466,'[3]Sales Force'!$D:$M,10,0)</f>
        <v>44968</v>
      </c>
      <c r="H466" s="8" t="str">
        <f>VLOOKUP(B466,'[3]Sales Force'!$D:$H,5,0)</f>
        <v>CVM 2 Line</v>
      </c>
      <c r="I466" s="8"/>
      <c r="J466" s="8" t="str">
        <f>VLOOKUP(B466,'[3]Sales Force'!$D:$P,13,0)</f>
        <v>Moharam Bek</v>
      </c>
    </row>
    <row r="467" spans="1:10">
      <c r="A467" s="5">
        <v>812</v>
      </c>
      <c r="B467" s="11" t="s">
        <v>438</v>
      </c>
      <c r="C467" s="8" t="str">
        <f>VLOOKUP(B467,'[3]Sales Force'!$D:$G,4,0)</f>
        <v>Abdallah Gamal Elsayed</v>
      </c>
      <c r="D467" s="8" t="str">
        <f>VLOOKUP(B467,'[3]Sales Force'!$D:$J,7,0)</f>
        <v>AM</v>
      </c>
      <c r="E467" s="8">
        <f>VLOOKUP(C467,'[3]Sales Force'!$D:$O,12,0)</f>
        <v>160</v>
      </c>
      <c r="F467" s="8">
        <f>VLOOKUP(B467,'[3]Sales Force'!$D:$L,9,0)</f>
        <v>1285858177</v>
      </c>
      <c r="G467" s="9">
        <f>VLOOKUP(B467,'[3]Sales Force'!$D:$M,10,0)</f>
        <v>44422</v>
      </c>
      <c r="H467" s="8" t="str">
        <f>VLOOKUP(B467,'[3]Sales Force'!$D:$H,5,0)</f>
        <v>P&amp;G Line</v>
      </c>
      <c r="I467" s="8" t="str">
        <f>VLOOKUP(B467,'[3]Sales Force'!$D:$N,11,0)</f>
        <v>Ahmed.Nashaat.Mohamed@averroes-eg.com</v>
      </c>
      <c r="J467" s="8" t="str">
        <f>VLOOKUP(B467,'[3]Sales Force'!$D:$P,13,0)</f>
        <v>Samanoud</v>
      </c>
    </row>
    <row r="468" spans="1:10">
      <c r="A468" s="5">
        <v>755</v>
      </c>
      <c r="B468" s="12" t="s">
        <v>439</v>
      </c>
      <c r="C468" s="8" t="str">
        <f>VLOOKUP(B468,'[3]Sales Force'!$D:$F,3,0)</f>
        <v>Ahmed Nashaat Mohamed</v>
      </c>
      <c r="D468" s="8" t="str">
        <f>VLOOKUP(B468,'[3]Sales Force'!$D:$J,7,0)</f>
        <v>DM</v>
      </c>
      <c r="E468" s="8">
        <f>VLOOKUP(C468,'[3]Sales Force'!$D:$O,12,0)</f>
        <v>812</v>
      </c>
      <c r="F468" s="41" t="s">
        <v>601</v>
      </c>
      <c r="G468" s="9">
        <f>VLOOKUP(B468,'[3]Sales Force'!$D:$M,10,0)</f>
        <v>44258</v>
      </c>
      <c r="H468" s="8" t="str">
        <f>VLOOKUP(B468,'[3]Sales Force'!$D:$H,5,0)</f>
        <v>P&amp;G Line</v>
      </c>
      <c r="I468" s="8" t="str">
        <f>VLOOKUP(B468,'[3]Sales Force'!$D:$N,11,0)</f>
        <v>Aya.Yasser.Mohamed@averroes-eg.com</v>
      </c>
      <c r="J468" s="8" t="str">
        <f>VLOOKUP(B468,'[3]Sales Force'!$D:$P,13,0)</f>
        <v>El Mahala El Kobra</v>
      </c>
    </row>
    <row r="469" spans="1:10">
      <c r="A469" s="5">
        <v>1327</v>
      </c>
      <c r="B469" s="13" t="s">
        <v>440</v>
      </c>
      <c r="C469" s="8" t="str">
        <f>VLOOKUP(B469,'[3]Sales Force'!$D:$E,2,0)</f>
        <v>Aya Yasser Mohamed</v>
      </c>
      <c r="D469" s="8" t="str">
        <f>VLOOKUP(B469,'[3]Sales Force'!$D:$J,7,0)</f>
        <v>MR</v>
      </c>
      <c r="E469" s="8">
        <f>VLOOKUP(C469,'[3]Sales Force'!$D:$O,12,0)</f>
        <v>755</v>
      </c>
      <c r="F469" s="8">
        <f>VLOOKUP(B469,'[3]Sales Force'!$D:$L,9,0)</f>
        <v>1007169205</v>
      </c>
      <c r="G469" s="9">
        <f>VLOOKUP(B469,'[3]Sales Force'!$D:$M,10,0)</f>
        <v>45314</v>
      </c>
      <c r="H469" s="8" t="str">
        <f>VLOOKUP(B469,'[3]Sales Force'!$D:$H,5,0)</f>
        <v>P&amp;G Line</v>
      </c>
      <c r="I469" s="8"/>
      <c r="J469" s="8" t="str">
        <f>VLOOKUP(B469,'[3]Sales Force'!$D:$P,13,0)</f>
        <v>Zefta</v>
      </c>
    </row>
    <row r="470" spans="1:10">
      <c r="A470" s="5">
        <v>1531</v>
      </c>
      <c r="B470" s="13" t="s">
        <v>443</v>
      </c>
      <c r="C470" s="8" t="str">
        <f>VLOOKUP(B470,'[3]Sales Force'!$D:$E,2,0)</f>
        <v>Aya Yasser Mohamed</v>
      </c>
      <c r="D470" s="8" t="str">
        <f>VLOOKUP(B470,'[3]Sales Force'!$D:$J,7,0)</f>
        <v>MR</v>
      </c>
      <c r="E470" s="8">
        <f>VLOOKUP(C470,'[3]Sales Force'!$D:$O,12,0)</f>
        <v>755</v>
      </c>
      <c r="F470" s="8">
        <f>VLOOKUP(B470,'[3]Sales Force'!$D:$L,9,0)</f>
        <v>1014176582</v>
      </c>
      <c r="G470" s="9">
        <f>VLOOKUP(B470,'[3]Sales Force'!$D:$M,10,0)</f>
        <v>45696</v>
      </c>
      <c r="H470" s="8" t="str">
        <f>VLOOKUP(B470,'[3]Sales Force'!$D:$H,5,0)</f>
        <v>P&amp;G Line</v>
      </c>
      <c r="I470" s="8"/>
      <c r="J470" s="8" t="str">
        <f>VLOOKUP(B470,'[3]Sales Force'!$D:$P,13,0)</f>
        <v>Tanta</v>
      </c>
    </row>
    <row r="471" spans="1:10">
      <c r="A471" s="5">
        <v>1369</v>
      </c>
      <c r="B471" s="13" t="s">
        <v>444</v>
      </c>
      <c r="C471" s="8" t="str">
        <f>VLOOKUP(B471,'[3]Sales Force'!$D:$E,2,0)</f>
        <v>Aya Yasser Mohamed</v>
      </c>
      <c r="D471" s="8" t="str">
        <f>VLOOKUP(B471,'[3]Sales Force'!$D:$J,7,0)</f>
        <v>MR</v>
      </c>
      <c r="E471" s="8">
        <f>VLOOKUP(C471,'[3]Sales Force'!$D:$O,12,0)</f>
        <v>755</v>
      </c>
      <c r="F471" s="8">
        <f>VLOOKUP(B471,'[3]Sales Force'!$D:$L,9,0)</f>
        <v>1028339438</v>
      </c>
      <c r="G471" s="9">
        <f>VLOOKUP(B471,'[3]Sales Force'!$D:$M,10,0)</f>
        <v>45444</v>
      </c>
      <c r="H471" s="8" t="str">
        <f>VLOOKUP(B471,'[3]Sales Force'!$D:$H,5,0)</f>
        <v>P&amp;G Line</v>
      </c>
      <c r="I471" s="8"/>
      <c r="J471" s="8" t="str">
        <f>VLOOKUP(B471,'[3]Sales Force'!$D:$P,13,0)</f>
        <v>Kafr El zayat</v>
      </c>
    </row>
    <row r="472" spans="1:10">
      <c r="A472" s="5">
        <v>1861</v>
      </c>
      <c r="B472" s="14" t="s">
        <v>445</v>
      </c>
      <c r="C472" s="8" t="str">
        <f>VLOOKUP(B472,'[3]Sales Force'!$D:$E,2,0)</f>
        <v>Aya Yasser Mohamed</v>
      </c>
      <c r="D472" s="8" t="str">
        <f>VLOOKUP(B472,'[3]Sales Force'!$D:$J,7,0)</f>
        <v>MR</v>
      </c>
      <c r="E472" s="8">
        <f>VLOOKUP(C472,'[3]Sales Force'!$D:$O,12,0)</f>
        <v>755</v>
      </c>
      <c r="F472" s="8">
        <f>VLOOKUP(B472,'[3]Sales Force'!$D:$L,9,0)</f>
        <v>1003500827</v>
      </c>
      <c r="G472" s="9">
        <f>VLOOKUP(B472,'[3]Sales Force'!$D:$M,10,0)</f>
        <v>46062</v>
      </c>
      <c r="H472" s="8" t="str">
        <f>VLOOKUP(B472,'[3]Sales Force'!$D:$H,5,0)</f>
        <v>P&amp;G Line</v>
      </c>
      <c r="I472" s="8"/>
      <c r="J472" s="8" t="str">
        <f>VLOOKUP(B472,'[3]Sales Force'!$D:$P,13,0)</f>
        <v>Shebien El Kom</v>
      </c>
    </row>
    <row r="473" spans="1:10">
      <c r="A473" s="5">
        <v>1734</v>
      </c>
      <c r="B473" s="13" t="s">
        <v>446</v>
      </c>
      <c r="C473" s="8" t="str">
        <f>VLOOKUP(B473,'[3]Sales Force'!$D:$E,2,0)</f>
        <v>Aya Yasser Mohamed</v>
      </c>
      <c r="D473" s="8" t="str">
        <f>VLOOKUP(B473,'[3]Sales Force'!$D:$J,7,0)</f>
        <v>MR</v>
      </c>
      <c r="E473" s="8">
        <f>VLOOKUP(C473,'[3]Sales Force'!$D:$O,12,0)</f>
        <v>755</v>
      </c>
      <c r="F473" s="8">
        <f>VLOOKUP(B473,'[3]Sales Force'!$D:$L,9,0)</f>
        <v>1096116715</v>
      </c>
      <c r="G473" s="9">
        <f>VLOOKUP(B473,'[3]Sales Force'!$D:$M,10,0)</f>
        <v>45892</v>
      </c>
      <c r="H473" s="8" t="str">
        <f>VLOOKUP(B473,'[3]Sales Force'!$D:$H,5,0)</f>
        <v>P&amp;G Line</v>
      </c>
      <c r="I473" s="8"/>
      <c r="J473" s="8" t="str">
        <f>VLOOKUP(B473,'[3]Sales Force'!$D:$P,13,0)</f>
        <v>El Bagour</v>
      </c>
    </row>
    <row r="474" spans="1:10">
      <c r="A474" s="5">
        <v>1521</v>
      </c>
      <c r="B474" s="13" t="s">
        <v>447</v>
      </c>
      <c r="C474" s="8" t="str">
        <f>VLOOKUP(B474,'[3]Sales Force'!$D:$E,2,0)</f>
        <v>Aya Yasser Mohamed</v>
      </c>
      <c r="D474" s="8" t="str">
        <f>VLOOKUP(B474,'[3]Sales Force'!$D:$J,7,0)</f>
        <v>MR</v>
      </c>
      <c r="E474" s="8">
        <f>VLOOKUP(C474,'[3]Sales Force'!$D:$O,12,0)</f>
        <v>755</v>
      </c>
      <c r="F474" s="8">
        <f>VLOOKUP(B474,'[3]Sales Force'!$D:$L,9,0)</f>
        <v>1003121669</v>
      </c>
      <c r="G474" s="9">
        <f>VLOOKUP(B474,'[3]Sales Force'!$D:$M,10,0)</f>
        <v>45691</v>
      </c>
      <c r="H474" s="8" t="str">
        <f>VLOOKUP(B474,'[3]Sales Force'!$D:$H,5,0)</f>
        <v>P&amp;G Line</v>
      </c>
      <c r="I474" s="8"/>
      <c r="J474" s="8" t="str">
        <f>VLOOKUP(B474,'[3]Sales Force'!$D:$P,13,0)</f>
        <v>Beket ElSabaa</v>
      </c>
    </row>
    <row r="475" spans="1:10">
      <c r="A475" s="5">
        <v>1626</v>
      </c>
      <c r="B475" s="13" t="s">
        <v>448</v>
      </c>
      <c r="C475" s="8" t="str">
        <f>VLOOKUP(B475,'[3]Sales Force'!$D:$E,2,0)</f>
        <v>Aya Yasser Mohamed</v>
      </c>
      <c r="D475" s="8" t="str">
        <f>VLOOKUP(B475,'[3]Sales Force'!$D:$J,7,0)</f>
        <v>MR</v>
      </c>
      <c r="E475" s="8">
        <f>VLOOKUP(C475,'[3]Sales Force'!$D:$O,12,0)</f>
        <v>755</v>
      </c>
      <c r="F475" s="8">
        <f>VLOOKUP(B475,'[3]Sales Force'!$D:$L,9,0)</f>
        <v>1206361691</v>
      </c>
      <c r="G475" s="9">
        <f>VLOOKUP(B475,'[3]Sales Force'!$D:$M,10,0)</f>
        <v>45780</v>
      </c>
      <c r="H475" s="8" t="str">
        <f>VLOOKUP(B475,'[3]Sales Force'!$D:$H,5,0)</f>
        <v>P&amp;G Line</v>
      </c>
      <c r="I475" s="8"/>
      <c r="J475" s="8" t="str">
        <f>VLOOKUP(B475,'[3]Sales Force'!$D:$P,13,0)</f>
        <v>El Mahala El Kobra</v>
      </c>
    </row>
    <row r="476" spans="1:10">
      <c r="A476" s="5">
        <v>1944</v>
      </c>
      <c r="B476" s="15" t="s">
        <v>663</v>
      </c>
      <c r="C476" s="8" t="str">
        <f>VLOOKUP(B476,'[3]Sales Force'!$D:$F,3,0)</f>
        <v>Ahmed Nashaat Mohamed</v>
      </c>
      <c r="D476" s="8" t="str">
        <f>VLOOKUP(B476,'[3]Sales Force'!$D:$J,7,0)</f>
        <v>DM</v>
      </c>
      <c r="E476" s="8">
        <f>VLOOKUP(C476,'[3]Sales Force'!$D:$O,12,0)</f>
        <v>812</v>
      </c>
      <c r="F476" s="8">
        <f>VLOOKUP(B476,'[3]Sales Force'!$D:$L,9,0)</f>
        <v>1000768176</v>
      </c>
      <c r="G476" s="9">
        <f>VLOOKUP(B476,'[3]Sales Force'!$D:$M,10,0)</f>
        <v>46138</v>
      </c>
      <c r="H476" s="8" t="str">
        <f>VLOOKUP(B476,'[3]Sales Force'!$D:$H,5,0)</f>
        <v>P&amp;G Line</v>
      </c>
      <c r="I476" s="8"/>
      <c r="J476" s="8" t="str">
        <f>VLOOKUP(B476,'[3]Sales Force'!$D:$P,13,0)</f>
        <v>El Mansoura</v>
      </c>
    </row>
    <row r="477" spans="1:10">
      <c r="A477" s="5">
        <v>1623</v>
      </c>
      <c r="B477" s="13" t="s">
        <v>466</v>
      </c>
      <c r="C477" s="8" t="str">
        <f>VLOOKUP(B477,'[3]Sales Force'!$D:$E,2,0)</f>
        <v>Mohamed Roshdy Elsaied Aly Ahmed</v>
      </c>
      <c r="D477" s="8" t="str">
        <f>VLOOKUP(B477,'[3]Sales Force'!$D:$J,7,0)</f>
        <v>MR</v>
      </c>
      <c r="E477" s="8">
        <f>VLOOKUP(C477,'[3]Sales Force'!$D:$O,12,0)</f>
        <v>1944</v>
      </c>
      <c r="F477" s="8">
        <f>VLOOKUP(B477,'[3]Sales Force'!$D:$L,9,0)</f>
        <v>1096544705</v>
      </c>
      <c r="G477" s="9">
        <f>VLOOKUP(B477,'[3]Sales Force'!$D:$M,10,0)</f>
        <v>45780</v>
      </c>
      <c r="H477" s="8" t="str">
        <f>VLOOKUP(B477,'[3]Sales Force'!$D:$H,5,0)</f>
        <v>P&amp;G Line</v>
      </c>
      <c r="I477" s="8"/>
      <c r="J477" s="8" t="str">
        <f>VLOOKUP(B477,'[3]Sales Force'!$D:$P,13,0)</f>
        <v>Kafr Saad</v>
      </c>
    </row>
    <row r="478" spans="1:10">
      <c r="A478" s="5">
        <v>1709</v>
      </c>
      <c r="B478" s="13" t="s">
        <v>454</v>
      </c>
      <c r="C478" s="8" t="str">
        <f>VLOOKUP(B478,'[3]Sales Force'!$D:$E,2,0)</f>
        <v>Mohamed Roshdy Elsaied Aly Ahmed</v>
      </c>
      <c r="D478" s="8" t="str">
        <f>VLOOKUP(B478,'[3]Sales Force'!$D:$J,7,0)</f>
        <v>MR</v>
      </c>
      <c r="E478" s="8">
        <f>VLOOKUP(C478,'[3]Sales Force'!$D:$O,12,0)</f>
        <v>1944</v>
      </c>
      <c r="F478" s="8">
        <f>VLOOKUP(B478,'[3]Sales Force'!$D:$L,9,0)</f>
        <v>1200562181</v>
      </c>
      <c r="G478" s="9">
        <f>VLOOKUP(B478,'[3]Sales Force'!$D:$M,10,0)</f>
        <v>45850</v>
      </c>
      <c r="H478" s="8" t="str">
        <f>VLOOKUP(B478,'[3]Sales Force'!$D:$H,5,0)</f>
        <v>P&amp;G Line</v>
      </c>
      <c r="I478" s="8"/>
      <c r="J478" s="8" t="str">
        <f>VLOOKUP(B478,'[3]Sales Force'!$D:$P,13,0)</f>
        <v>El Mansoura</v>
      </c>
    </row>
    <row r="479" spans="1:10">
      <c r="A479" s="5">
        <v>1488</v>
      </c>
      <c r="B479" s="13" t="s">
        <v>451</v>
      </c>
      <c r="C479" s="8" t="str">
        <f>VLOOKUP(B479,'[3]Sales Force'!$D:$E,2,0)</f>
        <v>Mohamed Roshdy Elsaied Aly Ahmed</v>
      </c>
      <c r="D479" s="8" t="str">
        <f>VLOOKUP(B479,'[3]Sales Force'!$D:$J,7,0)</f>
        <v>MR</v>
      </c>
      <c r="E479" s="8">
        <f>VLOOKUP(C479,'[3]Sales Force'!$D:$O,12,0)</f>
        <v>1944</v>
      </c>
      <c r="F479" s="8">
        <f>VLOOKUP(B479,'[3]Sales Force'!$D:$L,9,0)</f>
        <v>1018925400</v>
      </c>
      <c r="G479" s="9">
        <f>VLOOKUP(B479,'[3]Sales Force'!$D:$M,10,0)</f>
        <v>45658</v>
      </c>
      <c r="H479" s="8" t="str">
        <f>VLOOKUP(B479,'[3]Sales Force'!$D:$H,5,0)</f>
        <v>P&amp;G Line</v>
      </c>
      <c r="I479" s="8"/>
      <c r="J479" s="8"/>
    </row>
    <row r="480" spans="1:10">
      <c r="A480" s="5">
        <v>1334</v>
      </c>
      <c r="B480" s="13" t="s">
        <v>453</v>
      </c>
      <c r="C480" s="8" t="str">
        <f>VLOOKUP(B480,'[3]Sales Force'!$D:$E,2,0)</f>
        <v>Mohamed Roshdy Elsaied Aly Ahmed</v>
      </c>
      <c r="D480" s="8" t="str">
        <f>VLOOKUP(B480,'[3]Sales Force'!$D:$J,7,0)</f>
        <v>MR</v>
      </c>
      <c r="E480" s="8">
        <f>VLOOKUP(C480,'[3]Sales Force'!$D:$O,12,0)</f>
        <v>1944</v>
      </c>
      <c r="F480" s="8">
        <f>VLOOKUP(B480,'[3]Sales Force'!$D:$L,9,0)</f>
        <v>1206232566</v>
      </c>
      <c r="G480" s="9">
        <f>VLOOKUP(B480,'[3]Sales Force'!$D:$M,10,0)</f>
        <v>45325</v>
      </c>
      <c r="H480" s="8" t="str">
        <f>VLOOKUP(B480,'[3]Sales Force'!$D:$H,5,0)</f>
        <v>P&amp;G Line</v>
      </c>
      <c r="I480" s="8"/>
      <c r="J480" s="8" t="str">
        <f>VLOOKUP(B480,'[3]Sales Force'!$D:$P,13,0)</f>
        <v>Meet Ghamr</v>
      </c>
    </row>
    <row r="481" spans="1:10">
      <c r="A481" s="5">
        <v>1632</v>
      </c>
      <c r="B481" s="13" t="s">
        <v>452</v>
      </c>
      <c r="C481" s="8" t="str">
        <f>VLOOKUP(B481,'[3]Sales Force'!$D:$E,2,0)</f>
        <v>Mohamed Roshdy Elsaied Aly Ahmed</v>
      </c>
      <c r="D481" s="8" t="str">
        <f>VLOOKUP(B481,'[3]Sales Force'!$D:$J,7,0)</f>
        <v>MR</v>
      </c>
      <c r="E481" s="8">
        <f>VLOOKUP(C481,'[3]Sales Force'!$D:$O,12,0)</f>
        <v>1944</v>
      </c>
      <c r="F481" s="8">
        <f>VLOOKUP(B481,'[3]Sales Force'!$D:$L,9,0)</f>
        <v>1093268228</v>
      </c>
      <c r="G481" s="9">
        <f>VLOOKUP(B481,'[3]Sales Force'!$D:$M,10,0)</f>
        <v>45787</v>
      </c>
      <c r="H481" s="8" t="str">
        <f>VLOOKUP(B481,'[3]Sales Force'!$D:$H,5,0)</f>
        <v>P&amp;G Line</v>
      </c>
      <c r="I481" s="8"/>
      <c r="J481" s="8" t="str">
        <f>VLOOKUP(B481,'[3]Sales Force'!$D:$P,13,0)</f>
        <v>Dekernes</v>
      </c>
    </row>
    <row r="482" spans="1:10">
      <c r="A482" s="5">
        <v>1487</v>
      </c>
      <c r="B482" s="13" t="s">
        <v>467</v>
      </c>
      <c r="C482" s="8" t="str">
        <f>VLOOKUP(B482,'[3]Sales Force'!$D:$E,2,0)</f>
        <v>Mohamed Roshdy Elsaied Aly Ahmed</v>
      </c>
      <c r="D482" s="8" t="str">
        <f>VLOOKUP(B482,'[3]Sales Force'!$D:$J,7,0)</f>
        <v>MR</v>
      </c>
      <c r="E482" s="8">
        <f>VLOOKUP(C482,'[3]Sales Force'!$D:$O,12,0)</f>
        <v>1944</v>
      </c>
      <c r="F482" s="8">
        <f>VLOOKUP(B482,'[3]Sales Force'!$D:$L,9,0)</f>
        <v>1556084070</v>
      </c>
      <c r="G482" s="9">
        <f>VLOOKUP(B482,'[3]Sales Force'!$D:$M,10,0)</f>
        <v>45658</v>
      </c>
      <c r="H482" s="8" t="str">
        <f>VLOOKUP(B482,'[3]Sales Force'!$D:$H,5,0)</f>
        <v>P&amp;G Line</v>
      </c>
      <c r="I482" s="8"/>
      <c r="J482" s="8"/>
    </row>
    <row r="483" spans="1:10">
      <c r="A483" s="5">
        <v>899</v>
      </c>
      <c r="B483" s="12" t="s">
        <v>449</v>
      </c>
      <c r="C483" s="8" t="str">
        <f>VLOOKUP(B483,'[3]Sales Force'!$D:$F,3,0)</f>
        <v>Ahmed Nashaat Mohamed</v>
      </c>
      <c r="D483" s="8" t="str">
        <f>VLOOKUP(B483,'[3]Sales Force'!$D:$J,7,0)</f>
        <v>DM</v>
      </c>
      <c r="E483" s="8">
        <f>VLOOKUP(C483,'[3]Sales Force'!$D:$O,12,0)</f>
        <v>812</v>
      </c>
      <c r="F483" s="8" t="str">
        <f>VLOOKUP(B483,'[3]Sales Force'!$D:$L,9,0)</f>
        <v> 1212871778</v>
      </c>
      <c r="G483" s="9">
        <f>VLOOKUP(B483,'[3]Sales Force'!$D:$M,10,0)</f>
        <v>44593</v>
      </c>
      <c r="H483" s="8" t="str">
        <f>VLOOKUP(B483,'[3]Sales Force'!$D:$H,5,0)</f>
        <v>P&amp;G Line</v>
      </c>
      <c r="I483" s="8" t="str">
        <f>VLOOKUP(B483,'[3]Sales Force'!$D:$N,11,0)</f>
        <v>Sara.Ibrahim.Mohamed@averroes-eg.com</v>
      </c>
      <c r="J483" s="8" t="str">
        <f>VLOOKUP(B483,'[3]Sales Force'!$D:$P,13,0)</f>
        <v>Hehya</v>
      </c>
    </row>
    <row r="484" spans="1:10">
      <c r="A484" s="5">
        <v>1028</v>
      </c>
      <c r="B484" s="13" t="s">
        <v>450</v>
      </c>
      <c r="C484" s="8" t="str">
        <f>VLOOKUP(B484,'[3]Sales Force'!$D:$E,2,0)</f>
        <v>Sara Ibrahim Mohamed</v>
      </c>
      <c r="D484" s="8" t="str">
        <f>VLOOKUP(B484,'[3]Sales Force'!$D:$J,7,0)</f>
        <v>MR</v>
      </c>
      <c r="E484" s="8">
        <f>VLOOKUP(C484,'[3]Sales Force'!$D:$O,12,0)</f>
        <v>899</v>
      </c>
      <c r="F484" s="8">
        <f>VLOOKUP(B484,'[3]Sales Force'!$D:$L,9,0)</f>
        <v>1275119082</v>
      </c>
      <c r="G484" s="9">
        <f>VLOOKUP(B484,'[3]Sales Force'!$D:$M,10,0)</f>
        <v>44891</v>
      </c>
      <c r="H484" s="8" t="str">
        <f>VLOOKUP(B484,'[3]Sales Force'!$D:$H,5,0)</f>
        <v>P&amp;G Line</v>
      </c>
      <c r="I484" s="8"/>
      <c r="J484" s="8" t="str">
        <f>VLOOKUP(B484,'[3]Sales Force'!$D:$P,13,0)</f>
        <v>Hehya</v>
      </c>
    </row>
    <row r="485" spans="1:10">
      <c r="A485" s="5">
        <v>1493</v>
      </c>
      <c r="B485" s="13" t="s">
        <v>441</v>
      </c>
      <c r="C485" s="8" t="str">
        <f>VLOOKUP(B485,'[3]Sales Force'!$D:$E,2,0)</f>
        <v>Sara Ibrahim Mohamed</v>
      </c>
      <c r="D485" s="8" t="str">
        <f>VLOOKUP(B485,'[3]Sales Force'!$D:$J,7,0)</f>
        <v>MR</v>
      </c>
      <c r="E485" s="8">
        <f>VLOOKUP(C485,'[3]Sales Force'!$D:$O,12,0)</f>
        <v>899</v>
      </c>
      <c r="F485" s="8">
        <f>VLOOKUP(B485,'[3]Sales Force'!$D:$L,9,0)</f>
        <v>1015378062</v>
      </c>
      <c r="G485" s="9">
        <f>VLOOKUP(B485,'[3]Sales Force'!$D:$M,10,0)</f>
        <v>45659</v>
      </c>
      <c r="H485" s="8" t="str">
        <f>VLOOKUP(B485,'[3]Sales Force'!$D:$H,5,0)</f>
        <v>P&amp;G Line</v>
      </c>
      <c r="I485" s="8"/>
      <c r="J485" s="8" t="str">
        <f>VLOOKUP(B485,'[3]Sales Force'!$D:$P,13,0)</f>
        <v>Tookh</v>
      </c>
    </row>
    <row r="486" spans="1:10">
      <c r="A486" s="5">
        <v>1467</v>
      </c>
      <c r="B486" s="13" t="s">
        <v>442</v>
      </c>
      <c r="C486" s="8" t="str">
        <f>VLOOKUP(B486,'[3]Sales Force'!$D:$E,2,0)</f>
        <v>Sara Ibrahim Mohamed</v>
      </c>
      <c r="D486" s="8" t="str">
        <f>VLOOKUP(B486,'[3]Sales Force'!$D:$J,7,0)</f>
        <v>MR</v>
      </c>
      <c r="E486" s="8">
        <f>VLOOKUP(C486,'[3]Sales Force'!$D:$O,12,0)</f>
        <v>899</v>
      </c>
      <c r="F486" s="8">
        <f>VLOOKUP(B486,'[3]Sales Force'!$D:$L,9,0)</f>
        <v>1016697195</v>
      </c>
      <c r="G486" s="9">
        <f>VLOOKUP(B486,'[3]Sales Force'!$D:$M,10,0)</f>
        <v>45629</v>
      </c>
      <c r="H486" s="8" t="str">
        <f>VLOOKUP(B486,'[3]Sales Force'!$D:$H,5,0)</f>
        <v>P&amp;G Line</v>
      </c>
      <c r="I486" s="8"/>
      <c r="J486" s="8" t="str">
        <f>VLOOKUP(B486,'[3]Sales Force'!$D:$P,13,0)</f>
        <v>Banha - Atreeb</v>
      </c>
    </row>
    <row r="487" spans="1:10">
      <c r="A487" s="5">
        <v>1912</v>
      </c>
      <c r="B487" s="14" t="s">
        <v>664</v>
      </c>
      <c r="C487" s="8" t="str">
        <f>VLOOKUP(B487,'[3]Sales Force'!$D:$E,2,0)</f>
        <v>Sara Ibrahim Mohamed</v>
      </c>
      <c r="D487" s="8" t="str">
        <f>VLOOKUP(B487,'[3]Sales Force'!$D:$J,7,0)</f>
        <v>MR</v>
      </c>
      <c r="E487" s="8">
        <f>VLOOKUP(C487,'[3]Sales Force'!$D:$O,12,0)</f>
        <v>899</v>
      </c>
      <c r="F487" s="8">
        <f>VLOOKUP(B487,'[3]Sales Force'!$D:$L,9,0)</f>
        <v>1119705092</v>
      </c>
      <c r="G487" s="9">
        <f>VLOOKUP(B487,'[3]Sales Force'!$D:$M,10,0)</f>
        <v>46113</v>
      </c>
      <c r="H487" s="8" t="str">
        <f>VLOOKUP(B487,'[3]Sales Force'!$D:$H,5,0)</f>
        <v>P&amp;G Line</v>
      </c>
      <c r="I487" s="8"/>
      <c r="J487" s="8" t="str">
        <f>VLOOKUP(B487,'[3]Sales Force'!$D:$P,13,0)</f>
        <v>Ismaelia City</v>
      </c>
    </row>
    <row r="488" spans="1:10">
      <c r="A488" s="5">
        <v>1860</v>
      </c>
      <c r="B488" s="14" t="s">
        <v>455</v>
      </c>
      <c r="C488" s="8" t="str">
        <f>VLOOKUP(B488,'[3]Sales Force'!$D:$E,2,0)</f>
        <v>Sara Ibrahim Mohamed</v>
      </c>
      <c r="D488" s="8" t="str">
        <f>VLOOKUP(B488,'[3]Sales Force'!$D:$J,7,0)</f>
        <v>MR</v>
      </c>
      <c r="E488" s="8">
        <f>VLOOKUP(C488,'[3]Sales Force'!$D:$O,12,0)</f>
        <v>899</v>
      </c>
      <c r="F488" s="8">
        <f>VLOOKUP(B488,'[3]Sales Force'!$D:$L,9,0)</f>
        <v>1281864556</v>
      </c>
      <c r="G488" s="9">
        <f>VLOOKUP(B488,'[3]Sales Force'!$D:$M,10,0)</f>
        <v>46054</v>
      </c>
      <c r="H488" s="8" t="str">
        <f>VLOOKUP(B488,'[3]Sales Force'!$D:$H,5,0)</f>
        <v>P&amp;G Line</v>
      </c>
      <c r="I488" s="8"/>
      <c r="J488" s="8" t="str">
        <f>VLOOKUP(B488,'[3]Sales Force'!$D:$P,13,0)</f>
        <v>Belbais</v>
      </c>
    </row>
    <row r="489" spans="1:10">
      <c r="A489" s="5">
        <v>1449</v>
      </c>
      <c r="B489" s="13" t="s">
        <v>457</v>
      </c>
      <c r="C489" s="8" t="str">
        <f>VLOOKUP(B489,'[3]Sales Force'!$D:$E,2,0)</f>
        <v>Sara Ibrahim Mohamed</v>
      </c>
      <c r="D489" s="8" t="str">
        <f>VLOOKUP(B489,'[3]Sales Force'!$D:$J,7,0)</f>
        <v>MR</v>
      </c>
      <c r="E489" s="8">
        <f>VLOOKUP(C489,'[3]Sales Force'!$D:$O,12,0)</f>
        <v>899</v>
      </c>
      <c r="F489" s="8">
        <f>VLOOKUP(B489,'[3]Sales Force'!$D:$L,9,0)</f>
        <v>1016775394</v>
      </c>
      <c r="G489" s="9">
        <f>VLOOKUP(B489,'[3]Sales Force'!$D:$M,10,0)</f>
        <v>45566</v>
      </c>
      <c r="H489" s="8" t="str">
        <f>VLOOKUP(B489,'[3]Sales Force'!$D:$H,5,0)</f>
        <v>P&amp;G Line</v>
      </c>
      <c r="I489" s="8"/>
      <c r="J489" s="8" t="str">
        <f>VLOOKUP(B489,'[3]Sales Force'!$D:$P,13,0)</f>
        <v>El Zakazik City</v>
      </c>
    </row>
    <row r="490" spans="1:10">
      <c r="A490" s="5">
        <v>1494</v>
      </c>
      <c r="B490" s="13" t="s">
        <v>458</v>
      </c>
      <c r="C490" s="8" t="str">
        <f>VLOOKUP(B490,'[3]Sales Force'!$D:$E,2,0)</f>
        <v>Sara Ibrahim Mohamed</v>
      </c>
      <c r="D490" s="8" t="str">
        <f>VLOOKUP(B490,'[3]Sales Force'!$D:$J,7,0)</f>
        <v>MR</v>
      </c>
      <c r="E490" s="8">
        <f>VLOOKUP(C490,'[3]Sales Force'!$D:$O,12,0)</f>
        <v>899</v>
      </c>
      <c r="F490" s="8">
        <f>VLOOKUP(B490,'[3]Sales Force'!$D:$L,9,0)</f>
        <v>1096051829</v>
      </c>
      <c r="G490" s="9">
        <f>VLOOKUP(B490,'[3]Sales Force'!$D:$M,10,0)</f>
        <v>45658</v>
      </c>
      <c r="H490" s="8" t="str">
        <f>VLOOKUP(B490,'[3]Sales Force'!$D:$H,5,0)</f>
        <v>P&amp;G Line</v>
      </c>
      <c r="I490" s="8"/>
      <c r="J490" s="8" t="str">
        <f>VLOOKUP(B490,'[3]Sales Force'!$D:$P,13,0)</f>
        <v>Fakoos</v>
      </c>
    </row>
    <row r="491" spans="1:10">
      <c r="A491" s="5">
        <v>1939</v>
      </c>
      <c r="B491" s="16" t="s">
        <v>665</v>
      </c>
      <c r="C491" s="8" t="str">
        <f>VLOOKUP(B491,'[3]Sales Force'!$D:$G,4,0)</f>
        <v>Abdallah Gamal Elsayed</v>
      </c>
      <c r="D491" s="8" t="str">
        <f>VLOOKUP(B491,'[3]Sales Force'!$D:$J,7,0)</f>
        <v>AM</v>
      </c>
      <c r="E491" s="8">
        <f>VLOOKUP(C491,'[3]Sales Force'!$D:$O,12,0)</f>
        <v>160</v>
      </c>
      <c r="F491" s="8">
        <f>VLOOKUP(B491,'[3]Sales Force'!$D:$L,9,0)</f>
        <v>1277992010</v>
      </c>
      <c r="G491" s="9">
        <f>VLOOKUP(B491,'[3]Sales Force'!$D:$M,10,0)</f>
        <v>46127</v>
      </c>
      <c r="H491" s="8" t="str">
        <f>VLOOKUP(B491,'[3]Sales Force'!$D:$H,5,0)</f>
        <v>P&amp;G Line</v>
      </c>
      <c r="I491" s="8"/>
      <c r="J491" s="8" t="str">
        <f>VLOOKUP(B491,'[3]Sales Force'!$D:$P,13,0)</f>
        <v>Damnhour</v>
      </c>
    </row>
    <row r="492" spans="1:10">
      <c r="A492" s="5">
        <v>1145</v>
      </c>
      <c r="B492" s="15" t="s">
        <v>432</v>
      </c>
      <c r="C492" s="8" t="str">
        <f>VLOOKUP(B492,'[3]Sales Force'!$D:$F,3,0)</f>
        <v>Omar Raafat Neaem</v>
      </c>
      <c r="D492" s="8" t="str">
        <f>VLOOKUP(B492,'[3]Sales Force'!$D:$J,7,0)</f>
        <v>DM</v>
      </c>
      <c r="E492" s="8">
        <f>VLOOKUP(C492,'[3]Sales Force'!$D:$O,12,0)</f>
        <v>1939</v>
      </c>
      <c r="F492" s="8">
        <f>VLOOKUP(B492,'[3]Sales Force'!$D:$L,9,0)</f>
        <v>1026130303</v>
      </c>
      <c r="G492" s="9">
        <f>VLOOKUP(B492,'[3]Sales Force'!$D:$M,10,0)</f>
        <v>44968</v>
      </c>
      <c r="H492" s="8" t="str">
        <f>VLOOKUP(B492,'[3]Sales Force'!$D:$H,5,0)</f>
        <v>P&amp;G Line</v>
      </c>
      <c r="I492" s="8"/>
      <c r="J492" s="8" t="str">
        <f>VLOOKUP(B492,'[3]Sales Force'!$D:$P,13,0)</f>
        <v>el Asafra</v>
      </c>
    </row>
    <row r="493" spans="1:10">
      <c r="A493" s="5">
        <v>1490</v>
      </c>
      <c r="B493" s="13" t="s">
        <v>459</v>
      </c>
      <c r="C493" s="8" t="str">
        <f>VLOOKUP(B493,'[3]Sales Force'!$D:$E,2,0)</f>
        <v>Esraa Ahmed Sayed</v>
      </c>
      <c r="D493" s="8" t="str">
        <f>VLOOKUP(B493,'[3]Sales Force'!$D:$J,7,0)</f>
        <v>MR</v>
      </c>
      <c r="E493" s="8">
        <f>VLOOKUP(C493,'[3]Sales Force'!$D:$O,12,0)</f>
        <v>1145</v>
      </c>
      <c r="F493" s="8">
        <f>VLOOKUP(B493,'[3]Sales Force'!$D:$L,9,0)</f>
        <v>1002078972</v>
      </c>
      <c r="G493" s="9">
        <f>VLOOKUP(B493,'[3]Sales Force'!$D:$M,10,0)</f>
        <v>45661</v>
      </c>
      <c r="H493" s="8" t="str">
        <f>VLOOKUP(B493,'[3]Sales Force'!$D:$H,5,0)</f>
        <v>P&amp;G Line</v>
      </c>
      <c r="I493" s="8"/>
      <c r="J493" s="8"/>
    </row>
    <row r="494" spans="1:10">
      <c r="A494" s="5">
        <v>1462</v>
      </c>
      <c r="B494" s="13" t="s">
        <v>460</v>
      </c>
      <c r="C494" s="8" t="str">
        <f>VLOOKUP(B494,'[3]Sales Force'!$D:$E,2,0)</f>
        <v>Esraa Ahmed Sayed</v>
      </c>
      <c r="D494" s="8" t="str">
        <f>VLOOKUP(B494,'[3]Sales Force'!$D:$J,7,0)</f>
        <v>MR</v>
      </c>
      <c r="E494" s="8">
        <f>VLOOKUP(C494,'[3]Sales Force'!$D:$O,12,0)</f>
        <v>1145</v>
      </c>
      <c r="F494" s="8">
        <f>VLOOKUP(B494,'[3]Sales Force'!$D:$L,9,0)</f>
        <v>1094959623</v>
      </c>
      <c r="G494" s="9">
        <f>VLOOKUP(B494,'[3]Sales Force'!$D:$M,10,0)</f>
        <v>45627</v>
      </c>
      <c r="H494" s="8" t="str">
        <f>VLOOKUP(B494,'[3]Sales Force'!$D:$H,5,0)</f>
        <v>P&amp;G Line</v>
      </c>
      <c r="I494" s="8"/>
      <c r="J494" s="8"/>
    </row>
    <row r="495" spans="1:10">
      <c r="A495" s="5">
        <v>1583</v>
      </c>
      <c r="B495" s="13" t="s">
        <v>461</v>
      </c>
      <c r="C495" s="8" t="str">
        <f>VLOOKUP(B495,'[3]Sales Force'!$D:$E,2,0)</f>
        <v>Esraa Ahmed Sayed</v>
      </c>
      <c r="D495" s="8" t="str">
        <f>VLOOKUP(B495,'[3]Sales Force'!$D:$J,7,0)</f>
        <v>MR</v>
      </c>
      <c r="E495" s="8">
        <f>VLOOKUP(C495,'[3]Sales Force'!$D:$O,12,0)</f>
        <v>1145</v>
      </c>
      <c r="F495" s="8">
        <f>VLOOKUP(B495,'[3]Sales Force'!$D:$L,9,0)</f>
        <v>1203516434</v>
      </c>
      <c r="G495" s="9">
        <f>VLOOKUP(B495,'[3]Sales Force'!$D:$M,10,0)</f>
        <v>45724</v>
      </c>
      <c r="H495" s="8" t="str">
        <f>VLOOKUP(B495,'[3]Sales Force'!$D:$H,5,0)</f>
        <v>P&amp;G Line</v>
      </c>
      <c r="I495" s="8"/>
      <c r="J495" s="8" t="str">
        <f>VLOOKUP(B495,'[3]Sales Force'!$D:$P,13,0)</f>
        <v>Moharam Bek</v>
      </c>
    </row>
    <row r="496" spans="1:10">
      <c r="A496" s="5">
        <v>1893</v>
      </c>
      <c r="B496" s="14" t="s">
        <v>666</v>
      </c>
      <c r="C496" s="8" t="str">
        <f>VLOOKUP(B496,'[3]Sales Force'!$D:$E,2,0)</f>
        <v>Esraa Ahmed Sayed</v>
      </c>
      <c r="D496" s="8" t="str">
        <f>VLOOKUP(B496,'[3]Sales Force'!$D:$J,7,0)</f>
        <v>MR</v>
      </c>
      <c r="E496" s="8">
        <f>VLOOKUP(C496,'[3]Sales Force'!$D:$O,12,0)</f>
        <v>1145</v>
      </c>
      <c r="F496" s="8">
        <f>VLOOKUP(B496,'[3]Sales Force'!$D:$L,9,0)</f>
        <v>1280772813</v>
      </c>
      <c r="G496" s="9">
        <f>VLOOKUP(B496,'[3]Sales Force'!$D:$M,10,0)</f>
        <v>46082</v>
      </c>
      <c r="H496" s="8" t="str">
        <f>VLOOKUP(B496,'[3]Sales Force'!$D:$H,5,0)</f>
        <v>P&amp;G Line</v>
      </c>
      <c r="I496" s="8"/>
      <c r="J496" s="8" t="str">
        <f>VLOOKUP(B496,'[3]Sales Force'!$D:$P,13,0)</f>
        <v>El Ebrahemia</v>
      </c>
    </row>
    <row r="497" spans="1:10">
      <c r="A497" s="5">
        <v>1862</v>
      </c>
      <c r="B497" s="14" t="s">
        <v>462</v>
      </c>
      <c r="C497" s="8" t="str">
        <f>VLOOKUP(B497,'[3]Sales Force'!$D:$E,2,0)</f>
        <v>Esraa Ahmed Sayed</v>
      </c>
      <c r="D497" s="8" t="str">
        <f>VLOOKUP(B497,'[3]Sales Force'!$D:$J,7,0)</f>
        <v>MR</v>
      </c>
      <c r="E497" s="8">
        <f>VLOOKUP(C497,'[3]Sales Force'!$D:$O,12,0)</f>
        <v>1145</v>
      </c>
      <c r="F497" s="8">
        <f>VLOOKUP(B497,'[3]Sales Force'!$D:$L,9,0)</f>
        <v>1287376818</v>
      </c>
      <c r="G497" s="9">
        <f>VLOOKUP(B497,'[3]Sales Force'!$D:$M,10,0)</f>
        <v>46060</v>
      </c>
      <c r="H497" s="8" t="str">
        <f>VLOOKUP(B497,'[3]Sales Force'!$D:$H,5,0)</f>
        <v>P&amp;G Line</v>
      </c>
      <c r="I497" s="8"/>
      <c r="J497" s="8" t="str">
        <f>VLOOKUP(B497,'[3]Sales Force'!$D:$P,13,0)</f>
        <v>Abo Yousef</v>
      </c>
    </row>
    <row r="498" spans="1:10">
      <c r="A498" s="5">
        <v>983</v>
      </c>
      <c r="B498" s="13" t="s">
        <v>463</v>
      </c>
      <c r="C498" s="8" t="str">
        <f>VLOOKUP(B498,'[3]Sales Force'!$D:$E,2,0)</f>
        <v>Esraa Ahmed Sayed</v>
      </c>
      <c r="D498" s="8" t="str">
        <f>VLOOKUP(B498,'[3]Sales Force'!$D:$J,7,0)</f>
        <v>MR</v>
      </c>
      <c r="E498" s="8">
        <f>VLOOKUP(C498,'[3]Sales Force'!$D:$O,12,0)</f>
        <v>1145</v>
      </c>
      <c r="F498" s="8" t="str">
        <f>VLOOKUP(B498,'[3]Sales Force'!$D:$L,9,0)</f>
        <v> 1210047610</v>
      </c>
      <c r="G498" s="9">
        <f>VLOOKUP(B498,'[3]Sales Force'!$D:$M,10,0)</f>
        <v>44779</v>
      </c>
      <c r="H498" s="8" t="str">
        <f>VLOOKUP(B498,'[3]Sales Force'!$D:$H,5,0)</f>
        <v>P&amp;G Line</v>
      </c>
      <c r="I498" s="8"/>
      <c r="J498" s="8" t="str">
        <f>VLOOKUP(B498,'[3]Sales Force'!$D:$P,13,0)</f>
        <v>El Awaied</v>
      </c>
    </row>
    <row r="499" spans="1:10">
      <c r="A499" s="5">
        <v>88</v>
      </c>
      <c r="B499" s="12" t="s">
        <v>464</v>
      </c>
      <c r="C499" s="8" t="str">
        <f>VLOOKUP(B499,'[3]Sales Force'!$D:$F,3,0)</f>
        <v>Omar Raafat Neaem</v>
      </c>
      <c r="D499" s="8" t="str">
        <f>VLOOKUP(B499,'[3]Sales Force'!$D:$J,7,0)</f>
        <v>DM</v>
      </c>
      <c r="E499" s="8">
        <f>VLOOKUP(C499,'[3]Sales Force'!$D:$O,12,0)</f>
        <v>1939</v>
      </c>
      <c r="F499" s="8" t="str">
        <f>VLOOKUP(B499,'[3]Sales Force'!$D:$L,9,0)</f>
        <v> 01117908271</v>
      </c>
      <c r="G499" s="9">
        <f>VLOOKUP(B499,'[3]Sales Force'!$D:$M,10,0)</f>
        <v>41856</v>
      </c>
      <c r="H499" s="8" t="str">
        <f>VLOOKUP(B499,'[3]Sales Force'!$D:$H,5,0)</f>
        <v>P&amp;G Line</v>
      </c>
      <c r="I499" s="8" t="str">
        <f>VLOOKUP(B499,'[3]Sales Force'!$D:$N,11,0)</f>
        <v>Omnia.Sobhy.Elgamal@averroes-eg.com</v>
      </c>
      <c r="J499" s="8" t="str">
        <f>VLOOKUP(B499,'[3]Sales Force'!$D:$P,13,0)</f>
        <v>Fowa</v>
      </c>
    </row>
    <row r="500" spans="1:10">
      <c r="A500" s="5">
        <v>518</v>
      </c>
      <c r="B500" s="13" t="s">
        <v>465</v>
      </c>
      <c r="C500" s="8" t="str">
        <f>VLOOKUP(B500,'[3]Sales Force'!$D:$E,2,0)</f>
        <v>Omnia Sobhy Elgamal</v>
      </c>
      <c r="D500" s="8" t="str">
        <f>VLOOKUP(B500,'[3]Sales Force'!$D:$J,7,0)</f>
        <v>MR</v>
      </c>
      <c r="E500" s="8">
        <f>VLOOKUP(C500,'[3]Sales Force'!$D:$O,12,0)</f>
        <v>88</v>
      </c>
      <c r="F500" s="8" t="str">
        <f>VLOOKUP(B500,'[3]Sales Force'!$D:$L,9,0)</f>
        <v> 1050111226</v>
      </c>
      <c r="G500" s="9">
        <f>VLOOKUP(B500,'[3]Sales Force'!$D:$M,10,0)</f>
        <v>43841</v>
      </c>
      <c r="H500" s="8" t="str">
        <f>VLOOKUP(B500,'[3]Sales Force'!$D:$H,5,0)</f>
        <v>P&amp;G Line</v>
      </c>
      <c r="I500" s="8"/>
      <c r="J500" s="8" t="str">
        <f>VLOOKUP(B500,'[3]Sales Force'!$D:$P,13,0)</f>
        <v>Desouk</v>
      </c>
    </row>
    <row r="501" spans="1:10">
      <c r="A501" s="5">
        <v>1872</v>
      </c>
      <c r="B501" s="14" t="s">
        <v>667</v>
      </c>
      <c r="C501" s="8" t="str">
        <f>VLOOKUP(B501,'[3]Sales Force'!$D:$E,2,0)</f>
        <v>Omnia Sobhy Elgamal</v>
      </c>
      <c r="D501" s="8" t="str">
        <f>VLOOKUP(B501,'[3]Sales Force'!$D:$J,7,0)</f>
        <v>MR</v>
      </c>
      <c r="E501" s="8">
        <f>VLOOKUP(C501,'[3]Sales Force'!$D:$O,12,0)</f>
        <v>88</v>
      </c>
      <c r="F501" s="8">
        <f>VLOOKUP(B501,'[3]Sales Force'!$D:$L,9,0)</f>
        <v>1098506064</v>
      </c>
      <c r="G501" s="9">
        <f>VLOOKUP(B501,'[3]Sales Force'!$D:$M,10,0)</f>
        <v>46068</v>
      </c>
      <c r="H501" s="8" t="str">
        <f>VLOOKUP(B501,'[3]Sales Force'!$D:$H,5,0)</f>
        <v>P&amp;G Line</v>
      </c>
      <c r="I501" s="8"/>
      <c r="J501" s="8" t="str">
        <f>VLOOKUP(B501,'[3]Sales Force'!$D:$P,13,0)</f>
        <v>Housh Easa</v>
      </c>
    </row>
    <row r="502" spans="1:10">
      <c r="A502" s="5">
        <v>1876</v>
      </c>
      <c r="B502" s="14" t="s">
        <v>668</v>
      </c>
      <c r="C502" s="8" t="str">
        <f>VLOOKUP(B502,'[3]Sales Force'!$D:$E,2,0)</f>
        <v>Omnia Sobhy Elgamal</v>
      </c>
      <c r="D502" s="8" t="str">
        <f>VLOOKUP(B502,'[3]Sales Force'!$D:$J,7,0)</f>
        <v>MR</v>
      </c>
      <c r="E502" s="8">
        <f>VLOOKUP(C502,'[3]Sales Force'!$D:$O,12,0)</f>
        <v>88</v>
      </c>
      <c r="F502" s="8">
        <f>VLOOKUP(B502,'[3]Sales Force'!$D:$L,9,0)</f>
        <v>1020196338</v>
      </c>
      <c r="G502" s="9">
        <f>VLOOKUP(B502,'[3]Sales Force'!$D:$M,10,0)</f>
        <v>46061</v>
      </c>
      <c r="H502" s="8" t="str">
        <f>VLOOKUP(B502,'[3]Sales Force'!$D:$H,5,0)</f>
        <v>P&amp;G Line</v>
      </c>
      <c r="I502" s="8"/>
      <c r="J502" s="8" t="str">
        <f>VLOOKUP(B502,'[3]Sales Force'!$D:$P,13,0)</f>
        <v>Shobrakheet</v>
      </c>
    </row>
    <row r="503" spans="1:10">
      <c r="A503" s="5">
        <v>1006</v>
      </c>
      <c r="B503" s="13" t="s">
        <v>468</v>
      </c>
      <c r="C503" s="8" t="str">
        <f>VLOOKUP(B503,'[3]Sales Force'!$D:$E,2,0)</f>
        <v>Omnia Sobhy Elgamal</v>
      </c>
      <c r="D503" s="8" t="str">
        <f>VLOOKUP(B503,'[3]Sales Force'!$D:$J,7,0)</f>
        <v>MR</v>
      </c>
      <c r="E503" s="8">
        <f>VLOOKUP(C503,'[3]Sales Force'!$D:$O,12,0)</f>
        <v>88</v>
      </c>
      <c r="F503" s="8" t="str">
        <f>VLOOKUP(B503,'[3]Sales Force'!$D:$L,9,0)</f>
        <v> 1013457529</v>
      </c>
      <c r="G503" s="9">
        <f>VLOOKUP(B503,'[3]Sales Force'!$D:$M,10,0)</f>
        <v>44835</v>
      </c>
      <c r="H503" s="8" t="str">
        <f>VLOOKUP(B503,'[3]Sales Force'!$D:$H,5,0)</f>
        <v>P&amp;G Line</v>
      </c>
      <c r="I503" s="8"/>
      <c r="J503" s="8" t="str">
        <f>VLOOKUP(B503,'[3]Sales Force'!$D:$P,13,0)</f>
        <v>Etay El Baroud</v>
      </c>
    </row>
    <row r="504" spans="1:10">
      <c r="A504" s="5">
        <v>1761</v>
      </c>
      <c r="B504" s="13" t="s">
        <v>469</v>
      </c>
      <c r="C504" s="8" t="str">
        <f>VLOOKUP(B504,'[3]Sales Force'!$D:$E,2,0)</f>
        <v>Omnia Sobhy Elgamal</v>
      </c>
      <c r="D504" s="8" t="str">
        <f>VLOOKUP(B504,'[3]Sales Force'!$D:$J,7,0)</f>
        <v>MR</v>
      </c>
      <c r="E504" s="8">
        <f>VLOOKUP(C504,'[3]Sales Force'!$D:$O,12,0)</f>
        <v>88</v>
      </c>
      <c r="F504" s="8">
        <f>VLOOKUP(B504,'[3]Sales Force'!$D:$L,9,0)</f>
        <v>1061109157</v>
      </c>
      <c r="G504" s="9">
        <f>VLOOKUP(B504,'[3]Sales Force'!$D:$M,10,0)</f>
        <v>45934</v>
      </c>
      <c r="H504" s="8" t="str">
        <f>VLOOKUP(B504,'[3]Sales Force'!$D:$H,5,0)</f>
        <v>P&amp;G Line</v>
      </c>
      <c r="I504" s="8"/>
      <c r="J504" s="8" t="str">
        <f>VLOOKUP(B504,'[3]Sales Force'!$D:$P,13,0)</f>
        <v>Kafr ELSheikh</v>
      </c>
    </row>
    <row r="505" spans="1:10">
      <c r="A505" s="5">
        <v>1571</v>
      </c>
      <c r="B505" s="13" t="s">
        <v>470</v>
      </c>
      <c r="C505" s="8" t="str">
        <f>VLOOKUP(B505,'[3]Sales Force'!$D:$E,2,0)</f>
        <v>Omnia Sobhy Elgamal</v>
      </c>
      <c r="D505" s="8" t="str">
        <f>VLOOKUP(B505,'[3]Sales Force'!$D:$J,7,0)</f>
        <v>MR</v>
      </c>
      <c r="E505" s="8">
        <f>VLOOKUP(C505,'[3]Sales Force'!$D:$O,12,0)</f>
        <v>88</v>
      </c>
      <c r="F505" s="8">
        <f>VLOOKUP(B505,'[3]Sales Force'!$D:$L,9,0)</f>
        <v>1012533711</v>
      </c>
      <c r="G505" s="9">
        <f>VLOOKUP(B505,'[3]Sales Force'!$D:$M,10,0)</f>
        <v>45715</v>
      </c>
      <c r="H505" s="8" t="str">
        <f>VLOOKUP(B505,'[3]Sales Force'!$D:$H,5,0)</f>
        <v>P&amp;G Line</v>
      </c>
      <c r="I505" s="8"/>
      <c r="J505" s="8" t="str">
        <f>VLOOKUP(B505,'[3]Sales Force'!$D:$P,13,0)</f>
        <v>Damnhour</v>
      </c>
    </row>
    <row r="506" spans="1:10">
      <c r="A506" s="5">
        <v>1746</v>
      </c>
      <c r="B506" s="13" t="s">
        <v>471</v>
      </c>
      <c r="C506" s="8" t="str">
        <f>VLOOKUP(B506,'[3]Sales Force'!$D:$E,2,0)</f>
        <v>Omnia Sobhy Elgamal</v>
      </c>
      <c r="D506" s="8" t="str">
        <f>VLOOKUP(B506,'[3]Sales Force'!$D:$J,7,0)</f>
        <v>MR</v>
      </c>
      <c r="E506" s="8">
        <f>VLOOKUP(C506,'[3]Sales Force'!$D:$O,12,0)</f>
        <v>88</v>
      </c>
      <c r="F506" s="8">
        <f>VLOOKUP(B506,'[3]Sales Force'!$D:$L,9,0)</f>
        <v>1004209490</v>
      </c>
      <c r="G506" s="9">
        <f>VLOOKUP(B506,'[3]Sales Force'!$D:$M,10,0)</f>
        <v>45913</v>
      </c>
      <c r="H506" s="8" t="str">
        <f>VLOOKUP(B506,'[3]Sales Force'!$D:$H,5,0)</f>
        <v>P&amp;G Line</v>
      </c>
      <c r="I506" s="8"/>
      <c r="J506" s="8" t="str">
        <f>VLOOKUP(B506,'[3]Sales Force'!$D:$P,13,0)</f>
        <v>Kafr ELSheikh</v>
      </c>
    </row>
    <row r="507" spans="1:10">
      <c r="A507" s="5">
        <v>1941</v>
      </c>
      <c r="B507" s="16" t="s">
        <v>669</v>
      </c>
      <c r="C507" s="8" t="str">
        <f>VLOOKUP(B507,'[3]Sales Force'!$D:$G,4,0)</f>
        <v>Abdallah Gamal Elsayed</v>
      </c>
      <c r="D507" s="8" t="str">
        <f>VLOOKUP(B507,'[3]Sales Force'!$D:$J,7,0)</f>
        <v>AM</v>
      </c>
      <c r="E507" s="8">
        <f>VLOOKUP(C507,'[3]Sales Force'!$D:$O,12,0)</f>
        <v>160</v>
      </c>
      <c r="F507" s="8">
        <f>VLOOKUP(B507,'[3]Sales Force'!$D:$L,9,0)</f>
        <v>1024705548</v>
      </c>
      <c r="G507" s="9">
        <f>VLOOKUP(B507,'[3]Sales Force'!$D:$M,10,0)</f>
        <v>46132</v>
      </c>
      <c r="H507" s="8" t="str">
        <f>VLOOKUP(B507,'[3]Sales Force'!$D:$H,5,0)</f>
        <v>P&amp;G Line</v>
      </c>
      <c r="I507" s="8"/>
      <c r="J507" s="8" t="str">
        <f>VLOOKUP(B507,'[3]Sales Force'!$D:$P,13,0)</f>
        <v>Ain Shams El Sharqeya</v>
      </c>
    </row>
    <row r="508" spans="1:10">
      <c r="A508" s="5">
        <v>1741</v>
      </c>
      <c r="B508" s="12" t="s">
        <v>472</v>
      </c>
      <c r="C508" s="8" t="str">
        <f>VLOOKUP(B508,'[3]Sales Force'!$D:$F,3,0)</f>
        <v>Hamed Maher Ibrahim</v>
      </c>
      <c r="D508" s="8" t="str">
        <f>VLOOKUP(B508,'[3]Sales Force'!$D:$J,7,0)</f>
        <v>DM</v>
      </c>
      <c r="E508" s="8">
        <f>VLOOKUP(C508,'[3]Sales Force'!$D:$O,12,0)</f>
        <v>1941</v>
      </c>
      <c r="F508" s="8">
        <f>VLOOKUP(B508,'[3]Sales Force'!$D:$L,9,0)</f>
        <v>1033889221</v>
      </c>
      <c r="G508" s="9">
        <f>VLOOKUP(B508,'[3]Sales Force'!$D:$M,10,0)</f>
        <v>45901</v>
      </c>
      <c r="H508" s="8" t="str">
        <f>VLOOKUP(B508,'[3]Sales Force'!$D:$H,5,0)</f>
        <v>P&amp;G Line</v>
      </c>
      <c r="I508" s="8" t="str">
        <f>VLOOKUP(B508,'[3]Sales Force'!$D:$N,11,0)</f>
        <v>Abanoub.Samy@averroes-eg.com</v>
      </c>
      <c r="J508" s="8" t="str">
        <f>VLOOKUP(B508,'[3]Sales Force'!$D:$P,13,0)</f>
        <v>NASR CITY II</v>
      </c>
    </row>
    <row r="509" spans="1:10">
      <c r="A509" s="5">
        <v>1760</v>
      </c>
      <c r="B509" s="13" t="s">
        <v>473</v>
      </c>
      <c r="C509" s="8" t="str">
        <f>VLOOKUP(B509,'[3]Sales Force'!$D:$E,2,0)</f>
        <v>Abanoub Samy Mounir</v>
      </c>
      <c r="D509" s="8" t="str">
        <f>VLOOKUP(B509,'[3]Sales Force'!$D:$J,7,0)</f>
        <v>MR</v>
      </c>
      <c r="E509" s="8">
        <f>VLOOKUP(C509,'[3]Sales Force'!$D:$O,12,0)</f>
        <v>1741</v>
      </c>
      <c r="F509" s="8">
        <f>VLOOKUP(B509,'[3]Sales Force'!$D:$L,9,0)</f>
        <v>1090275490</v>
      </c>
      <c r="G509" s="9">
        <f>VLOOKUP(B509,'[3]Sales Force'!$D:$M,10,0)</f>
        <v>45931</v>
      </c>
      <c r="H509" s="8" t="str">
        <f>VLOOKUP(B509,'[3]Sales Force'!$D:$H,5,0)</f>
        <v>P&amp;G Line</v>
      </c>
      <c r="I509" s="8"/>
      <c r="J509" s="8" t="str">
        <f>VLOOKUP(B509,'[3]Sales Force'!$D:$P,13,0)</f>
        <v>el marg</v>
      </c>
    </row>
    <row r="510" spans="1:10">
      <c r="A510" s="5">
        <v>1757</v>
      </c>
      <c r="B510" s="13" t="s">
        <v>474</v>
      </c>
      <c r="C510" s="8" t="str">
        <f>VLOOKUP(B510,'[3]Sales Force'!$D:$E,2,0)</f>
        <v>Abanoub Samy Mounir</v>
      </c>
      <c r="D510" s="8" t="str">
        <f>VLOOKUP(B510,'[3]Sales Force'!$D:$J,7,0)</f>
        <v>MR</v>
      </c>
      <c r="E510" s="8">
        <f>VLOOKUP(C510,'[3]Sales Force'!$D:$O,12,0)</f>
        <v>1741</v>
      </c>
      <c r="F510" s="8" t="str">
        <f>VLOOKUP(B510,'[3]Sales Force'!$D:$L,9,0)</f>
        <v>0114 8631822</v>
      </c>
      <c r="G510" s="9">
        <f>VLOOKUP(B510,'[3]Sales Force'!$D:$M,10,0)</f>
        <v>45931</v>
      </c>
      <c r="H510" s="8" t="str">
        <f>VLOOKUP(B510,'[3]Sales Force'!$D:$H,5,0)</f>
        <v>P&amp;G Line</v>
      </c>
      <c r="I510" s="8"/>
      <c r="J510" s="8" t="str">
        <f>VLOOKUP(B510,'[3]Sales Force'!$D:$P,13,0)</f>
        <v>Abbaseya</v>
      </c>
    </row>
    <row r="511" spans="1:10">
      <c r="A511" s="5">
        <v>1465</v>
      </c>
      <c r="B511" s="13" t="s">
        <v>475</v>
      </c>
      <c r="C511" s="8" t="str">
        <f>VLOOKUP(B511,'[3]Sales Force'!$D:$E,2,0)</f>
        <v>Abanoub Samy Mounir</v>
      </c>
      <c r="D511" s="8" t="str">
        <f>VLOOKUP(B511,'[3]Sales Force'!$D:$J,7,0)</f>
        <v>MR</v>
      </c>
      <c r="E511" s="8">
        <f>VLOOKUP(C511,'[3]Sales Force'!$D:$O,12,0)</f>
        <v>1741</v>
      </c>
      <c r="F511" s="8">
        <f>VLOOKUP(B511,'[3]Sales Force'!$D:$L,9,0)</f>
        <v>1004601149</v>
      </c>
      <c r="G511" s="9">
        <f>VLOOKUP(B511,'[3]Sales Force'!$D:$M,10,0)</f>
        <v>45627</v>
      </c>
      <c r="H511" s="8" t="str">
        <f>VLOOKUP(B511,'[3]Sales Force'!$D:$H,5,0)</f>
        <v>P&amp;G Line</v>
      </c>
      <c r="I511" s="8"/>
      <c r="J511" s="8" t="str">
        <f>VLOOKUP(B511,'[3]Sales Force'!$D:$P,13,0)</f>
        <v>ELMATARIA - CAIRO</v>
      </c>
    </row>
    <row r="512" spans="1:10">
      <c r="A512" s="5">
        <v>1625</v>
      </c>
      <c r="B512" s="13" t="s">
        <v>476</v>
      </c>
      <c r="C512" s="8" t="str">
        <f>VLOOKUP(B512,'[3]Sales Force'!$D:$E,2,0)</f>
        <v>Abanoub Samy Mounir</v>
      </c>
      <c r="D512" s="8" t="str">
        <f>VLOOKUP(B512,'[3]Sales Force'!$D:$J,7,0)</f>
        <v>MR</v>
      </c>
      <c r="E512" s="8">
        <f>VLOOKUP(C512,'[3]Sales Force'!$D:$O,12,0)</f>
        <v>1741</v>
      </c>
      <c r="F512" s="8">
        <f>VLOOKUP(B512,'[3]Sales Force'!$D:$L,9,0)</f>
        <v>1020545018</v>
      </c>
      <c r="G512" s="9">
        <f>VLOOKUP(B512,'[3]Sales Force'!$D:$M,10,0)</f>
        <v>45780</v>
      </c>
      <c r="H512" s="8" t="str">
        <f>VLOOKUP(B512,'[3]Sales Force'!$D:$H,5,0)</f>
        <v>P&amp;G Line</v>
      </c>
      <c r="I512" s="8"/>
      <c r="J512" s="8" t="str">
        <f>VLOOKUP(B512,'[3]Sales Force'!$D:$P,13,0)</f>
        <v>Madenet El Salam</v>
      </c>
    </row>
    <row r="513" spans="1:10">
      <c r="A513" s="5">
        <v>1940</v>
      </c>
      <c r="B513" s="14" t="s">
        <v>670</v>
      </c>
      <c r="C513" s="8" t="str">
        <f>VLOOKUP(B513,'[3]Sales Force'!$D:$E,2,0)</f>
        <v>Abanoub Samy Mounir</v>
      </c>
      <c r="D513" s="8" t="str">
        <f>VLOOKUP(B513,'[3]Sales Force'!$D:$J,7,0)</f>
        <v>MR</v>
      </c>
      <c r="E513" s="8">
        <f>VLOOKUP(C513,'[3]Sales Force'!$D:$O,12,0)</f>
        <v>1741</v>
      </c>
      <c r="F513" s="8">
        <f>VLOOKUP(B513,'[3]Sales Force'!$D:$L,9,0)</f>
        <v>1158713938</v>
      </c>
      <c r="G513" s="9">
        <f>VLOOKUP(B513,'[3]Sales Force'!$D:$M,10,0)</f>
        <v>46126</v>
      </c>
      <c r="H513" s="8" t="str">
        <f>VLOOKUP(B513,'[3]Sales Force'!$D:$H,5,0)</f>
        <v>P&amp;G Line</v>
      </c>
      <c r="I513" s="8"/>
      <c r="J513" s="8" t="str">
        <f>VLOOKUP(B513,'[3]Sales Force'!$D:$P,13,0)</f>
        <v>NASR CITY II</v>
      </c>
    </row>
    <row r="514" spans="1:10">
      <c r="A514" s="5">
        <v>595</v>
      </c>
      <c r="B514" s="12" t="s">
        <v>478</v>
      </c>
      <c r="C514" s="8" t="str">
        <f>VLOOKUP(B514,'[3]Sales Force'!$D:$F,3,0)</f>
        <v>Hamed Maher Ibrahim</v>
      </c>
      <c r="D514" s="8" t="str">
        <f>VLOOKUP(B514,'[3]Sales Force'!$D:$J,7,0)</f>
        <v>DM</v>
      </c>
      <c r="E514" s="8">
        <f>VLOOKUP(C514,'[3]Sales Force'!$D:$O,12,0)</f>
        <v>1941</v>
      </c>
      <c r="F514" s="8" t="str">
        <f>VLOOKUP(B514,'[3]Sales Force'!$D:$L,9,0)</f>
        <v> 01030098100</v>
      </c>
      <c r="G514" s="9">
        <f>VLOOKUP(B514,'[3]Sales Force'!$D:$M,10,0)</f>
        <v>43864</v>
      </c>
      <c r="H514" s="8" t="str">
        <f>VLOOKUP(B514,'[3]Sales Force'!$D:$H,5,0)</f>
        <v>P&amp;G Line</v>
      </c>
      <c r="I514" s="8" t="str">
        <f>VLOOKUP(B514,'[3]Sales Force'!$D:$N,11,0)</f>
        <v>mohamed.ezat@averroes-eg.com</v>
      </c>
      <c r="J514" s="8" t="str">
        <f>VLOOKUP(B514,'[3]Sales Force'!$D:$P,13,0)</f>
        <v>El Sheikh Zayed</v>
      </c>
    </row>
    <row r="515" spans="1:10">
      <c r="A515" s="5">
        <v>1865</v>
      </c>
      <c r="B515" s="14" t="s">
        <v>479</v>
      </c>
      <c r="C515" s="8" t="str">
        <f>VLOOKUP(B515,'[3]Sales Force'!$D:$E,2,0)</f>
        <v>Mohamed Ezzat Hassan</v>
      </c>
      <c r="D515" s="8" t="str">
        <f>VLOOKUP(B515,'[3]Sales Force'!$D:$J,7,0)</f>
        <v>MR</v>
      </c>
      <c r="E515" s="8">
        <f>VLOOKUP(C515,'[3]Sales Force'!$D:$O,12,0)</f>
        <v>595</v>
      </c>
      <c r="F515" s="8">
        <f>VLOOKUP(B515,'[3]Sales Force'!$D:$L,9,0)</f>
        <v>1273953409</v>
      </c>
      <c r="G515" s="9">
        <f>VLOOKUP(B515,'[3]Sales Force'!$D:$M,10,0)</f>
        <v>46057</v>
      </c>
      <c r="H515" s="8" t="str">
        <f>VLOOKUP(B515,'[3]Sales Force'!$D:$H,5,0)</f>
        <v>P&amp;G Line</v>
      </c>
      <c r="I515" s="8"/>
      <c r="J515" s="8" t="str">
        <f>VLOOKUP(B515,'[3]Sales Force'!$D:$P,13,0)</f>
        <v>Dokki</v>
      </c>
    </row>
    <row r="516" spans="1:10">
      <c r="A516" s="5">
        <v>1929</v>
      </c>
      <c r="B516" s="14" t="s">
        <v>671</v>
      </c>
      <c r="C516" s="8" t="str">
        <f>VLOOKUP(B516,'[3]Sales Force'!$D:$E,2,0)</f>
        <v>Mohamed Ezzat Hassan</v>
      </c>
      <c r="D516" s="8" t="str">
        <f>VLOOKUP(B516,'[3]Sales Force'!$D:$J,7,0)</f>
        <v>MR</v>
      </c>
      <c r="E516" s="8">
        <f>VLOOKUP(C516,'[3]Sales Force'!$D:$O,12,0)</f>
        <v>595</v>
      </c>
      <c r="F516" s="8">
        <f>VLOOKUP(B516,'[3]Sales Force'!$D:$L,9,0)</f>
        <v>1127846411</v>
      </c>
      <c r="G516" s="9">
        <f>VLOOKUP(B516,'[3]Sales Force'!$D:$M,10,0)</f>
        <v>46113</v>
      </c>
      <c r="H516" s="8" t="str">
        <f>VLOOKUP(B516,'[3]Sales Force'!$D:$H,5,0)</f>
        <v>P&amp;G Line</v>
      </c>
      <c r="I516" s="8"/>
      <c r="J516" s="8" t="str">
        <f>VLOOKUP(B516,'[3]Sales Force'!$D:$P,13,0)</f>
        <v>Faisal</v>
      </c>
    </row>
    <row r="517" spans="1:10">
      <c r="A517" s="5">
        <v>1948</v>
      </c>
      <c r="B517" s="14" t="s">
        <v>672</v>
      </c>
      <c r="C517" s="8" t="str">
        <f>VLOOKUP(B517,'[3]Sales Force'!$D:$E,2,0)</f>
        <v>Mohamed Ezzat Hassan</v>
      </c>
      <c r="D517" s="8" t="str">
        <f>VLOOKUP(B517,'[3]Sales Force'!$D:$J,7,0)</f>
        <v>MR</v>
      </c>
      <c r="E517" s="8">
        <f>VLOOKUP(C517,'[3]Sales Force'!$D:$O,12,0)</f>
        <v>595</v>
      </c>
      <c r="F517" s="8">
        <f>VLOOKUP(B517,'[3]Sales Force'!$D:$L,9,0)</f>
        <v>1120732889</v>
      </c>
      <c r="G517" s="9">
        <f>VLOOKUP(B517,'[3]Sales Force'!$D:$M,10,0)</f>
        <v>46140</v>
      </c>
      <c r="H517" s="8" t="str">
        <f>VLOOKUP(B517,'[3]Sales Force'!$D:$H,5,0)</f>
        <v>P&amp;G Line</v>
      </c>
      <c r="I517" s="8"/>
      <c r="J517" s="8" t="str">
        <f>VLOOKUP(B517,'[3]Sales Force'!$D:$P,13,0)</f>
        <v>El Haram</v>
      </c>
    </row>
    <row r="518" spans="1:10">
      <c r="A518" s="5">
        <v>1519</v>
      </c>
      <c r="B518" s="13" t="s">
        <v>480</v>
      </c>
      <c r="C518" s="8" t="str">
        <f>VLOOKUP(B518,'[3]Sales Force'!$D:$E,2,0)</f>
        <v>Mohamed Ezzat Hassan</v>
      </c>
      <c r="D518" s="8" t="str">
        <f>VLOOKUP(B518,'[3]Sales Force'!$D:$J,7,0)</f>
        <v>MR</v>
      </c>
      <c r="E518" s="8">
        <f>VLOOKUP(C518,'[3]Sales Force'!$D:$O,12,0)</f>
        <v>595</v>
      </c>
      <c r="F518" s="8">
        <f>VLOOKUP(B518,'[3]Sales Force'!$D:$L,9,0)</f>
        <v>1090567380</v>
      </c>
      <c r="G518" s="9">
        <f>VLOOKUP(B518,'[3]Sales Force'!$D:$M,10,0)</f>
        <v>45690</v>
      </c>
      <c r="H518" s="8" t="str">
        <f>VLOOKUP(B518,'[3]Sales Force'!$D:$H,5,0)</f>
        <v>P&amp;G Line</v>
      </c>
      <c r="I518" s="8"/>
      <c r="J518" s="8" t="str">
        <f>VLOOKUP(B518,'[3]Sales Force'!$D:$P,13,0)</f>
        <v>6th of October City</v>
      </c>
    </row>
    <row r="519" spans="1:10">
      <c r="A519" s="5">
        <v>1950</v>
      </c>
      <c r="B519" s="14" t="s">
        <v>673</v>
      </c>
      <c r="C519" s="8" t="str">
        <f>VLOOKUP(B519,'[3]Sales Force'!$D:$E,2,0)</f>
        <v>Mohamed Ezzat Hassan</v>
      </c>
      <c r="D519" s="8" t="str">
        <f>VLOOKUP(B519,'[3]Sales Force'!$D:$J,7,0)</f>
        <v>MR</v>
      </c>
      <c r="E519" s="8">
        <f>VLOOKUP(C519,'[3]Sales Force'!$D:$O,12,0)</f>
        <v>595</v>
      </c>
      <c r="F519" s="8">
        <f>VLOOKUP(B519,'[3]Sales Force'!$D:$L,9,0)</f>
        <v>1024829888</v>
      </c>
      <c r="G519" s="9">
        <f>VLOOKUP(B519,'[3]Sales Force'!$D:$M,10,0)</f>
        <v>46143</v>
      </c>
      <c r="H519" s="8" t="str">
        <f>VLOOKUP(B519,'[3]Sales Force'!$D:$H,5,0)</f>
        <v>P&amp;G Line</v>
      </c>
      <c r="I519" s="8"/>
      <c r="J519" s="8" t="str">
        <f>VLOOKUP(B519,'[3]Sales Force'!$D:$P,13,0)</f>
        <v>Midan El Giza</v>
      </c>
    </row>
    <row r="520" spans="1:10">
      <c r="A520" s="5">
        <v>792</v>
      </c>
      <c r="B520" s="12" t="s">
        <v>481</v>
      </c>
      <c r="C520" s="8" t="str">
        <f>VLOOKUP(B520,'[3]Sales Force'!$D:$F,3,0)</f>
        <v>Hamed Maher Ibrahim</v>
      </c>
      <c r="D520" s="8" t="str">
        <f>VLOOKUP(B520,'[3]Sales Force'!$D:$J,7,0)</f>
        <v>DM</v>
      </c>
      <c r="E520" s="8">
        <f>VLOOKUP(C520,'[3]Sales Force'!$D:$O,12,0)</f>
        <v>1941</v>
      </c>
      <c r="F520" s="8">
        <f>VLOOKUP(B520,'[3]Sales Force'!$D:$L,9,0)</f>
        <v>1118607892</v>
      </c>
      <c r="G520" s="9">
        <f>VLOOKUP(B520,'[3]Sales Force'!$D:$M,10,0)</f>
        <v>44362</v>
      </c>
      <c r="H520" s="8" t="str">
        <f>VLOOKUP(B520,'[3]Sales Force'!$D:$H,5,0)</f>
        <v>P&amp;G Line</v>
      </c>
      <c r="I520" s="8" t="str">
        <f>VLOOKUP(B520,'[3]Sales Force'!$D:$N,11,0)</f>
        <v>Waleed.Nageh.AboZeid@averroes-eg.com</v>
      </c>
      <c r="J520" s="8" t="str">
        <f>VLOOKUP(B520,'[3]Sales Force'!$D:$P,13,0)</f>
        <v>DAR ELSALAM - CAIRO</v>
      </c>
    </row>
    <row r="521" spans="1:10">
      <c r="A521" s="5">
        <v>1754</v>
      </c>
      <c r="B521" s="13" t="s">
        <v>482</v>
      </c>
      <c r="C521" s="8" t="str">
        <f>VLOOKUP(B521,'[3]Sales Force'!$D:$E,2,0)</f>
        <v>Waleed Nageh AboZeid</v>
      </c>
      <c r="D521" s="8" t="str">
        <f>VLOOKUP(B521,'[3]Sales Force'!$D:$J,7,0)</f>
        <v>MR</v>
      </c>
      <c r="E521" s="8">
        <f>VLOOKUP(C521,'[3]Sales Force'!$D:$O,12,0)</f>
        <v>792</v>
      </c>
      <c r="F521" s="8">
        <f>VLOOKUP(B521,'[3]Sales Force'!$D:$L,9,0)</f>
        <v>1020424012</v>
      </c>
      <c r="G521" s="9">
        <f>VLOOKUP(B521,'[3]Sales Force'!$D:$M,10,0)</f>
        <v>45901</v>
      </c>
      <c r="H521" s="8" t="str">
        <f>VLOOKUP(B521,'[3]Sales Force'!$D:$H,5,0)</f>
        <v>P&amp;G Line</v>
      </c>
      <c r="I521" s="8"/>
      <c r="J521" s="8" t="str">
        <f>VLOOKUP(B521,'[3]Sales Force'!$D:$P,13,0)</f>
        <v>Helwan</v>
      </c>
    </row>
    <row r="522" spans="1:10">
      <c r="A522" s="5">
        <v>736</v>
      </c>
      <c r="B522" s="13" t="s">
        <v>483</v>
      </c>
      <c r="C522" s="8" t="str">
        <f>VLOOKUP(B522,'[3]Sales Force'!$D:$E,2,0)</f>
        <v>Waleed Nageh AboZeid</v>
      </c>
      <c r="D522" s="8" t="str">
        <f>VLOOKUP(B522,'[3]Sales Force'!$D:$J,7,0)</f>
        <v>MR</v>
      </c>
      <c r="E522" s="8">
        <f>VLOOKUP(C522,'[3]Sales Force'!$D:$O,12,0)</f>
        <v>792</v>
      </c>
      <c r="F522" s="8" t="str">
        <f>VLOOKUP(B522,'[3]Sales Force'!$D:$L,9,0)</f>
        <v> 1030480507</v>
      </c>
      <c r="G522" s="9">
        <f>VLOOKUP(B522,'[3]Sales Force'!$D:$M,10,0)</f>
        <v>44228</v>
      </c>
      <c r="H522" s="8" t="str">
        <f>VLOOKUP(B522,'[3]Sales Force'!$D:$H,5,0)</f>
        <v>P&amp;G Line</v>
      </c>
      <c r="I522" s="8"/>
      <c r="J522" s="8" t="str">
        <f>VLOOKUP(B522,'[3]Sales Force'!$D:$P,13,0)</f>
        <v>DAR ELSALAM - CAIRO</v>
      </c>
    </row>
    <row r="523" spans="1:10">
      <c r="A523" s="5">
        <v>1529</v>
      </c>
      <c r="B523" s="13" t="s">
        <v>484</v>
      </c>
      <c r="C523" s="8" t="str">
        <f>VLOOKUP(B523,'[3]Sales Force'!$D:$E,2,0)</f>
        <v>Waleed Nageh AboZeid</v>
      </c>
      <c r="D523" s="8" t="str">
        <f>VLOOKUP(B523,'[3]Sales Force'!$D:$J,7,0)</f>
        <v>MR</v>
      </c>
      <c r="E523" s="8">
        <f>VLOOKUP(C523,'[3]Sales Force'!$D:$O,12,0)</f>
        <v>792</v>
      </c>
      <c r="F523" s="8">
        <f>VLOOKUP(B523,'[3]Sales Force'!$D:$L,9,0)</f>
        <v>1102372504</v>
      </c>
      <c r="G523" s="9">
        <f>VLOOKUP(B523,'[3]Sales Force'!$D:$M,10,0)</f>
        <v>45696</v>
      </c>
      <c r="H523" s="8" t="str">
        <f>VLOOKUP(B523,'[3]Sales Force'!$D:$H,5,0)</f>
        <v>P&amp;G Line</v>
      </c>
      <c r="I523" s="8"/>
      <c r="J523" s="8" t="str">
        <f>VLOOKUP(B523,'[3]Sales Force'!$D:$P,13,0)</f>
        <v>Shobra El Khiema</v>
      </c>
    </row>
    <row r="524" spans="1:10">
      <c r="A524" s="5">
        <v>1839</v>
      </c>
      <c r="B524" s="13" t="s">
        <v>485</v>
      </c>
      <c r="C524" s="8" t="str">
        <f>VLOOKUP(B524,'[3]Sales Force'!$D:$E,2,0)</f>
        <v>Waleed Nageh AboZeid</v>
      </c>
      <c r="D524" s="8" t="str">
        <f>VLOOKUP(B524,'[3]Sales Force'!$D:$J,7,0)</f>
        <v>MR</v>
      </c>
      <c r="E524" s="8">
        <f>VLOOKUP(C524,'[3]Sales Force'!$D:$O,12,0)</f>
        <v>792</v>
      </c>
      <c r="F524" s="8">
        <f>VLOOKUP(B524,'[3]Sales Force'!$D:$L,9,0)</f>
        <v>1276895847</v>
      </c>
      <c r="G524" s="9">
        <f>VLOOKUP(B524,'[3]Sales Force'!$D:$M,10,0)</f>
        <v>46023</v>
      </c>
      <c r="H524" s="8" t="str">
        <f>VLOOKUP(B524,'[3]Sales Force'!$D:$H,5,0)</f>
        <v>P&amp;G Line</v>
      </c>
      <c r="I524" s="8"/>
      <c r="J524" s="8" t="str">
        <f>VLOOKUP(B524,'[3]Sales Force'!$D:$P,13,0)</f>
        <v>Shobra El Khiema</v>
      </c>
    </row>
    <row r="525" spans="1:10">
      <c r="A525" s="5">
        <v>1450</v>
      </c>
      <c r="B525" s="13" t="s">
        <v>486</v>
      </c>
      <c r="C525" s="8" t="str">
        <f>VLOOKUP(B525,'[3]Sales Force'!$D:$E,2,0)</f>
        <v>Waleed Nageh AboZeid</v>
      </c>
      <c r="D525" s="8" t="str">
        <f>VLOOKUP(B525,'[3]Sales Force'!$D:$J,7,0)</f>
        <v>MR</v>
      </c>
      <c r="E525" s="8">
        <f>VLOOKUP(C525,'[3]Sales Force'!$D:$O,12,0)</f>
        <v>792</v>
      </c>
      <c r="F525" s="8">
        <f>VLOOKUP(B525,'[3]Sales Force'!$D:$L,9,0)</f>
        <v>1552588806</v>
      </c>
      <c r="G525" s="9">
        <f>VLOOKUP(B525,'[3]Sales Force'!$D:$M,10,0)</f>
        <v>45566</v>
      </c>
      <c r="H525" s="8" t="str">
        <f>VLOOKUP(B525,'[3]Sales Force'!$D:$H,5,0)</f>
        <v>P&amp;G Line</v>
      </c>
      <c r="I525" s="8"/>
      <c r="J525" s="8" t="str">
        <f>VLOOKUP(B525,'[3]Sales Force'!$D:$P,13,0)</f>
        <v>Embaba</v>
      </c>
    </row>
    <row r="526" spans="1:10">
      <c r="A526" s="5">
        <v>1113</v>
      </c>
      <c r="B526" s="11" t="s">
        <v>487</v>
      </c>
      <c r="C526" s="8" t="str">
        <f>VLOOKUP(B526,'[3]Sales Force'!$D:$G,4,0)</f>
        <v>Abdallah Gamal Elsayed</v>
      </c>
      <c r="D526" s="8" t="str">
        <f>VLOOKUP(B526,'[3]Sales Force'!$D:$J,7,0)</f>
        <v>AM</v>
      </c>
      <c r="E526" s="8">
        <f>VLOOKUP(C526,'[3]Sales Force'!$D:$O,12,0)</f>
        <v>160</v>
      </c>
      <c r="F526" s="8">
        <f>VLOOKUP(B526,'[3]Sales Force'!$D:$L,9,0)</f>
        <v>1091332030</v>
      </c>
      <c r="G526" s="9">
        <f>VLOOKUP(B526,'[3]Sales Force'!$D:$M,10,0)</f>
        <v>44958</v>
      </c>
      <c r="H526" s="8" t="str">
        <f>VLOOKUP(B526,'[3]Sales Force'!$D:$H,5,0)</f>
        <v>P&amp;G Line</v>
      </c>
      <c r="I526" s="8" t="str">
        <f>VLOOKUP(B526,'[3]Sales Force'!$D:$N,11,0)</f>
        <v>Mohamed.AbdelSabor.Medany@averroes-eg.com</v>
      </c>
      <c r="J526" s="8" t="str">
        <f>VLOOKUP(B526,'[3]Sales Force'!$D:$P,13,0)</f>
        <v>Quena City</v>
      </c>
    </row>
    <row r="527" spans="1:10">
      <c r="A527" s="5">
        <v>1082</v>
      </c>
      <c r="B527" s="12" t="s">
        <v>488</v>
      </c>
      <c r="C527" s="8" t="str">
        <f>VLOOKUP(B527,'[3]Sales Force'!$D:$F,3,0)</f>
        <v>Mohamed AbdelSabor Madany</v>
      </c>
      <c r="D527" s="8" t="str">
        <f>VLOOKUP(B527,'[3]Sales Force'!$D:$J,7,0)</f>
        <v>DM</v>
      </c>
      <c r="E527" s="8">
        <f>VLOOKUP(C527,'[3]Sales Force'!$D:$O,12,0)</f>
        <v>1113</v>
      </c>
      <c r="F527" s="8" t="str">
        <f>VLOOKUP(B527,'[3]Sales Force'!$D:$L,9,0)</f>
        <v> 01554629292</v>
      </c>
      <c r="G527" s="9">
        <f>VLOOKUP(B527,'[3]Sales Force'!$D:$M,10,0)</f>
        <v>44942</v>
      </c>
      <c r="H527" s="8" t="str">
        <f>VLOOKUP(B527,'[3]Sales Force'!$D:$H,5,0)</f>
        <v>P&amp;G Line</v>
      </c>
      <c r="I527" s="8" t="str">
        <f>VLOOKUP(B527,'[3]Sales Force'!$D:$N,11,0)</f>
        <v>David.Thabet.Mehanni@averroes-eg.com</v>
      </c>
      <c r="J527" s="8" t="str">
        <f>VLOOKUP(B527,'[3]Sales Force'!$D:$P,13,0)</f>
        <v>Malawy</v>
      </c>
    </row>
    <row r="528" spans="1:10">
      <c r="A528" s="5">
        <v>470</v>
      </c>
      <c r="B528" s="13" t="s">
        <v>489</v>
      </c>
      <c r="C528" s="8" t="str">
        <f>VLOOKUP(B528,'[3]Sales Force'!$D:$E,2,0)</f>
        <v>David Thabet Mehanni</v>
      </c>
      <c r="D528" s="8" t="str">
        <f>VLOOKUP(B528,'[3]Sales Force'!$D:$J,7,0)</f>
        <v>MR</v>
      </c>
      <c r="E528" s="8">
        <f>VLOOKUP(C528,'[3]Sales Force'!$D:$O,12,0)</f>
        <v>1082</v>
      </c>
      <c r="F528" s="8" t="str">
        <f>VLOOKUP(B528,'[3]Sales Force'!$D:$L,9,0)</f>
        <v> 1030814111</v>
      </c>
      <c r="G528" s="9">
        <f>VLOOKUP(B528,'[3]Sales Force'!$D:$M,10,0)</f>
        <v>43694</v>
      </c>
      <c r="H528" s="8" t="str">
        <f>VLOOKUP(B528,'[3]Sales Force'!$D:$H,5,0)</f>
        <v>P&amp;G Line</v>
      </c>
      <c r="I528" s="8"/>
      <c r="J528" s="8" t="str">
        <f>VLOOKUP(B528,'[3]Sales Force'!$D:$P,13,0)</f>
        <v>El Menia City</v>
      </c>
    </row>
    <row r="529" spans="1:10">
      <c r="A529" s="5">
        <v>1503</v>
      </c>
      <c r="B529" s="13" t="s">
        <v>490</v>
      </c>
      <c r="C529" s="8" t="str">
        <f>VLOOKUP(B529,'[3]Sales Force'!$D:$E,2,0)</f>
        <v>David Thabet Mehanni</v>
      </c>
      <c r="D529" s="8" t="str">
        <f>VLOOKUP(B529,'[3]Sales Force'!$D:$J,7,0)</f>
        <v>MR</v>
      </c>
      <c r="E529" s="8">
        <f>VLOOKUP(C529,'[3]Sales Force'!$D:$O,12,0)</f>
        <v>1082</v>
      </c>
      <c r="F529" s="8">
        <f>VLOOKUP(B529,'[3]Sales Force'!$D:$L,9,0)</f>
        <v>1067219806</v>
      </c>
      <c r="G529" s="9">
        <f>VLOOKUP(B529,'[3]Sales Force'!$D:$M,10,0)</f>
        <v>45676</v>
      </c>
      <c r="H529" s="8" t="str">
        <f>VLOOKUP(B529,'[3]Sales Force'!$D:$H,5,0)</f>
        <v>P&amp;G Line</v>
      </c>
      <c r="I529" s="8"/>
      <c r="J529" s="8" t="str">
        <f>VLOOKUP(B529,'[3]Sales Force'!$D:$P,13,0)</f>
        <v>El Menia City</v>
      </c>
    </row>
    <row r="530" spans="1:10">
      <c r="A530" s="5">
        <v>1768</v>
      </c>
      <c r="B530" s="13" t="s">
        <v>491</v>
      </c>
      <c r="C530" s="8" t="str">
        <f>VLOOKUP(B530,'[3]Sales Force'!$D:$E,2,0)</f>
        <v>David Thabet Mehanni</v>
      </c>
      <c r="D530" s="8" t="str">
        <f>VLOOKUP(B530,'[3]Sales Force'!$D:$J,7,0)</f>
        <v>MR</v>
      </c>
      <c r="E530" s="8">
        <f>VLOOKUP(C530,'[3]Sales Force'!$D:$O,12,0)</f>
        <v>1082</v>
      </c>
      <c r="F530" s="8">
        <f>VLOOKUP(B530,'[3]Sales Force'!$D:$L,9,0)</f>
        <v>1221100717</v>
      </c>
      <c r="G530" s="9">
        <f>VLOOKUP(B530,'[3]Sales Force'!$D:$M,10,0)</f>
        <v>45941</v>
      </c>
      <c r="H530" s="8" t="str">
        <f>VLOOKUP(B530,'[3]Sales Force'!$D:$H,5,0)</f>
        <v>P&amp;G Line</v>
      </c>
      <c r="I530" s="8"/>
      <c r="J530" s="8" t="str">
        <f>VLOOKUP(B530,'[3]Sales Force'!$D:$P,13,0)</f>
        <v>Bani Swaif City</v>
      </c>
    </row>
    <row r="531" spans="1:10">
      <c r="A531" s="5">
        <v>1022</v>
      </c>
      <c r="B531" s="13" t="s">
        <v>492</v>
      </c>
      <c r="C531" s="8" t="str">
        <f>VLOOKUP(B531,'[3]Sales Force'!$D:$E,2,0)</f>
        <v>David Thabet Mehanni</v>
      </c>
      <c r="D531" s="8" t="str">
        <f>VLOOKUP(B531,'[3]Sales Force'!$D:$J,7,0)</f>
        <v>MR</v>
      </c>
      <c r="E531" s="8">
        <f>VLOOKUP(C531,'[3]Sales Force'!$D:$O,12,0)</f>
        <v>1082</v>
      </c>
      <c r="F531" s="8" t="str">
        <f>VLOOKUP(B531,'[3]Sales Force'!$D:$L,9,0)</f>
        <v> 01200919670</v>
      </c>
      <c r="G531" s="9">
        <f>VLOOKUP(B531,'[3]Sales Force'!$D:$M,10,0)</f>
        <v>44877</v>
      </c>
      <c r="H531" s="8" t="str">
        <f>VLOOKUP(B531,'[3]Sales Force'!$D:$H,5,0)</f>
        <v>P&amp;G Line</v>
      </c>
      <c r="I531" s="8"/>
      <c r="J531" s="8" t="str">
        <f>VLOOKUP(B531,'[3]Sales Force'!$D:$P,13,0)</f>
        <v>Assuit City</v>
      </c>
    </row>
    <row r="532" spans="1:10">
      <c r="A532" s="5">
        <v>1401</v>
      </c>
      <c r="B532" s="13" t="s">
        <v>493</v>
      </c>
      <c r="C532" s="8" t="str">
        <f>VLOOKUP(B532,'[3]Sales Force'!$D:$E,2,0)</f>
        <v>David Thabet Mehanni</v>
      </c>
      <c r="D532" s="8" t="str">
        <f>VLOOKUP(B532,'[3]Sales Force'!$D:$J,7,0)</f>
        <v>MR</v>
      </c>
      <c r="E532" s="8">
        <f>VLOOKUP(C532,'[3]Sales Force'!$D:$O,12,0)</f>
        <v>1082</v>
      </c>
      <c r="F532" s="8">
        <f>VLOOKUP(B532,'[3]Sales Force'!$D:$L,9,0)</f>
        <v>1032454210</v>
      </c>
      <c r="G532" s="9">
        <f>VLOOKUP(B532,'[3]Sales Force'!$D:$M,10,0)</f>
        <v>45467</v>
      </c>
      <c r="H532" s="8" t="str">
        <f>VLOOKUP(B532,'[3]Sales Force'!$D:$H,5,0)</f>
        <v>P&amp;G Line</v>
      </c>
      <c r="I532" s="8"/>
      <c r="J532" s="8" t="str">
        <f>VLOOKUP(B532,'[3]Sales Force'!$D:$P,13,0)</f>
        <v>Fayoum City</v>
      </c>
    </row>
    <row r="533" spans="1:10">
      <c r="A533" s="5">
        <v>1023</v>
      </c>
      <c r="B533" s="13" t="s">
        <v>494</v>
      </c>
      <c r="C533" s="8" t="str">
        <f>VLOOKUP(B533,'[3]Sales Force'!$D:$E,2,0)</f>
        <v>David Thabet Mehanni</v>
      </c>
      <c r="D533" s="8" t="str">
        <f>VLOOKUP(B533,'[3]Sales Force'!$D:$J,7,0)</f>
        <v>MR</v>
      </c>
      <c r="E533" s="8">
        <f>VLOOKUP(C533,'[3]Sales Force'!$D:$O,12,0)</f>
        <v>1082</v>
      </c>
      <c r="F533" s="8" t="str">
        <f>VLOOKUP(B533,'[3]Sales Force'!$D:$L,9,0)</f>
        <v> 01090936290</v>
      </c>
      <c r="G533" s="9">
        <f>VLOOKUP(B533,'[3]Sales Force'!$D:$M,10,0)</f>
        <v>44878</v>
      </c>
      <c r="H533" s="8" t="str">
        <f>VLOOKUP(B533,'[3]Sales Force'!$D:$H,5,0)</f>
        <v>P&amp;G Line</v>
      </c>
      <c r="I533" s="8"/>
      <c r="J533" s="8" t="str">
        <f>VLOOKUP(B533,'[3]Sales Force'!$D:$P,13,0)</f>
        <v>Assuit City</v>
      </c>
    </row>
    <row r="534" spans="1:10">
      <c r="A534" s="5">
        <v>1504</v>
      </c>
      <c r="B534" s="13" t="s">
        <v>495</v>
      </c>
      <c r="C534" s="8" t="str">
        <f>VLOOKUP(B534,'[3]Sales Force'!$D:$E,2,0)</f>
        <v>David Thabet Mehanni</v>
      </c>
      <c r="D534" s="8" t="str">
        <f>VLOOKUP(B534,'[3]Sales Force'!$D:$J,7,0)</f>
        <v>MR</v>
      </c>
      <c r="E534" s="8">
        <f>VLOOKUP(C534,'[3]Sales Force'!$D:$O,12,0)</f>
        <v>1082</v>
      </c>
      <c r="F534" s="8">
        <f>VLOOKUP(B534,'[3]Sales Force'!$D:$L,9,0)</f>
        <v>1228718121</v>
      </c>
      <c r="G534" s="9">
        <f>VLOOKUP(B534,'[3]Sales Force'!$D:$M,10,0)</f>
        <v>45676</v>
      </c>
      <c r="H534" s="8" t="str">
        <f>VLOOKUP(B534,'[3]Sales Force'!$D:$H,5,0)</f>
        <v>P&amp;G Line</v>
      </c>
      <c r="I534" s="8"/>
      <c r="J534" s="8" t="str">
        <f>VLOOKUP(B534,'[3]Sales Force'!$D:$P,13,0)</f>
        <v>Assuit City</v>
      </c>
    </row>
    <row r="535" spans="1:10">
      <c r="A535" s="5">
        <v>1722</v>
      </c>
      <c r="B535" s="13" t="s">
        <v>496</v>
      </c>
      <c r="C535" s="8" t="str">
        <f>VLOOKUP(B535,'[3]Sales Force'!$D:$E,2,0)</f>
        <v>David Thabet Mehanni</v>
      </c>
      <c r="D535" s="8" t="str">
        <f>VLOOKUP(B535,'[3]Sales Force'!$D:$J,7,0)</f>
        <v>MR</v>
      </c>
      <c r="E535" s="8">
        <f>VLOOKUP(C535,'[3]Sales Force'!$D:$O,12,0)</f>
        <v>1082</v>
      </c>
      <c r="F535" s="8">
        <f>VLOOKUP(B535,'[3]Sales Force'!$D:$L,9,0)</f>
        <v>1551050502</v>
      </c>
      <c r="G535" s="9">
        <f>VLOOKUP(B535,'[3]Sales Force'!$D:$M,10,0)</f>
        <v>45871</v>
      </c>
      <c r="H535" s="8" t="str">
        <f>VLOOKUP(B535,'[3]Sales Force'!$D:$H,5,0)</f>
        <v>P&amp;G Line</v>
      </c>
      <c r="I535" s="8"/>
      <c r="J535" s="8" t="str">
        <f>VLOOKUP(B535,'[3]Sales Force'!$D:$P,13,0)</f>
        <v>Bani Swaif City</v>
      </c>
    </row>
    <row r="536" spans="1:10">
      <c r="A536" s="5">
        <v>1413</v>
      </c>
      <c r="B536" s="13" t="s">
        <v>497</v>
      </c>
      <c r="C536" s="8" t="str">
        <f>VLOOKUP(B536,'[3]Sales Force'!$D:$E,2,0)</f>
        <v>David Thabet Mehanni</v>
      </c>
      <c r="D536" s="8" t="str">
        <f>VLOOKUP(B536,'[3]Sales Force'!$D:$J,7,0)</f>
        <v>MR</v>
      </c>
      <c r="E536" s="8">
        <f>VLOOKUP(C536,'[3]Sales Force'!$D:$O,12,0)</f>
        <v>1082</v>
      </c>
      <c r="F536" s="8">
        <f>VLOOKUP(B536,'[3]Sales Force'!$D:$L,9,0)</f>
        <v>1281263048</v>
      </c>
      <c r="G536" s="9">
        <f>VLOOKUP(B536,'[3]Sales Force'!$D:$M,10,0)</f>
        <v>45509</v>
      </c>
      <c r="H536" s="8" t="str">
        <f>VLOOKUP(B536,'[3]Sales Force'!$D:$H,5,0)</f>
        <v>P&amp;G Line</v>
      </c>
      <c r="I536" s="8"/>
      <c r="J536" s="8" t="str">
        <f>VLOOKUP(B536,'[3]Sales Force'!$D:$P,13,0)</f>
        <v>Samalout</v>
      </c>
    </row>
    <row r="537" spans="1:10">
      <c r="A537" s="5">
        <v>1448</v>
      </c>
      <c r="B537" s="13" t="s">
        <v>498</v>
      </c>
      <c r="C537" s="8" t="str">
        <f>VLOOKUP(B537,'[3]Sales Force'!$D:$E,2,0)</f>
        <v>L4_Vacant_Upper Egypt 2</v>
      </c>
      <c r="D537" s="8" t="str">
        <f>VLOOKUP(B537,'[3]Sales Force'!$D:$J,7,0)</f>
        <v>MR</v>
      </c>
      <c r="E537" s="8">
        <f>VLOOKUP(C537,'[3]Sales Force'!$D:$O,12,0)</f>
        <v>0</v>
      </c>
      <c r="F537" s="8">
        <f>VLOOKUP(B537,'[3]Sales Force'!$D:$L,9,0)</f>
        <v>1061048527</v>
      </c>
      <c r="G537" s="9">
        <f>VLOOKUP(B537,'[3]Sales Force'!$D:$M,10,0)</f>
        <v>45566</v>
      </c>
      <c r="H537" s="8" t="str">
        <f>VLOOKUP(B537,'[3]Sales Force'!$D:$H,5,0)</f>
        <v>P&amp;G Line</v>
      </c>
      <c r="I537" s="8"/>
      <c r="J537" s="8" t="str">
        <f>VLOOKUP(B537,'[3]Sales Force'!$D:$P,13,0)</f>
        <v>Quena City</v>
      </c>
    </row>
    <row r="538" spans="1:10">
      <c r="A538" s="5">
        <v>1770</v>
      </c>
      <c r="B538" s="13" t="s">
        <v>499</v>
      </c>
      <c r="C538" s="8" t="str">
        <f>VLOOKUP(B538,'[3]Sales Force'!$D:$E,2,0)</f>
        <v>L4_Vacant_Upper Egypt 2</v>
      </c>
      <c r="D538" s="8" t="str">
        <f>VLOOKUP(B538,'[3]Sales Force'!$D:$J,7,0)</f>
        <v>MR</v>
      </c>
      <c r="E538" s="8">
        <f>VLOOKUP(C538,'[3]Sales Force'!$D:$O,12,0)</f>
        <v>0</v>
      </c>
      <c r="F538" s="8">
        <f>VLOOKUP(B538,'[3]Sales Force'!$D:$L,9,0)</f>
        <v>1095167489</v>
      </c>
      <c r="G538" s="9">
        <f>VLOOKUP(B538,'[3]Sales Force'!$D:$M,10,0)</f>
        <v>45941</v>
      </c>
      <c r="H538" s="8" t="str">
        <f>VLOOKUP(B538,'[3]Sales Force'!$D:$H,5,0)</f>
        <v>P&amp;G Line</v>
      </c>
      <c r="I538" s="8"/>
      <c r="J538" s="8" t="str">
        <f>VLOOKUP(B538,'[3]Sales Force'!$D:$P,13,0)</f>
        <v>Sohag City</v>
      </c>
    </row>
    <row r="539" spans="1:10">
      <c r="A539" s="5">
        <v>1409</v>
      </c>
      <c r="B539" s="13" t="s">
        <v>500</v>
      </c>
      <c r="C539" s="8" t="str">
        <f>VLOOKUP(B539,'[3]Sales Force'!$D:$E,2,0)</f>
        <v>L4_Vacant_Upper Egypt 2</v>
      </c>
      <c r="D539" s="8" t="str">
        <f>VLOOKUP(B539,'[3]Sales Force'!$D:$J,7,0)</f>
        <v>MR</v>
      </c>
      <c r="E539" s="8">
        <f>VLOOKUP(C539,'[3]Sales Force'!$D:$O,12,0)</f>
        <v>0</v>
      </c>
      <c r="F539" s="8">
        <f>VLOOKUP(B539,'[3]Sales Force'!$D:$L,9,0)</f>
        <v>1011260873</v>
      </c>
      <c r="G539" s="9">
        <f>VLOOKUP(B539,'[3]Sales Force'!$D:$M,10,0)</f>
        <v>45493</v>
      </c>
      <c r="H539" s="8" t="str">
        <f>VLOOKUP(B539,'[3]Sales Force'!$D:$H,5,0)</f>
        <v>P&amp;G Line</v>
      </c>
      <c r="I539" s="8"/>
      <c r="J539" s="8" t="str">
        <f>VLOOKUP(B539,'[3]Sales Force'!$D:$P,13,0)</f>
        <v>Luxor City</v>
      </c>
    </row>
    <row r="540" spans="1:10">
      <c r="A540" s="5">
        <v>1414</v>
      </c>
      <c r="B540" s="13" t="s">
        <v>501</v>
      </c>
      <c r="C540" s="8" t="str">
        <f>VLOOKUP(B540,'[3]Sales Force'!$D:$E,2,0)</f>
        <v>L4_Vacant_Upper Egypt 2</v>
      </c>
      <c r="D540" s="8" t="str">
        <f>VLOOKUP(B540,'[3]Sales Force'!$D:$J,7,0)</f>
        <v>MR</v>
      </c>
      <c r="E540" s="8">
        <f>VLOOKUP(C540,'[3]Sales Force'!$D:$O,12,0)</f>
        <v>0</v>
      </c>
      <c r="F540" s="8">
        <f>VLOOKUP(B540,'[3]Sales Force'!$D:$L,9,0)</f>
        <v>1282084773</v>
      </c>
      <c r="G540" s="9">
        <f>VLOOKUP(B540,'[3]Sales Force'!$D:$M,10,0)</f>
        <v>45505</v>
      </c>
      <c r="H540" s="8" t="str">
        <f>VLOOKUP(B540,'[3]Sales Force'!$D:$H,5,0)</f>
        <v>P&amp;G Line</v>
      </c>
      <c r="I540" s="8"/>
      <c r="J540" s="8" t="str">
        <f>VLOOKUP(B540,'[3]Sales Force'!$D:$P,13,0)</f>
        <v>Aswan City</v>
      </c>
    </row>
    <row r="541" spans="1:10">
      <c r="A541" s="5">
        <v>1500</v>
      </c>
      <c r="B541" s="13" t="s">
        <v>502</v>
      </c>
      <c r="C541" s="8" t="str">
        <f>VLOOKUP(B541,'[3]Sales Force'!$D:$E,2,0)</f>
        <v>L4_Vacant_Upper Egypt 2</v>
      </c>
      <c r="D541" s="8" t="str">
        <f>VLOOKUP(B541,'[3]Sales Force'!$D:$J,7,0)</f>
        <v>MR</v>
      </c>
      <c r="E541" s="8">
        <f>VLOOKUP(C541,'[3]Sales Force'!$D:$O,12,0)</f>
        <v>0</v>
      </c>
      <c r="F541" s="8">
        <f>VLOOKUP(B541,'[3]Sales Force'!$D:$L,9,0)</f>
        <v>1552992067</v>
      </c>
      <c r="G541" s="9">
        <f>VLOOKUP(B541,'[3]Sales Force'!$D:$M,10,0)</f>
        <v>45675</v>
      </c>
      <c r="H541" s="8" t="str">
        <f>VLOOKUP(B541,'[3]Sales Force'!$D:$H,5,0)</f>
        <v>P&amp;G Line</v>
      </c>
      <c r="I541" s="8"/>
      <c r="J541" s="8" t="str">
        <f>VLOOKUP(B541,'[3]Sales Force'!$D:$P,13,0)</f>
        <v>Gerga</v>
      </c>
    </row>
    <row r="542" spans="1:10">
      <c r="A542" s="5">
        <v>1333</v>
      </c>
      <c r="B542" s="13" t="s">
        <v>503</v>
      </c>
      <c r="C542" s="8" t="str">
        <f>VLOOKUP(B542,'[3]Sales Force'!$D:$E,2,0)</f>
        <v>L4_Vacant_Upper Egypt 2</v>
      </c>
      <c r="D542" s="8" t="str">
        <f>VLOOKUP(B542,'[3]Sales Force'!$D:$J,7,0)</f>
        <v>MR</v>
      </c>
      <c r="E542" s="8">
        <f>VLOOKUP(C542,'[3]Sales Force'!$D:$O,12,0)</f>
        <v>0</v>
      </c>
      <c r="F542" s="8">
        <f>VLOOKUP(B542,'[3]Sales Force'!$D:$L,9,0)</f>
        <v>1281967548</v>
      </c>
      <c r="G542" s="9">
        <f>VLOOKUP(B542,'[3]Sales Force'!$D:$M,10,0)</f>
        <v>45318</v>
      </c>
      <c r="H542" s="8" t="str">
        <f>VLOOKUP(B542,'[3]Sales Force'!$D:$H,5,0)</f>
        <v>P&amp;G Line</v>
      </c>
      <c r="I542" s="8"/>
      <c r="J542" s="8" t="str">
        <f>VLOOKUP(B542,'[3]Sales Force'!$D:$P,13,0)</f>
        <v>Nagaa Hamady</v>
      </c>
    </row>
    <row r="543" spans="1:10">
      <c r="A543" s="5">
        <v>120</v>
      </c>
      <c r="B543" s="13" t="s">
        <v>504</v>
      </c>
      <c r="C543" s="41" t="s">
        <v>601</v>
      </c>
      <c r="D543" s="8" t="str">
        <f>VLOOKUP(B543,'[3]Sales Force'!$D:$J,7,0)</f>
        <v>Market Access Manager</v>
      </c>
      <c r="E543" s="8" t="e">
        <f>VLOOKUP(C543,'[3]Sales Force'!$D:$O,12,0)</f>
        <v>#N/A</v>
      </c>
      <c r="F543" s="41" t="s">
        <v>601</v>
      </c>
      <c r="G543" s="9">
        <f>VLOOKUP(B543,'[3]Sales Force'!$D:$M,10,0)</f>
        <v>42345</v>
      </c>
      <c r="H543" s="8" t="str">
        <f>VLOOKUP(B543,'[3]Sales Force'!$D:$H,5,0)</f>
        <v>Mega Account Line</v>
      </c>
      <c r="I543" s="8" t="str">
        <f>VLOOKUP(B543,'[3]Sales Force'!$D:$N,11,0)</f>
        <v>mohamed.elgendy@averroes-eg.com</v>
      </c>
      <c r="J543" s="8" t="str">
        <f>VLOOKUP(B543,'[3]Sales Force'!$D:$P,13,0)</f>
        <v>Badr City</v>
      </c>
    </row>
    <row r="544" spans="1:10">
      <c r="A544" s="5">
        <v>1273</v>
      </c>
      <c r="B544" s="13" t="s">
        <v>505</v>
      </c>
      <c r="C544" s="8" t="str">
        <f>VLOOKUP(B544,'[3]Sales Force'!$D:$F,3,0)</f>
        <v>Mohamed Sayed Elgendy</v>
      </c>
      <c r="D544" s="8" t="str">
        <f>VLOOKUP(B544,'[3]Sales Force'!$D:$J,7,0)</f>
        <v>Key Account Specialist </v>
      </c>
      <c r="E544" s="8">
        <f>VLOOKUP(C544,'[3]Sales Force'!$D:$O,12,0)</f>
        <v>120</v>
      </c>
      <c r="F544" s="8">
        <f>VLOOKUP(B544,'[3]Sales Force'!$D:$L,9,0)</f>
        <v>1553333935</v>
      </c>
      <c r="G544" s="9">
        <f>VLOOKUP(B544,'[3]Sales Force'!$D:$M,10,0)</f>
        <v>45187</v>
      </c>
      <c r="H544" s="8" t="str">
        <f>VLOOKUP(B544,'[3]Sales Force'!$D:$H,5,0)</f>
        <v>Mega Account Line</v>
      </c>
      <c r="I544" s="8"/>
      <c r="J544" s="8"/>
    </row>
    <row r="545" spans="1:10">
      <c r="A545" s="5">
        <v>334</v>
      </c>
      <c r="B545" s="13" t="s">
        <v>506</v>
      </c>
      <c r="C545" s="8" t="str">
        <f>VLOOKUP(B545,'[3]Sales Force'!$D:$F,3,0)</f>
        <v>Mohamed Sayed Elgendy</v>
      </c>
      <c r="D545" s="8" t="str">
        <f>VLOOKUP(B545,'[3]Sales Force'!$D:$J,7,0)</f>
        <v>Key Account Specialist </v>
      </c>
      <c r="E545" s="8">
        <f>VLOOKUP(C545,'[3]Sales Force'!$D:$O,12,0)</f>
        <v>120</v>
      </c>
      <c r="F545" s="8" t="str">
        <f>VLOOKUP(B545,'[3]Sales Force'!$D:$L,9,0)</f>
        <v> 1030814333</v>
      </c>
      <c r="G545" s="9">
        <f>VLOOKUP(B545,'[3]Sales Force'!$D:$M,10,0)</f>
        <v>43326</v>
      </c>
      <c r="H545" s="8" t="str">
        <f>VLOOKUP(B545,'[3]Sales Force'!$D:$H,5,0)</f>
        <v>Mega Account Line</v>
      </c>
      <c r="I545" s="8"/>
      <c r="J545" s="8" t="str">
        <f>VLOOKUP(B545,'[3]Sales Force'!$D:$P,13,0)</f>
        <v>El Qabary</v>
      </c>
    </row>
    <row r="546" spans="1:10">
      <c r="A546" s="5">
        <v>1710</v>
      </c>
      <c r="B546" s="13" t="s">
        <v>507</v>
      </c>
      <c r="C546" s="8" t="str">
        <f>VLOOKUP(B546,'[3]Sales Force'!$D:$F,3,0)</f>
        <v>Mohamed Sayed Elgendy</v>
      </c>
      <c r="D546" s="8" t="str">
        <f>VLOOKUP(B546,'[3]Sales Force'!$D:$J,7,0)</f>
        <v>Key Account Specialist </v>
      </c>
      <c r="E546" s="8">
        <f>VLOOKUP(C546,'[3]Sales Force'!$D:$O,12,0)</f>
        <v>120</v>
      </c>
      <c r="F546" s="8">
        <f>VLOOKUP(B546,'[3]Sales Force'!$D:$L,9,0)</f>
        <v>1116696270</v>
      </c>
      <c r="G546" s="9">
        <f>VLOOKUP(B546,'[3]Sales Force'!$D:$M,10,0)</f>
        <v>45852</v>
      </c>
      <c r="H546" s="8" t="str">
        <f>VLOOKUP(B546,'[3]Sales Force'!$D:$H,5,0)</f>
        <v>Mega Account Line</v>
      </c>
      <c r="I546" s="8"/>
      <c r="J546" s="8" t="str">
        <f>VLOOKUP(B546,'[3]Sales Force'!$D:$P,13,0)</f>
        <v>El Sheikh Zayed</v>
      </c>
    </row>
    <row r="547" spans="1:10">
      <c r="A547" s="5">
        <v>1817</v>
      </c>
      <c r="B547" s="13" t="s">
        <v>508</v>
      </c>
      <c r="C547" s="8" t="str">
        <f>VLOOKUP(B547,'[3]Sales Force'!$D:$F,3,0)</f>
        <v>Mohamed Sayed Elgendy</v>
      </c>
      <c r="D547" s="8" t="str">
        <f>VLOOKUP(B547,'[3]Sales Force'!$D:$J,7,0)</f>
        <v>Key Account Specialist </v>
      </c>
      <c r="E547" s="8">
        <f>VLOOKUP(C547,'[3]Sales Force'!$D:$O,12,0)</f>
        <v>120</v>
      </c>
      <c r="F547" s="8">
        <f>VLOOKUP(B547,'[3]Sales Force'!$D:$L,9,0)</f>
        <v>1121462985</v>
      </c>
      <c r="G547" s="9">
        <f>VLOOKUP(B547,'[3]Sales Force'!$D:$M,10,0)</f>
        <v>45992</v>
      </c>
      <c r="H547" s="8" t="str">
        <f>VLOOKUP(B547,'[3]Sales Force'!$D:$H,5,0)</f>
        <v>Mega Account Line</v>
      </c>
      <c r="I547" s="8"/>
      <c r="J547" s="8" t="str">
        <f>VLOOKUP(B547,'[3]Sales Force'!$D:$P,13,0)</f>
        <v>El marg</v>
      </c>
    </row>
    <row r="548" spans="1:10">
      <c r="A548" s="5">
        <v>1556</v>
      </c>
      <c r="B548" s="13" t="s">
        <v>509</v>
      </c>
      <c r="C548" s="8" t="str">
        <f>VLOOKUP(B548,'[3]Sales Force'!$D:$F,3,0)</f>
        <v>Mohamed Sayed Elgendy</v>
      </c>
      <c r="D548" s="8" t="str">
        <f>VLOOKUP(B548,'[3]Sales Force'!$D:$J,7,0)</f>
        <v>Key Account Specialist </v>
      </c>
      <c r="E548" s="8">
        <f>VLOOKUP(C548,'[3]Sales Force'!$D:$O,12,0)</f>
        <v>120</v>
      </c>
      <c r="F548" s="8">
        <f>VLOOKUP(B548,'[3]Sales Force'!$D:$L,9,0)</f>
        <v>1221908617</v>
      </c>
      <c r="G548" s="9">
        <f>VLOOKUP(B548,'[3]Sales Force'!$D:$M,10,0)</f>
        <v>45675</v>
      </c>
      <c r="H548" s="8" t="str">
        <f>VLOOKUP(B548,'[3]Sales Force'!$D:$H,5,0)</f>
        <v>Mega Account Line</v>
      </c>
      <c r="I548" s="8"/>
      <c r="J548" s="8" t="str">
        <f>VLOOKUP(B548,'[3]Sales Force'!$D:$P,13,0)</f>
        <v>Hadaek El Kobbah</v>
      </c>
    </row>
    <row r="549" spans="1:10">
      <c r="A549" s="5">
        <v>1903</v>
      </c>
      <c r="B549" s="15" t="s">
        <v>674</v>
      </c>
      <c r="C549" s="8" t="str">
        <f>VLOOKUP(B549,'[3]Sales Force'!$D:$G,4,0)</f>
        <v>Islam Mohamed Elsayed</v>
      </c>
      <c r="D549" s="8" t="str">
        <f>VLOOKUP(B549,'[3]Sales Force'!$D:$J,7,0)</f>
        <v>Sales SV</v>
      </c>
      <c r="E549" s="8">
        <f>VLOOKUP(C549,[3]Office!$B:$K,10,0)</f>
        <v>884</v>
      </c>
      <c r="F549" s="8">
        <f>VLOOKUP(B549,'[3]Sales Force'!$D:$L,9,0)</f>
        <v>1146853681</v>
      </c>
      <c r="G549" s="9">
        <f>VLOOKUP(B549,'[3]Sales Force'!$D:$M,10,0)</f>
        <v>46092</v>
      </c>
      <c r="H549" s="8" t="str">
        <f>VLOOKUP(B549,'[3]Sales Force'!$D:$H,5,0)</f>
        <v>Distribution Line</v>
      </c>
      <c r="I549" s="8"/>
      <c r="J549" s="8" t="str">
        <f>VLOOKUP(B549,'[3]Sales Force'!$D:$P,13,0)</f>
        <v>Kafr El zayat</v>
      </c>
    </row>
    <row r="550" spans="1:10">
      <c r="A550" s="5">
        <v>1943</v>
      </c>
      <c r="B550" s="14" t="s">
        <v>675</v>
      </c>
      <c r="C550" s="8" t="str">
        <f>VLOOKUP(B550,'[3]Sales Force'!$D:$G,4,0)</f>
        <v>Islam Mohamed Elsayed</v>
      </c>
      <c r="D550" s="8" t="str">
        <f>VLOOKUP(B550,'[3]Sales Force'!$D:$J,7,0)</f>
        <v>Sales Rep</v>
      </c>
      <c r="E550" s="8">
        <f>VLOOKUP(C550,[3]Office!$B:$K,10,0)</f>
        <v>884</v>
      </c>
      <c r="F550" s="8">
        <f>VLOOKUP(B550,'[3]Sales Force'!$D:$L,9,0)</f>
        <v>1021683306</v>
      </c>
      <c r="G550" s="9">
        <f>VLOOKUP(B550,'[3]Sales Force'!$D:$M,10,0)</f>
        <v>46130</v>
      </c>
      <c r="H550" s="8" t="str">
        <f>VLOOKUP(B550,'[3]Sales Force'!$D:$H,5,0)</f>
        <v>Distribution Line</v>
      </c>
      <c r="I550" s="8"/>
      <c r="J550" s="8" t="str">
        <f>VLOOKUP(B550,'[3]Sales Force'!$D:$P,13,0)</f>
        <v>El Bagour</v>
      </c>
    </row>
    <row r="551" spans="1:10">
      <c r="A551" s="5">
        <v>1901</v>
      </c>
      <c r="B551" s="14" t="s">
        <v>676</v>
      </c>
      <c r="C551" s="8" t="str">
        <f>VLOOKUP(B551,'[3]Sales Force'!$D:$G,4,0)</f>
        <v>Islam Mohamed Elsayed</v>
      </c>
      <c r="D551" s="8" t="str">
        <f>VLOOKUP(B551,'[3]Sales Force'!$D:$J,7,0)</f>
        <v>Sales Rep</v>
      </c>
      <c r="E551" s="8">
        <f>VLOOKUP(C551,[3]Office!$B:$K,10,0)</f>
        <v>884</v>
      </c>
      <c r="F551" s="8">
        <f>VLOOKUP(B551,'[3]Sales Force'!$D:$L,9,0)</f>
        <v>1004262805</v>
      </c>
      <c r="G551" s="9">
        <f>VLOOKUP(B551,'[3]Sales Force'!$D:$M,10,0)</f>
        <v>46092</v>
      </c>
      <c r="H551" s="8" t="str">
        <f>VLOOKUP(B551,'[3]Sales Force'!$D:$H,5,0)</f>
        <v>Distribution Line</v>
      </c>
      <c r="I551" s="8"/>
      <c r="J551" s="8" t="str">
        <f>VLOOKUP(B551,'[3]Sales Force'!$D:$P,13,0)</f>
        <v>Sidi Ghazy Kafr El Sheikh</v>
      </c>
    </row>
    <row r="552" spans="1:10">
      <c r="A552" s="5">
        <v>1772</v>
      </c>
      <c r="B552" s="13" t="s">
        <v>510</v>
      </c>
      <c r="C552" s="8" t="str">
        <f>VLOOKUP(B552,'[3]Sales Force'!$D:$G,4,0)</f>
        <v>Islam Mohamed Elsayed</v>
      </c>
      <c r="D552" s="8" t="str">
        <f>VLOOKUP(B552,'[3]Sales Force'!$D:$J,7,0)</f>
        <v>Sales Rep</v>
      </c>
      <c r="E552" s="8">
        <f>VLOOKUP(C552,[3]Office!$B:$K,10,0)</f>
        <v>884</v>
      </c>
      <c r="F552" s="8">
        <f>VLOOKUP(B552,'[3]Sales Force'!$D:$L,9,0)</f>
        <v>1505491311</v>
      </c>
      <c r="G552" s="9">
        <f>VLOOKUP(B552,'[3]Sales Force'!$D:$M,10,0)</f>
        <v>45944</v>
      </c>
      <c r="H552" s="8" t="str">
        <f>VLOOKUP(B552,'[3]Sales Force'!$D:$H,5,0)</f>
        <v>Distribution Line</v>
      </c>
      <c r="I552" s="8"/>
      <c r="J552" s="8"/>
    </row>
    <row r="553" spans="1:10">
      <c r="A553" s="5">
        <v>1831</v>
      </c>
      <c r="B553" s="13" t="s">
        <v>512</v>
      </c>
      <c r="C553" s="8" t="str">
        <f>VLOOKUP(B553,'[3]Sales Force'!$D:$G,4,0)</f>
        <v>Islam Mohamed Elsayed</v>
      </c>
      <c r="D553" s="8" t="str">
        <f>VLOOKUP(B553,'[3]Sales Force'!$D:$J,7,0)</f>
        <v>Sales Rep</v>
      </c>
      <c r="E553" s="8">
        <f>VLOOKUP(C553,[3]Office!$B:$K,10,0)</f>
        <v>884</v>
      </c>
      <c r="F553" s="8">
        <f>VLOOKUP(B553,'[3]Sales Force'!$D:$L,9,0)</f>
        <v>1094331617</v>
      </c>
      <c r="G553" s="9">
        <f>VLOOKUP(B553,'[3]Sales Force'!$D:$M,10,0)</f>
        <v>46026</v>
      </c>
      <c r="H553" s="8" t="str">
        <f>VLOOKUP(B553,'[3]Sales Force'!$D:$H,5,0)</f>
        <v>Distribution Line</v>
      </c>
      <c r="I553" s="8"/>
      <c r="J553" s="8" t="str">
        <f>VLOOKUP(B553,'[3]Sales Force'!$D:$P,13,0)</f>
        <v>Domiat</v>
      </c>
    </row>
    <row r="554" spans="1:10">
      <c r="A554" s="5">
        <v>1774</v>
      </c>
      <c r="B554" s="13" t="s">
        <v>513</v>
      </c>
      <c r="C554" s="8" t="str">
        <f>VLOOKUP(B554,'[3]Sales Force'!$D:$G,4,0)</f>
        <v>Islam Mohamed Elsayed</v>
      </c>
      <c r="D554" s="8" t="str">
        <f>VLOOKUP(B554,'[3]Sales Force'!$D:$J,7,0)</f>
        <v>Sales Rep</v>
      </c>
      <c r="E554" s="8">
        <f>VLOOKUP(C554,[3]Office!$B:$K,10,0)</f>
        <v>884</v>
      </c>
      <c r="F554" s="8">
        <f>VLOOKUP(B554,'[3]Sales Force'!$D:$L,9,0)</f>
        <v>1283454778</v>
      </c>
      <c r="G554" s="9">
        <f>VLOOKUP(B554,'[3]Sales Force'!$D:$M,10,0)</f>
        <v>45944</v>
      </c>
      <c r="H554" s="8" t="str">
        <f>VLOOKUP(B554,'[3]Sales Force'!$D:$H,5,0)</f>
        <v>Distribution Line</v>
      </c>
      <c r="I554" s="8"/>
      <c r="J554" s="8"/>
    </row>
    <row r="555" spans="1:10">
      <c r="A555" s="5">
        <v>1192</v>
      </c>
      <c r="B555" s="5" t="s">
        <v>511</v>
      </c>
      <c r="C555" s="8" t="str">
        <f>VLOOKUP(B555,'[3]Sales Force'!$D:$G,4,0)</f>
        <v>Islam Mohamed Elsayed</v>
      </c>
      <c r="D555" s="8" t="str">
        <f>VLOOKUP(B555,'[3]Sales Force'!$D:$J,7,0)</f>
        <v>Sales Rep</v>
      </c>
      <c r="E555" s="8">
        <f>VLOOKUP(C555,[3]Office!$B:$K,10,0)</f>
        <v>884</v>
      </c>
      <c r="F555" s="8" t="str">
        <f>VLOOKUP(B555,'[3]Sales Force'!$D:$L,9,0)</f>
        <v> 01224741224</v>
      </c>
      <c r="G555" s="9">
        <f>VLOOKUP(B555,'[3]Sales Force'!$D:$M,10,0)</f>
        <v>44966</v>
      </c>
      <c r="H555" s="8" t="str">
        <f>VLOOKUP(B555,'[3]Sales Force'!$D:$H,5,0)</f>
        <v>Distribution Line</v>
      </c>
      <c r="I555" s="8"/>
      <c r="J555" s="8"/>
    </row>
    <row r="556" spans="1:10">
      <c r="A556" s="5">
        <v>1773</v>
      </c>
      <c r="B556" s="12" t="s">
        <v>514</v>
      </c>
      <c r="C556" s="8" t="str">
        <f>VLOOKUP(B556,'[3]Sales Force'!$D:$G,4,0)</f>
        <v>Islam Mohamed Elsayed</v>
      </c>
      <c r="D556" s="8" t="str">
        <f>VLOOKUP(B556,'[3]Sales Force'!$D:$J,7,0)</f>
        <v>Sales SV</v>
      </c>
      <c r="E556" s="8">
        <f>VLOOKUP(C556,[3]Office!$B:$K,10,0)</f>
        <v>884</v>
      </c>
      <c r="F556" s="8">
        <f>VLOOKUP(B556,'[3]Sales Force'!$D:$L,9,0)</f>
        <v>1069606665</v>
      </c>
      <c r="G556" s="9">
        <f>VLOOKUP(B556,'[3]Sales Force'!$D:$M,10,0)</f>
        <v>45943</v>
      </c>
      <c r="H556" s="8" t="str">
        <f>VLOOKUP(B556,'[3]Sales Force'!$D:$H,5,0)</f>
        <v>Distribution Line</v>
      </c>
      <c r="I556" s="8"/>
      <c r="J556" s="8"/>
    </row>
    <row r="557" spans="1:10">
      <c r="A557" s="5">
        <v>1830</v>
      </c>
      <c r="B557" s="13" t="s">
        <v>515</v>
      </c>
      <c r="C557" s="8" t="str">
        <f>VLOOKUP(B557,'[3]Sales Force'!$D:$G,4,0)</f>
        <v>Islam Mohamed Elsayed</v>
      </c>
      <c r="D557" s="8" t="str">
        <f>VLOOKUP(B557,'[3]Sales Force'!$D:$J,7,0)</f>
        <v>Sales Rep</v>
      </c>
      <c r="E557" s="8">
        <f>VLOOKUP(C557,[3]Office!$B:$K,10,0)</f>
        <v>884</v>
      </c>
      <c r="F557" s="8">
        <f>VLOOKUP(B557,'[3]Sales Force'!$D:$L,9,0)</f>
        <v>1119888700</v>
      </c>
      <c r="G557" s="9">
        <f>VLOOKUP(B557,'[3]Sales Force'!$D:$M,10,0)</f>
        <v>46025</v>
      </c>
      <c r="H557" s="8" t="str">
        <f>VLOOKUP(B557,'[3]Sales Force'!$D:$H,5,0)</f>
        <v>Distribution Line</v>
      </c>
      <c r="I557" s="8"/>
      <c r="J557" s="8" t="str">
        <f>VLOOKUP(B557,'[3]Sales Force'!$D:$P,13,0)</f>
        <v>Malawy</v>
      </c>
    </row>
    <row r="558" spans="1:10">
      <c r="A558" s="5">
        <v>1788</v>
      </c>
      <c r="B558" s="13" t="s">
        <v>516</v>
      </c>
      <c r="C558" s="8" t="str">
        <f>VLOOKUP(B558,'[3]Sales Force'!$D:$G,4,0)</f>
        <v>Islam Mohamed Elsayed</v>
      </c>
      <c r="D558" s="8" t="str">
        <f>VLOOKUP(B558,'[3]Sales Force'!$D:$J,7,0)</f>
        <v>Sales Rep</v>
      </c>
      <c r="E558" s="8">
        <f>VLOOKUP(C558,[3]Office!$B:$K,10,0)</f>
        <v>884</v>
      </c>
      <c r="F558" s="8">
        <f>VLOOKUP(B558,'[3]Sales Force'!$D:$L,9,0)</f>
        <v>1066576566</v>
      </c>
      <c r="G558" s="9">
        <f>VLOOKUP(B558,'[3]Sales Force'!$D:$M,10,0)</f>
        <v>45963</v>
      </c>
      <c r="H558" s="8" t="str">
        <f>VLOOKUP(B558,'[3]Sales Force'!$D:$H,5,0)</f>
        <v>Distribution Line</v>
      </c>
      <c r="I558" s="8"/>
      <c r="J558" s="8"/>
    </row>
    <row r="559" spans="1:10">
      <c r="A559" s="5">
        <v>1789</v>
      </c>
      <c r="B559" s="13" t="s">
        <v>517</v>
      </c>
      <c r="C559" s="8" t="str">
        <f>VLOOKUP(B559,'[3]Sales Force'!$D:$G,4,0)</f>
        <v>Islam Mohamed Elsayed</v>
      </c>
      <c r="D559" s="8" t="str">
        <f>VLOOKUP(B559,'[3]Sales Force'!$D:$J,7,0)</f>
        <v>Sales Rep</v>
      </c>
      <c r="E559" s="8">
        <f>VLOOKUP(C559,[3]Office!$B:$K,10,0)</f>
        <v>884</v>
      </c>
      <c r="F559" s="8">
        <f>VLOOKUP(B559,'[3]Sales Force'!$D:$L,9,0)</f>
        <v>1018648886</v>
      </c>
      <c r="G559" s="9">
        <f>VLOOKUP(B559,'[3]Sales Force'!$D:$M,10,0)</f>
        <v>45963</v>
      </c>
      <c r="H559" s="8" t="str">
        <f>VLOOKUP(B559,'[3]Sales Force'!$D:$H,5,0)</f>
        <v>Distribution Line</v>
      </c>
      <c r="I559" s="8"/>
      <c r="J559" s="8"/>
    </row>
    <row r="560" spans="1:10">
      <c r="A560" s="5">
        <v>1715</v>
      </c>
      <c r="B560" s="13" t="s">
        <v>518</v>
      </c>
      <c r="C560" s="8" t="str">
        <f>VLOOKUP(B560,'[3]Sales Force'!$D:$G,4,0)</f>
        <v>Islam Mohamed Elsayed</v>
      </c>
      <c r="D560" s="8" t="str">
        <f>VLOOKUP(B560,'[3]Sales Force'!$D:$J,7,0)</f>
        <v>Sales Rep</v>
      </c>
      <c r="E560" s="8">
        <f>VLOOKUP(C560,[3]Office!$B:$K,10,0)</f>
        <v>884</v>
      </c>
      <c r="F560" s="8">
        <f>VLOOKUP(B560,'[3]Sales Force'!$D:$L,9,0)</f>
        <v>1212146490</v>
      </c>
      <c r="G560" s="9">
        <f>VLOOKUP(B560,'[3]Sales Force'!$D:$M,10,0)</f>
        <v>45832</v>
      </c>
      <c r="H560" s="8" t="str">
        <f>VLOOKUP(B560,'[3]Sales Force'!$D:$H,5,0)</f>
        <v>Distribution Line</v>
      </c>
      <c r="I560" s="8"/>
      <c r="J560" s="8"/>
    </row>
    <row r="561" spans="1:10">
      <c r="A561" s="5">
        <v>1786</v>
      </c>
      <c r="B561" s="12" t="s">
        <v>519</v>
      </c>
      <c r="C561" s="8" t="str">
        <f>VLOOKUP(B561,'[3]Sales Force'!$D:$G,4,0)</f>
        <v>Islam Mohamed Elsayed</v>
      </c>
      <c r="D561" s="8" t="str">
        <f>VLOOKUP(B561,'[3]Sales Force'!$D:$J,7,0)</f>
        <v>Sales SV</v>
      </c>
      <c r="E561" s="8">
        <f>VLOOKUP(C561,[3]Office!$B:$K,10,0)</f>
        <v>884</v>
      </c>
      <c r="F561" s="8">
        <f>VLOOKUP(B561,'[3]Sales Force'!$D:$L,9,0)</f>
        <v>1033776652</v>
      </c>
      <c r="G561" s="9">
        <f>VLOOKUP(B561,'[3]Sales Force'!$D:$M,10,0)</f>
        <v>45963</v>
      </c>
      <c r="H561" s="8" t="str">
        <f>VLOOKUP(B561,'[3]Sales Force'!$D:$H,5,0)</f>
        <v>Distribution Line</v>
      </c>
      <c r="I561" s="8"/>
      <c r="J561" s="8"/>
    </row>
    <row r="562" spans="1:10">
      <c r="A562" s="5">
        <v>1717</v>
      </c>
      <c r="B562" s="13" t="s">
        <v>520</v>
      </c>
      <c r="C562" s="8" t="str">
        <f>VLOOKUP(B562,'[3]Sales Force'!$D:$G,4,0)</f>
        <v>Islam Mohamed Elsayed</v>
      </c>
      <c r="D562" s="8" t="str">
        <f>VLOOKUP(B562,'[3]Sales Force'!$D:$J,7,0)</f>
        <v>Sales Rep</v>
      </c>
      <c r="E562" s="8">
        <f>VLOOKUP(C562,[3]Office!$B:$K,10,0)</f>
        <v>884</v>
      </c>
      <c r="F562" s="8">
        <f>VLOOKUP(B562,'[3]Sales Force'!$D:$L,9,0)</f>
        <v>1097697093</v>
      </c>
      <c r="G562" s="9">
        <f>VLOOKUP(B562,'[3]Sales Force'!$D:$M,10,0)</f>
        <v>45832</v>
      </c>
      <c r="H562" s="8" t="str">
        <f>VLOOKUP(B562,'[3]Sales Force'!$D:$H,5,0)</f>
        <v>Distribution Line</v>
      </c>
      <c r="I562" s="8"/>
      <c r="J562" s="8"/>
    </row>
    <row r="563" spans="1:10">
      <c r="A563" s="5">
        <v>1942</v>
      </c>
      <c r="B563" s="14" t="s">
        <v>677</v>
      </c>
      <c r="C563" s="8" t="str">
        <f>VLOOKUP(B563,'[3]Sales Force'!$D:$G,4,0)</f>
        <v>Islam Mohamed Elsayed</v>
      </c>
      <c r="D563" s="8" t="str">
        <f>VLOOKUP(B563,'[3]Sales Force'!$D:$J,7,0)</f>
        <v>Sales Rep</v>
      </c>
      <c r="E563" s="8">
        <f>VLOOKUP(C563,[3]Office!$B:$K,10,0)</f>
        <v>884</v>
      </c>
      <c r="F563" s="8">
        <f>VLOOKUP(B563,'[3]Sales Force'!$D:$L,9,0)</f>
        <v>1115309015</v>
      </c>
      <c r="G563" s="9">
        <f>VLOOKUP(B563,'[3]Sales Force'!$D:$M,10,0)</f>
        <v>46130</v>
      </c>
      <c r="H563" s="8" t="str">
        <f>VLOOKUP(B563,'[3]Sales Force'!$D:$H,5,0)</f>
        <v>Distribution Line</v>
      </c>
      <c r="I563" s="8"/>
      <c r="J563" s="8" t="str">
        <f>VLOOKUP(B563,'[3]Sales Force'!$D:$P,13,0)</f>
        <v>El Kanater El Khairia</v>
      </c>
    </row>
    <row r="564" spans="1:10">
      <c r="A564" s="5">
        <v>1799</v>
      </c>
      <c r="B564" s="13" t="s">
        <v>521</v>
      </c>
      <c r="C564" s="8" t="str">
        <f>VLOOKUP(B564,'[3]Sales Force'!$D:$G,4,0)</f>
        <v>Islam Mohamed Elsayed</v>
      </c>
      <c r="D564" s="8" t="str">
        <f>VLOOKUP(B564,'[3]Sales Force'!$D:$J,7,0)</f>
        <v>Sales Rep</v>
      </c>
      <c r="E564" s="8">
        <f>VLOOKUP(C564,[3]Office!$B:$K,10,0)</f>
        <v>884</v>
      </c>
      <c r="F564" s="8">
        <f>VLOOKUP(B564,'[3]Sales Force'!$D:$L,9,0)</f>
        <v>1017898020</v>
      </c>
      <c r="G564" s="9">
        <f>VLOOKUP(B564,'[3]Sales Force'!$D:$M,10,0)</f>
        <v>45963</v>
      </c>
      <c r="H564" s="8" t="str">
        <f>VLOOKUP(B564,'[3]Sales Force'!$D:$H,5,0)</f>
        <v>Distribution Line</v>
      </c>
      <c r="I564" s="8"/>
      <c r="J564" s="8"/>
    </row>
    <row r="565" spans="1:10">
      <c r="A565" s="5">
        <v>1803</v>
      </c>
      <c r="B565" s="13" t="s">
        <v>522</v>
      </c>
      <c r="C565" s="8" t="str">
        <f>VLOOKUP(B565,'[3]Sales Force'!$D:$G,4,0)</f>
        <v>Islam Mohamed Elsayed</v>
      </c>
      <c r="D565" s="8" t="str">
        <f>VLOOKUP(B565,'[3]Sales Force'!$D:$J,7,0)</f>
        <v>Sales Rep</v>
      </c>
      <c r="E565" s="8">
        <f>VLOOKUP(C565,[3]Office!$B:$K,10,0)</f>
        <v>884</v>
      </c>
      <c r="F565" s="8">
        <f>VLOOKUP(B565,'[3]Sales Force'!$D:$L,9,0)</f>
        <v>1029951581</v>
      </c>
      <c r="G565" s="9">
        <f>VLOOKUP(B565,'[3]Sales Force'!$D:$M,10,0)</f>
        <v>45983</v>
      </c>
      <c r="H565" s="8" t="str">
        <f>VLOOKUP(B565,'[3]Sales Force'!$D:$H,5,0)</f>
        <v>Distribution Line</v>
      </c>
      <c r="I565" s="8"/>
      <c r="J565" s="8"/>
    </row>
    <row r="566" spans="1:10">
      <c r="A566" s="5">
        <v>1787</v>
      </c>
      <c r="B566" s="13" t="s">
        <v>523</v>
      </c>
      <c r="C566" s="8" t="str">
        <f>VLOOKUP(B566,'[3]Sales Force'!$D:$G,4,0)</f>
        <v>Islam Mohamed Elsayed</v>
      </c>
      <c r="D566" s="8" t="str">
        <f>VLOOKUP(B566,'[3]Sales Force'!$D:$J,7,0)</f>
        <v>Sales Rep</v>
      </c>
      <c r="E566" s="8">
        <f>VLOOKUP(C566,[3]Office!$B:$K,10,0)</f>
        <v>884</v>
      </c>
      <c r="F566" s="8">
        <f>VLOOKUP(B566,'[3]Sales Force'!$D:$L,9,0)</f>
        <v>1281489455</v>
      </c>
      <c r="G566" s="9">
        <f>VLOOKUP(B566,'[3]Sales Force'!$D:$M,10,0)</f>
        <v>45963</v>
      </c>
      <c r="H566" s="8" t="str">
        <f>VLOOKUP(B566,'[3]Sales Force'!$D:$H,5,0)</f>
        <v>Distribution Line</v>
      </c>
      <c r="I566" s="8"/>
      <c r="J566" s="8"/>
    </row>
    <row r="567" spans="1:10">
      <c r="A567" s="8">
        <f>VLOOKUP(B567,[3]Office!$B:$K,10,0)</f>
        <v>248</v>
      </c>
      <c r="B567" s="7" t="s">
        <v>524</v>
      </c>
      <c r="C567" s="7" t="s">
        <v>12</v>
      </c>
      <c r="D567" s="8" t="str">
        <f>VLOOKUP(B567,[3]Office!$B:$G,6,0)</f>
        <v>Performance Excellence Manager</v>
      </c>
      <c r="E567" s="41" t="s">
        <v>678</v>
      </c>
      <c r="F567" s="8">
        <f>VLOOKUP(A567,[3]Office!$A:$F,6,0)</f>
        <v>1118022106</v>
      </c>
      <c r="G567" s="8">
        <f>VLOOKUP(A567,[3]Office!$A:$I,9,0)</f>
        <v>0</v>
      </c>
      <c r="H567" s="8" t="str">
        <f>VLOOKUP(A567,[3]Office!$A:$D,4,0)</f>
        <v>Compliance</v>
      </c>
      <c r="I567" s="8" t="str">
        <f>VLOOKUP(A567,[3]Office!$A:$E,5,0)</f>
        <v>walaa.marei@averroes-eg.com</v>
      </c>
      <c r="J567" s="8" t="s">
        <v>16</v>
      </c>
    </row>
    <row r="568" spans="1:10">
      <c r="A568" s="8">
        <f>VLOOKUP(B568,[3]Office!$B:$K,10,0)</f>
        <v>877</v>
      </c>
      <c r="B568" s="7" t="s">
        <v>525</v>
      </c>
      <c r="C568" s="7" t="s">
        <v>12</v>
      </c>
      <c r="D568" s="8" t="str">
        <f>VLOOKUP(B568,[3]Office!$B:$G,6,0)</f>
        <v>HR &amp; Training Manager</v>
      </c>
      <c r="E568" s="41" t="s">
        <v>678</v>
      </c>
      <c r="F568" s="8">
        <f>VLOOKUP(A568,[3]Office!$A:$F,6,0)</f>
        <v>1021539224</v>
      </c>
      <c r="G568" s="9">
        <f>VLOOKUP(A568,[3]Office!$A:$I,9,0)</f>
        <v>44562</v>
      </c>
      <c r="H568" s="8" t="str">
        <f>VLOOKUP(A568,[3]Office!$A:$D,4,0)</f>
        <v>HR</v>
      </c>
      <c r="I568" s="8" t="str">
        <f>VLOOKUP(A568,[3]Office!$A:$E,5,0)</f>
        <v>Mohamed.Moneer.Hassan@averroes-eg.com</v>
      </c>
      <c r="J568" s="8" t="s">
        <v>16</v>
      </c>
    </row>
    <row r="569" spans="1:10">
      <c r="A569" s="8">
        <f>VLOOKUP(B569,[3]Office!$B:$K,10,0)</f>
        <v>181</v>
      </c>
      <c r="B569" s="7" t="s">
        <v>526</v>
      </c>
      <c r="C569" s="7" t="s">
        <v>524</v>
      </c>
      <c r="D569" s="8" t="str">
        <f>VLOOKUP(B569,[3]Office!$B:$G,6,0)</f>
        <v>SFE Manager</v>
      </c>
      <c r="E569" s="8">
        <f>VLOOKUP(C569,[3]Office!$B:$K,10,0)</f>
        <v>248</v>
      </c>
      <c r="F569" s="8">
        <f>VLOOKUP(A569,[3]Office!$A:$F,6,0)</f>
        <v>1552497624</v>
      </c>
      <c r="G569" s="8">
        <f>VLOOKUP(A569,[3]Office!$A:$I,9,0)</f>
        <v>0</v>
      </c>
      <c r="H569" s="8" t="str">
        <f>VLOOKUP(A569,[3]Office!$A:$D,4,0)</f>
        <v>SFE</v>
      </c>
      <c r="I569" s="8" t="str">
        <f>VLOOKUP(A569,[3]Office!$A:$E,5,0)</f>
        <v>mohamed.saied@averroes-eg.com</v>
      </c>
      <c r="J569" s="8" t="s">
        <v>16</v>
      </c>
    </row>
    <row r="570" spans="1:10">
      <c r="A570" s="8">
        <f>VLOOKUP(B570,[3]Office!$B:$K,10,0)</f>
        <v>659</v>
      </c>
      <c r="B570" s="7" t="s">
        <v>527</v>
      </c>
      <c r="C570" s="7" t="s">
        <v>524</v>
      </c>
      <c r="D570" s="8" t="str">
        <f>VLOOKUP(B570,[3]Office!$B:$G,6,0)</f>
        <v>Direct Sales Manager</v>
      </c>
      <c r="E570" s="8">
        <f>VLOOKUP(C570,[3]Office!$B:$K,10,0)</f>
        <v>248</v>
      </c>
      <c r="F570" s="8">
        <f>VLOOKUP(A570,[3]Office!$A:$F,6,0)</f>
        <v>1061444247</v>
      </c>
      <c r="G570" s="8">
        <f>VLOOKUP(A570,[3]Office!$A:$I,9,0)</f>
        <v>0</v>
      </c>
      <c r="H570" s="8" t="str">
        <f>VLOOKUP(A570,[3]Office!$A:$D,4,0)</f>
        <v>Direct Sales</v>
      </c>
      <c r="I570" s="8" t="str">
        <f>VLOOKUP(A570,[3]Office!$A:$E,5,0)</f>
        <v>mohamed.abdelhameid@averroes-eg.com</v>
      </c>
      <c r="J570" s="8" t="s">
        <v>16</v>
      </c>
    </row>
    <row r="571" spans="1:10">
      <c r="A571" s="8">
        <f>VLOOKUP(B571,[3]Office!$B:$K,10,0)</f>
        <v>663</v>
      </c>
      <c r="B571" s="5" t="s">
        <v>528</v>
      </c>
      <c r="C571" s="5" t="s">
        <v>526</v>
      </c>
      <c r="D571" s="8" t="str">
        <f>VLOOKUP(B571,[3]Office!$B:$G,6,0)</f>
        <v>SFE Specialist</v>
      </c>
      <c r="E571" s="8">
        <f>VLOOKUP(C571,[3]Office!$B:$K,10,0)</f>
        <v>181</v>
      </c>
      <c r="F571" s="8">
        <f>VLOOKUP(A571,[3]Office!$A:$F,6,0)</f>
        <v>1061444347</v>
      </c>
      <c r="G571" s="8">
        <f>VLOOKUP(A571,[3]Office!$A:$I,9,0)</f>
        <v>0</v>
      </c>
      <c r="H571" s="8" t="str">
        <f>VLOOKUP(A571,[3]Office!$A:$D,4,0)</f>
        <v>SFE</v>
      </c>
      <c r="I571" s="8" t="str">
        <f>VLOOKUP(A571,[3]Office!$A:$E,5,0)</f>
        <v>mohamed.refaat@averroes-eg.com</v>
      </c>
      <c r="J571" s="8" t="s">
        <v>16</v>
      </c>
    </row>
    <row r="572" spans="1:10">
      <c r="A572" s="8">
        <f>VLOOKUP(B572,[3]Office!$B:$K,10,0)</f>
        <v>1124</v>
      </c>
      <c r="B572" s="5" t="s">
        <v>529</v>
      </c>
      <c r="C572" s="5" t="s">
        <v>526</v>
      </c>
      <c r="D572" s="8" t="str">
        <f>VLOOKUP(B572,[3]Office!$B:$G,6,0)</f>
        <v>SFE Specialist</v>
      </c>
      <c r="E572" s="8">
        <f>VLOOKUP(C572,[3]Office!$B:$K,10,0)</f>
        <v>181</v>
      </c>
      <c r="F572" s="8">
        <f>VLOOKUP(A572,[3]Office!$A:$F,6,0)</f>
        <v>1066254912</v>
      </c>
      <c r="G572" s="9">
        <f>VLOOKUP(A572,[3]Office!$A:$I,9,0)</f>
        <v>44958</v>
      </c>
      <c r="H572" s="8" t="str">
        <f>VLOOKUP(A572,[3]Office!$A:$D,4,0)</f>
        <v>SFE</v>
      </c>
      <c r="I572" s="8" t="str">
        <f>VLOOKUP(A572,[3]Office!$A:$E,5,0)</f>
        <v>Fady.Saied.Ibrahim@averroes-eg.com</v>
      </c>
      <c r="J572" s="8" t="s">
        <v>16</v>
      </c>
    </row>
    <row r="573" spans="1:10">
      <c r="A573" s="8">
        <f>VLOOKUP(B573,[3]Office!$B:$K,10,0)</f>
        <v>1541</v>
      </c>
      <c r="B573" s="5" t="s">
        <v>530</v>
      </c>
      <c r="C573" s="5" t="s">
        <v>526</v>
      </c>
      <c r="D573" s="8" t="str">
        <f>VLOOKUP(B573,[3]Office!$B:$G,6,0)</f>
        <v>SFE Specialist</v>
      </c>
      <c r="E573" s="8">
        <f>VLOOKUP(C573,[3]Office!$B:$K,10,0)</f>
        <v>181</v>
      </c>
      <c r="F573" s="8">
        <f>VLOOKUP(A573,[3]Office!$A:$F,6,0)</f>
        <v>1123823532</v>
      </c>
      <c r="G573" s="9">
        <f>VLOOKUP(A573,[3]Office!$A:$I,9,0)</f>
        <v>45710</v>
      </c>
      <c r="H573" s="8" t="str">
        <f>VLOOKUP(A573,[3]Office!$A:$D,4,0)</f>
        <v>SFE</v>
      </c>
      <c r="I573" s="8" t="str">
        <f>VLOOKUP(A573,[3]Office!$A:$E,5,0)</f>
        <v>Naglaa.AbdElKader@averroes-eg.com</v>
      </c>
      <c r="J573" s="8" t="s">
        <v>16</v>
      </c>
    </row>
    <row r="574" spans="1:10">
      <c r="A574" s="8">
        <f>VLOOKUP(B574,[3]Office!$B:$K,10,0)</f>
        <v>1751</v>
      </c>
      <c r="B574" s="5" t="s">
        <v>531</v>
      </c>
      <c r="C574" s="5" t="s">
        <v>526</v>
      </c>
      <c r="D574" s="8" t="str">
        <f>VLOOKUP(B574,[3]Office!$B:$G,6,0)</f>
        <v>SFE Specialist</v>
      </c>
      <c r="E574" s="8">
        <f>VLOOKUP(C574,[3]Office!$B:$K,10,0)</f>
        <v>181</v>
      </c>
      <c r="F574" s="8">
        <f>VLOOKUP(A574,[3]Office!$A:$F,6,0)</f>
        <v>1274938471</v>
      </c>
      <c r="G574" s="9">
        <f>VLOOKUP(A574,[3]Office!$A:$I,9,0)</f>
        <v>45915</v>
      </c>
      <c r="H574" s="8" t="str">
        <f>VLOOKUP(A574,[3]Office!$A:$D,4,0)</f>
        <v>SFE</v>
      </c>
      <c r="I574" s="8" t="str">
        <f>VLOOKUP(A574,[3]Office!$A:$E,5,0)</f>
        <v>Peter.Nagdy@averroes-eg.com</v>
      </c>
      <c r="J574" s="8" t="s">
        <v>16</v>
      </c>
    </row>
    <row r="575" spans="1:10">
      <c r="A575" s="8">
        <f>VLOOKUP(B575,[3]Office!$B:$K,10,0)</f>
        <v>934</v>
      </c>
      <c r="B575" s="5" t="s">
        <v>532</v>
      </c>
      <c r="C575" s="5" t="s">
        <v>525</v>
      </c>
      <c r="D575" s="8" t="str">
        <f>VLOOKUP(B575,[3]Office!$B:$G,6,0)</f>
        <v>Training Specialist</v>
      </c>
      <c r="E575" s="8">
        <f>VLOOKUP(C575,[3]Office!$B:$K,10,0)</f>
        <v>877</v>
      </c>
      <c r="F575" s="8">
        <f>VLOOKUP(A575,[3]Office!$A:$F,6,0)</f>
        <v>1279089941</v>
      </c>
      <c r="G575" s="9">
        <f>VLOOKUP(A575,[3]Office!$A:$I,9,0)</f>
        <v>44605</v>
      </c>
      <c r="H575" s="8" t="str">
        <f>VLOOKUP(A575,[3]Office!$A:$D,4,0)</f>
        <v>Training</v>
      </c>
      <c r="I575" s="8" t="str">
        <f>VLOOKUP(A575,[3]Office!$A:$E,5,0)</f>
        <v>Aghathon.Loukas.Mokhles@averroes-eg.com</v>
      </c>
      <c r="J575" s="8" t="s">
        <v>16</v>
      </c>
    </row>
    <row r="576" spans="1:10">
      <c r="A576" s="8">
        <f>VLOOKUP(B576,[3]Office!$B:$K,10,0)</f>
        <v>657</v>
      </c>
      <c r="B576" s="5" t="s">
        <v>11</v>
      </c>
      <c r="C576" s="5" t="s">
        <v>525</v>
      </c>
      <c r="D576" s="8" t="str">
        <f>VLOOKUP(B576,[3]Office!$B:$G,6,0)</f>
        <v>HR Specialist</v>
      </c>
      <c r="E576" s="8">
        <f>VLOOKUP(C576,[3]Office!$B:$K,10,0)</f>
        <v>877</v>
      </c>
      <c r="F576" s="8">
        <f>VLOOKUP(A576,[3]Office!$A:$F,6,0)</f>
        <v>1030821888</v>
      </c>
      <c r="G576" s="8">
        <f>VLOOKUP(A576,[3]Office!$A:$I,9,0)</f>
        <v>0</v>
      </c>
      <c r="H576" s="8" t="str">
        <f>VLOOKUP(A576,[3]Office!$A:$D,4,0)</f>
        <v>HR</v>
      </c>
      <c r="I576" s="8" t="str">
        <f>VLOOKUP(A576,[3]Office!$A:$E,5,0)</f>
        <v>ahmed.ibrahim@averroes-eg.com</v>
      </c>
      <c r="J576" s="8" t="s">
        <v>16</v>
      </c>
    </row>
    <row r="577" spans="1:10">
      <c r="A577" s="8">
        <f>VLOOKUP(B577,[3]Office!$B:$K,10,0)</f>
        <v>224</v>
      </c>
      <c r="B577" s="5" t="s">
        <v>533</v>
      </c>
      <c r="C577" s="5" t="s">
        <v>525</v>
      </c>
      <c r="D577" s="8" t="str">
        <f>VLOOKUP(B577,[3]Office!$B:$G,6,0)</f>
        <v>Senior Talent Acquisition</v>
      </c>
      <c r="E577" s="8">
        <f>VLOOKUP(C577,[3]Office!$B:$K,10,0)</f>
        <v>877</v>
      </c>
      <c r="F577" s="8">
        <f>VLOOKUP(A577,[3]Office!$A:$F,6,0)</f>
        <v>1112286918</v>
      </c>
      <c r="G577" s="9">
        <f>VLOOKUP(A577,[3]Office!$A:$I,9,0)</f>
        <v>0</v>
      </c>
      <c r="H577" s="8" t="str">
        <f>VLOOKUP(A577,[3]Office!$A:$D,4,0)</f>
        <v>HR</v>
      </c>
      <c r="I577" s="8" t="str">
        <f>VLOOKUP(A577,[3]Office!$A:$E,5,0)</f>
        <v>habiba.tarek2@averroes-eg.com</v>
      </c>
      <c r="J577" s="8" t="s">
        <v>16</v>
      </c>
    </row>
    <row r="578" spans="1:10">
      <c r="A578" s="8">
        <f>VLOOKUP(B578,[3]Office!$B:$K,10,0)</f>
        <v>1795</v>
      </c>
      <c r="B578" s="5" t="s">
        <v>534</v>
      </c>
      <c r="C578" s="5" t="s">
        <v>525</v>
      </c>
      <c r="D578" s="8" t="str">
        <f>VLOOKUP(B578,[3]Office!$B:$G,6,0)</f>
        <v>HR Specialist</v>
      </c>
      <c r="E578" s="8">
        <f>VLOOKUP(C578,[3]Office!$B:$K,10,0)</f>
        <v>877</v>
      </c>
      <c r="F578" s="8">
        <f>VLOOKUP(A578,[3]Office!$A:$F,6,0)</f>
        <v>1095725086</v>
      </c>
      <c r="G578" s="9">
        <f>VLOOKUP(A578,[3]Office!$A:$I,9,0)</f>
        <v>45689</v>
      </c>
      <c r="H578" s="8" t="str">
        <f>VLOOKUP(A578,[3]Office!$A:$D,4,0)</f>
        <v>HR</v>
      </c>
      <c r="I578" s="8"/>
      <c r="J578" s="8" t="s">
        <v>16</v>
      </c>
    </row>
    <row r="579" spans="1:10">
      <c r="A579" s="8">
        <f>VLOOKUP(B579,[3]Office!$B:$K,10,0)</f>
        <v>1783</v>
      </c>
      <c r="B579" s="5" t="s">
        <v>535</v>
      </c>
      <c r="C579" s="5" t="s">
        <v>525</v>
      </c>
      <c r="D579" s="8" t="str">
        <f>VLOOKUP(B579,[3]Office!$B:$G,6,0)</f>
        <v>Senior Talent Acquisition</v>
      </c>
      <c r="E579" s="8">
        <f>VLOOKUP(C579,[3]Office!$B:$K,10,0)</f>
        <v>877</v>
      </c>
      <c r="F579" s="8" t="str">
        <f>VLOOKUP(A579,[3]Office!$A:$F,6,0)</f>
        <v>1003282528 </v>
      </c>
      <c r="G579" s="9">
        <f>VLOOKUP(A579,[3]Office!$A:$I,9,0)</f>
        <v>45963</v>
      </c>
      <c r="H579" s="8" t="str">
        <f>VLOOKUP(A579,[3]Office!$A:$D,4,0)</f>
        <v>HR</v>
      </c>
      <c r="I579" s="8" t="str">
        <f>VLOOKUP(A579,[3]Office!$A:$E,5,0)</f>
        <v>Shorouk.Sayed@averroes-eg.com</v>
      </c>
      <c r="J579" s="8" t="s">
        <v>16</v>
      </c>
    </row>
    <row r="580" spans="1:10">
      <c r="A580" s="8">
        <f>VLOOKUP(B580,[3]Office!$B:$K,10,0)</f>
        <v>1801</v>
      </c>
      <c r="B580" s="5" t="s">
        <v>536</v>
      </c>
      <c r="C580" s="5" t="s">
        <v>525</v>
      </c>
      <c r="D580" s="8" t="str">
        <f>VLOOKUP(B580,[3]Office!$B:$G,6,0)</f>
        <v>HR Specialist</v>
      </c>
      <c r="E580" s="8">
        <f>VLOOKUP(C580,[3]Office!$B:$K,10,0)</f>
        <v>877</v>
      </c>
      <c r="F580" s="8" t="str">
        <f>VLOOKUP(A580,[3]Office!$A:$F,6,0)</f>
        <v>1055982844 </v>
      </c>
      <c r="G580" s="9">
        <f>VLOOKUP(A580,[3]Office!$A:$I,9,0)</f>
        <v>45977</v>
      </c>
      <c r="H580" s="8" t="str">
        <f>VLOOKUP(A580,[3]Office!$A:$D,4,0)</f>
        <v>HR</v>
      </c>
      <c r="I580" s="8" t="str">
        <f>VLOOKUP(A580,[3]Office!$A:$E,5,0)</f>
        <v>Nada.AbdelHakeem.Mohamed@averroes-eg.com</v>
      </c>
      <c r="J580" s="8" t="s">
        <v>16</v>
      </c>
    </row>
    <row r="581" spans="1:10">
      <c r="A581" s="8">
        <f>VLOOKUP(B581,[3]Office!$B:$K,10,0)</f>
        <v>146</v>
      </c>
      <c r="B581" s="5" t="s">
        <v>537</v>
      </c>
      <c r="C581" s="5" t="s">
        <v>524</v>
      </c>
      <c r="D581" s="8" t="str">
        <f>VLOOKUP(B581,[3]Office!$B:$G,6,0)</f>
        <v>Associate Compliance</v>
      </c>
      <c r="E581" s="8">
        <f>VLOOKUP(C581,[3]Office!$B:$K,10,0)</f>
        <v>248</v>
      </c>
      <c r="F581" s="8">
        <f>VLOOKUP(A581,[3]Office!$A:$F,6,0)</f>
        <v>1277642246</v>
      </c>
      <c r="G581" s="8">
        <f>VLOOKUP(A581,[3]Office!$A:$I,9,0)</f>
        <v>0</v>
      </c>
      <c r="H581" s="8" t="str">
        <f>VLOOKUP(A581,[3]Office!$A:$D,4,0)</f>
        <v>Compliance</v>
      </c>
      <c r="I581" s="8" t="str">
        <f>VLOOKUP(A581,[3]Office!$A:$E,5,0)</f>
        <v>michael.ishaq@averroes-eg.com</v>
      </c>
      <c r="J581" s="8" t="s">
        <v>16</v>
      </c>
    </row>
    <row r="582" spans="1:10">
      <c r="A582" s="8">
        <f>VLOOKUP(B582,[3]Office!$B:$K,10,0)</f>
        <v>741</v>
      </c>
      <c r="B582" s="5" t="s">
        <v>538</v>
      </c>
      <c r="C582" s="5" t="s">
        <v>524</v>
      </c>
      <c r="D582" s="8" t="str">
        <f>VLOOKUP(B582,[3]Office!$B:$G,6,0)</f>
        <v>Field Compliance Specialist</v>
      </c>
      <c r="E582" s="8">
        <f>VLOOKUP(C582,[3]Office!$B:$K,10,0)</f>
        <v>248</v>
      </c>
      <c r="F582" s="8">
        <f>VLOOKUP(A582,[3]Office!$A:$F,6,0)</f>
        <v>1118574998</v>
      </c>
      <c r="G582" s="9">
        <f>VLOOKUP(A582,[3]Office!$A:$I,9,0)</f>
        <v>44240</v>
      </c>
      <c r="H582" s="8" t="str">
        <f>VLOOKUP(A582,[3]Office!$A:$D,4,0)</f>
        <v>Compliance</v>
      </c>
      <c r="I582" s="8" t="str">
        <f>VLOOKUP(A582,[3]Office!$A:$E,5,0)</f>
        <v>Samer.Samir@Averroes-eg.com</v>
      </c>
      <c r="J582" s="8" t="s">
        <v>16</v>
      </c>
    </row>
    <row r="583" spans="1:10">
      <c r="A583" s="8">
        <f>VLOOKUP(B583,[3]Office!$B:$K,10,0)</f>
        <v>721</v>
      </c>
      <c r="B583" s="5" t="s">
        <v>539</v>
      </c>
      <c r="C583" s="5" t="s">
        <v>524</v>
      </c>
      <c r="D583" s="8" t="str">
        <f>VLOOKUP(B583,[3]Office!$B:$G,6,0)</f>
        <v>Field Compliance Specialist</v>
      </c>
      <c r="E583" s="8">
        <f>VLOOKUP(C583,[3]Office!$B:$K,10,0)</f>
        <v>248</v>
      </c>
      <c r="F583" s="8">
        <f>VLOOKUP(A583,[3]Office!$A:$F,6,0)</f>
        <v>1030817555</v>
      </c>
      <c r="G583" s="9">
        <f>VLOOKUP(A583,[3]Office!$A:$I,9,0)</f>
        <v>44228</v>
      </c>
      <c r="H583" s="8" t="str">
        <f>VLOOKUP(A583,[3]Office!$A:$D,4,0)</f>
        <v>Compliance</v>
      </c>
      <c r="I583" s="8" t="str">
        <f>VLOOKUP(A583,[3]Office!$A:$E,5,0)</f>
        <v>mina.adel.fouad@averroes-eg.com</v>
      </c>
      <c r="J583" s="8" t="s">
        <v>16</v>
      </c>
    </row>
    <row r="584" spans="1:10">
      <c r="A584" s="8">
        <f>VLOOKUP(B584,[3]Office!$B:$K,10,0)</f>
        <v>932</v>
      </c>
      <c r="B584" s="5" t="s">
        <v>540</v>
      </c>
      <c r="C584" s="5" t="s">
        <v>524</v>
      </c>
      <c r="D584" s="8" t="str">
        <f>VLOOKUP(B584,[3]Office!$B:$G,6,0)</f>
        <v>Field Compliance Specialist</v>
      </c>
      <c r="E584" s="8">
        <f>VLOOKUP(C584,[3]Office!$B:$K,10,0)</f>
        <v>248</v>
      </c>
      <c r="F584" s="8">
        <f>VLOOKUP(A584,[3]Office!$A:$F,6,0)</f>
        <v>1022257363</v>
      </c>
      <c r="G584" s="9">
        <f>VLOOKUP(A584,[3]Office!$A:$I,9,0)</f>
        <v>44604</v>
      </c>
      <c r="H584" s="8" t="str">
        <f>VLOOKUP(A584,[3]Office!$A:$D,4,0)</f>
        <v>Compliance</v>
      </c>
      <c r="I584" s="8" t="str">
        <f>VLOOKUP(A584,[3]Office!$A:$E,5,0)</f>
        <v>Mohamed.ElSaid.Metwally@averroes-eg.com</v>
      </c>
      <c r="J584" s="8" t="s">
        <v>16</v>
      </c>
    </row>
    <row r="585" spans="1:10">
      <c r="A585" s="8">
        <f>VLOOKUP(B585,[3]Office!$B:$K,10,0)</f>
        <v>1266</v>
      </c>
      <c r="B585" s="5" t="s">
        <v>541</v>
      </c>
      <c r="C585" s="5" t="s">
        <v>524</v>
      </c>
      <c r="D585" s="8" t="str">
        <f>VLOOKUP(B585,[3]Office!$B:$G,6,0)</f>
        <v>Field Compliance Specialist</v>
      </c>
      <c r="E585" s="8">
        <f>VLOOKUP(C585,[3]Office!$B:$K,10,0)</f>
        <v>248</v>
      </c>
      <c r="F585" s="8">
        <f>VLOOKUP(A585,[3]Office!$A:$F,6,0)</f>
        <v>1060471962</v>
      </c>
      <c r="G585" s="9">
        <f>VLOOKUP(A585,[3]Office!$A:$I,9,0)</f>
        <v>45182</v>
      </c>
      <c r="H585" s="8" t="str">
        <f>VLOOKUP(A585,[3]Office!$A:$D,4,0)</f>
        <v>Compliance</v>
      </c>
      <c r="I585" s="8" t="str">
        <f>VLOOKUP(A585,[3]Office!$A:$E,5,0)</f>
        <v>Omar.AbdelRahman.Mousa@averroes-eg.com</v>
      </c>
      <c r="J585" s="8" t="s">
        <v>16</v>
      </c>
    </row>
    <row r="586" spans="1:10">
      <c r="A586" s="8">
        <f>VLOOKUP(B586,[3]Office!$B:$K,10,0)</f>
        <v>1778</v>
      </c>
      <c r="B586" s="5" t="s">
        <v>542</v>
      </c>
      <c r="C586" s="5" t="s">
        <v>524</v>
      </c>
      <c r="D586" s="8" t="str">
        <f>VLOOKUP(B586,[3]Office!$B:$G,6,0)</f>
        <v>Field Compliance Specialist</v>
      </c>
      <c r="E586" s="8">
        <f>VLOOKUP(C586,[3]Office!$B:$K,10,0)</f>
        <v>248</v>
      </c>
      <c r="F586" s="8">
        <f>VLOOKUP(A586,[3]Office!$A:$F,6,0)</f>
        <v>1223525748</v>
      </c>
      <c r="G586" s="9">
        <f>VLOOKUP(A586,[3]Office!$A:$I,9,0)</f>
        <v>45962</v>
      </c>
      <c r="H586" s="8" t="str">
        <f>VLOOKUP(A586,[3]Office!$A:$D,4,0)</f>
        <v>Compliance</v>
      </c>
      <c r="I586" s="8" t="str">
        <f>VLOOKUP(A586,[3]Office!$A:$E,5,0)</f>
        <v>Ramy.Kamil.Kamal@averroes-eg.com</v>
      </c>
      <c r="J586" s="8" t="s">
        <v>16</v>
      </c>
    </row>
    <row r="587" spans="1:10">
      <c r="A587" s="8">
        <f>VLOOKUP(B587,[3]Office!$B:$K,10,0)</f>
        <v>1846</v>
      </c>
      <c r="B587" s="5" t="s">
        <v>543</v>
      </c>
      <c r="C587" s="5" t="s">
        <v>524</v>
      </c>
      <c r="D587" s="8" t="str">
        <f>VLOOKUP(B587,[3]Office!$B:$G,6,0)</f>
        <v>Field Compliance Specialist</v>
      </c>
      <c r="E587" s="8">
        <f>VLOOKUP(C587,[3]Office!$B:$K,10,0)</f>
        <v>248</v>
      </c>
      <c r="F587" s="8">
        <f>VLOOKUP(A587,[3]Office!$A:$F,6,0)</f>
        <v>1061042181</v>
      </c>
      <c r="G587" s="9">
        <f>VLOOKUP(A587,[3]Office!$A:$I,9,0)</f>
        <v>46054</v>
      </c>
      <c r="H587" s="8" t="str">
        <f>VLOOKUP(A587,[3]Office!$A:$D,4,0)</f>
        <v>Compliance</v>
      </c>
      <c r="I587" s="8" t="str">
        <f>VLOOKUP(A587,[3]Office!$A:$E,5,0)</f>
        <v>Sara.Mohamed.Osama@averroes-eg.com</v>
      </c>
      <c r="J587" s="8" t="s">
        <v>16</v>
      </c>
    </row>
    <row r="588" spans="1:10">
      <c r="A588" s="8">
        <f>VLOOKUP(B588,[3]Office!$B:$K,10,0)</f>
        <v>1923</v>
      </c>
      <c r="B588" s="5" t="s">
        <v>679</v>
      </c>
      <c r="C588" s="5" t="s">
        <v>524</v>
      </c>
      <c r="D588" s="8" t="str">
        <f>VLOOKUP(B588,[3]Office!$B:$G,6,0)</f>
        <v>Field Compliance Specialist</v>
      </c>
      <c r="E588" s="8">
        <f>VLOOKUP(C588,[3]Office!$B:$K,10,0)</f>
        <v>248</v>
      </c>
      <c r="F588" s="8">
        <f>VLOOKUP(A588,[3]Office!$A:$F,6,0)</f>
        <v>1065631010</v>
      </c>
      <c r="G588" s="9">
        <f>VLOOKUP(A588,[3]Office!$A:$I,9,0)</f>
        <v>46095</v>
      </c>
      <c r="H588" s="8" t="str">
        <f>VLOOKUP(A588,[3]Office!$A:$D,4,0)</f>
        <v>Compliance</v>
      </c>
      <c r="I588" s="8" t="str">
        <f>VLOOKUP(A588,[3]Office!$A:$E,5,0)</f>
        <v>Ali.Fathy.Belal@averroes-eg.com</v>
      </c>
      <c r="J588" s="8" t="s">
        <v>16</v>
      </c>
    </row>
    <row r="589" spans="1:10">
      <c r="A589" s="8">
        <f>VLOOKUP(B589,[3]Office!$B:$K,10,0)</f>
        <v>1035</v>
      </c>
      <c r="B589" s="5" t="s">
        <v>544</v>
      </c>
      <c r="C589" s="5" t="s">
        <v>527</v>
      </c>
      <c r="D589" s="8" t="str">
        <f>VLOOKUP(B589,[3]Office!$B:$G,6,0)</f>
        <v>Operation Supervisor</v>
      </c>
      <c r="E589" s="8">
        <f>VLOOKUP(C589,[3]Office!$B:$K,10,0)</f>
        <v>659</v>
      </c>
      <c r="F589" s="8">
        <f>VLOOKUP(A589,[3]Office!$A:$F,6,0)</f>
        <v>1278844840</v>
      </c>
      <c r="G589" s="9">
        <f>VLOOKUP(A589,[3]Office!$A:$I,9,0)</f>
        <v>44913</v>
      </c>
      <c r="H589" s="8" t="str">
        <f>VLOOKUP(A589,[3]Office!$A:$D,4,0)</f>
        <v>Operation</v>
      </c>
      <c r="I589" s="8" t="str">
        <f>VLOOKUP(A589,[3]Office!$A:$E,5,0)</f>
        <v>Nermeen.Amin.Khalil@averroes-eg.com</v>
      </c>
      <c r="J589" s="8" t="s">
        <v>16</v>
      </c>
    </row>
    <row r="590" spans="1:10">
      <c r="A590" s="8">
        <f>VLOOKUP(B590,[3]Office!$B:$K,10,0)</f>
        <v>1904</v>
      </c>
      <c r="B590" s="5" t="s">
        <v>680</v>
      </c>
      <c r="C590" s="5" t="s">
        <v>527</v>
      </c>
      <c r="D590" s="8" t="str">
        <f>VLOOKUP(B590,[3]Office!$B:$G,6,0)</f>
        <v>Accountant</v>
      </c>
      <c r="E590" s="8">
        <f>VLOOKUP(C590,[3]Office!$B:$K,10,0)</f>
        <v>659</v>
      </c>
      <c r="F590" s="8">
        <f>VLOOKUP(A590,[3]Office!$A:$F,6,0)</f>
        <v>1091105659</v>
      </c>
      <c r="G590" s="9">
        <f>VLOOKUP(A590,[3]Office!$A:$I,9,0)</f>
        <v>46089</v>
      </c>
      <c r="H590" s="8" t="str">
        <f>VLOOKUP(A590,[3]Office!$A:$D,4,0)</f>
        <v>Operation</v>
      </c>
      <c r="I590" s="8"/>
      <c r="J590" s="8" t="s">
        <v>16</v>
      </c>
    </row>
    <row r="591" spans="1:10">
      <c r="A591" s="8">
        <f>VLOOKUP(B591,[3]Office!$B:$K,10,0)</f>
        <v>1265</v>
      </c>
      <c r="B591" s="5" t="s">
        <v>557</v>
      </c>
      <c r="C591" s="5" t="s">
        <v>544</v>
      </c>
      <c r="D591" s="8" t="str">
        <f>VLOOKUP(B591,[3]Office!$B:$G,6,0)</f>
        <v>Operation and Analytics Specialist</v>
      </c>
      <c r="E591" s="8">
        <f>VLOOKUP(C591,[3]Office!$B:$K,10,0)</f>
        <v>1035</v>
      </c>
      <c r="F591" s="8">
        <f>VLOOKUP(A591,[3]Office!$A:$F,6,0)</f>
        <v>1554694554</v>
      </c>
      <c r="G591" s="9">
        <f>VLOOKUP(A591,[3]Office!$A:$I,9,0)</f>
        <v>45179</v>
      </c>
      <c r="H591" s="8" t="str">
        <f>VLOOKUP(A591,[3]Office!$A:$D,4,0)</f>
        <v>Unit Admin</v>
      </c>
      <c r="I591" s="8" t="str">
        <f>VLOOKUP(A591,[3]Office!$A:$E,5,0)</f>
        <v>Mohamed.AbdElGhany.Omar@averroes-eg.com</v>
      </c>
      <c r="J591" s="8" t="s">
        <v>16</v>
      </c>
    </row>
    <row r="592" spans="1:10">
      <c r="A592" s="8">
        <f>VLOOKUP(B592,[3]Office!$B:$K,10,0)</f>
        <v>8</v>
      </c>
      <c r="B592" s="5" t="s">
        <v>558</v>
      </c>
      <c r="C592" s="5" t="s">
        <v>544</v>
      </c>
      <c r="D592" s="8" t="str">
        <f>VLOOKUP(B592,[3]Office!$B:$G,6,0)</f>
        <v>Operation Specialist</v>
      </c>
      <c r="E592" s="8">
        <f>VLOOKUP(C592,[3]Office!$B:$K,10,0)</f>
        <v>1035</v>
      </c>
      <c r="F592" s="8">
        <f>VLOOKUP(A592,[3]Office!$A:$F,6,0)</f>
        <v>1066082702</v>
      </c>
      <c r="G592" s="9">
        <f>VLOOKUP(A592,[3]Office!$A:$I,9,0)</f>
        <v>39237</v>
      </c>
      <c r="H592" s="8" t="str">
        <f>VLOOKUP(A592,[3]Office!$A:$D,4,0)</f>
        <v>Unit Admin</v>
      </c>
      <c r="I592" s="8" t="str">
        <f>VLOOKUP(A592,[3]Office!$A:$E,5,0)</f>
        <v>Fatima.Mohamed@averroes-eg.com</v>
      </c>
      <c r="J592" s="8" t="s">
        <v>16</v>
      </c>
    </row>
    <row r="593" spans="1:10">
      <c r="A593" s="8">
        <f>VLOOKUP(B593,[3]Office!$B:$K,10,0)</f>
        <v>802</v>
      </c>
      <c r="B593" s="5" t="s">
        <v>556</v>
      </c>
      <c r="C593" s="5" t="s">
        <v>544</v>
      </c>
      <c r="D593" s="8" t="str">
        <f>VLOOKUP(B593,[3]Office!$B:$G,6,0)</f>
        <v>Operation Specialist</v>
      </c>
      <c r="E593" s="8">
        <f>VLOOKUP(C593,[3]Office!$B:$K,10,0)</f>
        <v>1035</v>
      </c>
      <c r="F593" s="8">
        <f>VLOOKUP(A593,[3]Office!$A:$F,6,0)</f>
        <v>1113580088</v>
      </c>
      <c r="G593" s="9">
        <f>VLOOKUP(A593,[3]Office!$A:$I,9,0)</f>
        <v>44381</v>
      </c>
      <c r="H593" s="8" t="str">
        <f>VLOOKUP(A593,[3]Office!$A:$D,4,0)</f>
        <v>Operation</v>
      </c>
      <c r="I593" s="8" t="str">
        <f>VLOOKUP(A593,[3]Office!$A:$E,5,0)</f>
        <v>Samar.Samy.Ibrahim@averroes-eg.com</v>
      </c>
      <c r="J593" s="8" t="s">
        <v>16</v>
      </c>
    </row>
    <row r="594" spans="1:10">
      <c r="A594" s="8">
        <f>VLOOKUP(B594,[3]Office!$B:$K,10,0)</f>
        <v>563</v>
      </c>
      <c r="B594" s="5" t="s">
        <v>545</v>
      </c>
      <c r="C594" s="5" t="s">
        <v>681</v>
      </c>
      <c r="D594" s="8" t="str">
        <f>VLOOKUP(B594,[3]Office!$B:$G,6,0)</f>
        <v>Product Manager</v>
      </c>
      <c r="E594" s="8">
        <f>VLOOKUP(C594,[3]Office!$B:$K,10,0)</f>
        <v>665</v>
      </c>
      <c r="F594" s="8">
        <f>VLOOKUP(A594,[3]Office!$A:$F,6,0)</f>
        <v>1004846375</v>
      </c>
      <c r="G594" s="8">
        <f>VLOOKUP(A594,[3]Office!$A:$I,9,0)</f>
        <v>0</v>
      </c>
      <c r="H594" s="8" t="str">
        <f>VLOOKUP(A594,[3]Office!$A:$D,4,0)</f>
        <v>Marketing</v>
      </c>
      <c r="I594" s="8" t="str">
        <f>VLOOKUP(A594,[3]Office!$A:$E,5,0)</f>
        <v>mohamed.enaya@averroes-eg.com</v>
      </c>
      <c r="J594" s="8" t="s">
        <v>16</v>
      </c>
    </row>
    <row r="595" spans="1:10">
      <c r="A595" s="8">
        <f>VLOOKUP(B595,[3]Office!$B:$K,10,0)</f>
        <v>72</v>
      </c>
      <c r="B595" s="5" t="s">
        <v>546</v>
      </c>
      <c r="C595" s="5" t="s">
        <v>681</v>
      </c>
      <c r="D595" s="8" t="str">
        <f>VLOOKUP(B595,[3]Office!$B:$G,6,0)</f>
        <v>Product Manager</v>
      </c>
      <c r="E595" s="8">
        <f>VLOOKUP(C595,[3]Office!$B:$K,10,0)</f>
        <v>665</v>
      </c>
      <c r="F595" s="8">
        <f>VLOOKUP(A595,[3]Office!$A:$F,6,0)</f>
        <v>1096958681</v>
      </c>
      <c r="G595" s="8">
        <f>VLOOKUP(A595,[3]Office!$A:$I,9,0)</f>
        <v>0</v>
      </c>
      <c r="H595" s="8" t="str">
        <f>VLOOKUP(A595,[3]Office!$A:$D,4,0)</f>
        <v>Marketing</v>
      </c>
      <c r="I595" s="8" t="str">
        <f>VLOOKUP(A595,[3]Office!$A:$E,5,0)</f>
        <v>mostafa.elbanna@averroes-eg.com</v>
      </c>
      <c r="J595" s="8" t="s">
        <v>16</v>
      </c>
    </row>
    <row r="596" spans="1:10">
      <c r="A596" s="8">
        <f>VLOOKUP(B596,[3]Office!$B:$K,10,0)</f>
        <v>945</v>
      </c>
      <c r="B596" s="5" t="s">
        <v>547</v>
      </c>
      <c r="C596" s="5" t="s">
        <v>681</v>
      </c>
      <c r="D596" s="8" t="str">
        <f>VLOOKUP(B596,[3]Office!$B:$G,6,0)</f>
        <v>Product Manager</v>
      </c>
      <c r="E596" s="8">
        <f>VLOOKUP(C596,[3]Office!$B:$K,10,0)</f>
        <v>665</v>
      </c>
      <c r="F596" s="8">
        <f>VLOOKUP(A596,[3]Office!$A:$F,6,0)</f>
        <v>1020985077</v>
      </c>
      <c r="G596" s="9">
        <f>VLOOKUP(A596,[3]Office!$A:$I,9,0)</f>
        <v>44598</v>
      </c>
      <c r="H596" s="8" t="str">
        <f>VLOOKUP(A596,[3]Office!$A:$D,4,0)</f>
        <v>Marketing</v>
      </c>
      <c r="I596" s="8" t="str">
        <f>VLOOKUP(A596,[3]Office!$A:$E,5,0)</f>
        <v>Khaled.ElGendy@averroes-eg.com</v>
      </c>
      <c r="J596" s="8" t="s">
        <v>16</v>
      </c>
    </row>
    <row r="597" spans="1:10">
      <c r="A597" s="8">
        <f>VLOOKUP(B597,[3]Office!$B:$K,10,0)</f>
        <v>968</v>
      </c>
      <c r="B597" s="5" t="s">
        <v>548</v>
      </c>
      <c r="C597" s="5" t="s">
        <v>681</v>
      </c>
      <c r="D597" s="8" t="str">
        <f>VLOOKUP(B597,[3]Office!$B:$G,6,0)</f>
        <v>Product Manager</v>
      </c>
      <c r="E597" s="8">
        <f>VLOOKUP(C597,[3]Office!$B:$K,10,0)</f>
        <v>665</v>
      </c>
      <c r="F597" s="8">
        <f>VLOOKUP(A597,[3]Office!$A:$F,6,0)</f>
        <v>1114000922</v>
      </c>
      <c r="G597" s="9">
        <f>VLOOKUP(A597,[3]Office!$A:$I,9,0)</f>
        <v>44699</v>
      </c>
      <c r="H597" s="8" t="str">
        <f>VLOOKUP(A597,[3]Office!$A:$D,4,0)</f>
        <v>Marketing</v>
      </c>
      <c r="I597" s="8" t="str">
        <f>VLOOKUP(A597,[3]Office!$A:$E,5,0)</f>
        <v>Abdallah.Roshdy@averroes-eg.com</v>
      </c>
      <c r="J597" s="8" t="s">
        <v>16</v>
      </c>
    </row>
    <row r="598" spans="1:10">
      <c r="A598" s="8">
        <f>VLOOKUP(B598,[3]Office!$B:$K,10,0)</f>
        <v>1001</v>
      </c>
      <c r="B598" s="5" t="s">
        <v>549</v>
      </c>
      <c r="C598" s="5" t="s">
        <v>681</v>
      </c>
      <c r="D598" s="8" t="str">
        <f>VLOOKUP(B598,[3]Office!$B:$G,6,0)</f>
        <v>Product Manager</v>
      </c>
      <c r="E598" s="8">
        <f>VLOOKUP(C598,[3]Office!$B:$K,10,0)</f>
        <v>665</v>
      </c>
      <c r="F598" s="8">
        <f>VLOOKUP(A598,[3]Office!$A:$F,6,0)</f>
        <v>1021360024</v>
      </c>
      <c r="G598" s="9">
        <f>VLOOKUP(A598,[3]Office!$A:$I,9,0)</f>
        <v>44819</v>
      </c>
      <c r="H598" s="8" t="str">
        <f>VLOOKUP(A598,[3]Office!$A:$D,4,0)</f>
        <v>Marketing</v>
      </c>
      <c r="I598" s="8" t="str">
        <f>VLOOKUP(A598,[3]Office!$A:$E,5,0)</f>
        <v>Mohamed.Sabry.Ahmed@averroes-eg.com</v>
      </c>
      <c r="J598" s="8" t="s">
        <v>16</v>
      </c>
    </row>
    <row r="599" spans="1:10">
      <c r="A599" s="8">
        <f>VLOOKUP(B599,[3]Office!$B:$K,10,0)</f>
        <v>884</v>
      </c>
      <c r="B599" s="5" t="s">
        <v>550</v>
      </c>
      <c r="C599" s="5" t="s">
        <v>12</v>
      </c>
      <c r="D599" s="8" t="str">
        <f>VLOOKUP(B599,[3]Office!$B:$G,6,0)</f>
        <v>Commercial Manager</v>
      </c>
      <c r="E599" s="8">
        <f>VLOOKUP(C599,[3]Office!$B:$K,10,0)</f>
        <v>666</v>
      </c>
      <c r="F599" s="8">
        <f>VLOOKUP(A599,[3]Office!$A:$F,6,0)</f>
        <v>1063301935</v>
      </c>
      <c r="G599" s="9">
        <f>VLOOKUP(A599,[3]Office!$A:$I,9,0)</f>
        <v>44197</v>
      </c>
      <c r="H599" s="8" t="str">
        <f>VLOOKUP(A599,[3]Office!$A:$D,4,0)</f>
        <v>Distribution</v>
      </c>
      <c r="I599" s="8" t="str">
        <f>VLOOKUP(A599,[3]Office!$A:$E,5,0)</f>
        <v>Islam.Mohamed.Elsayed@averroes-eg.com</v>
      </c>
      <c r="J599" s="8" t="s">
        <v>16</v>
      </c>
    </row>
    <row r="600" spans="1:10">
      <c r="A600" s="8">
        <f>VLOOKUP(B600,[3]Office!$B:$K,10,0)</f>
        <v>728</v>
      </c>
      <c r="B600" s="5" t="s">
        <v>551</v>
      </c>
      <c r="C600" s="5" t="s">
        <v>550</v>
      </c>
      <c r="D600" s="8" t="str">
        <f>VLOOKUP(B600,[3]Office!$B:$G,6,0)</f>
        <v>Distribution Specialist</v>
      </c>
      <c r="E600" s="8">
        <f>VLOOKUP(C600,[3]Office!$B:$K,10,0)</f>
        <v>884</v>
      </c>
      <c r="F600" s="8">
        <f>VLOOKUP(A600,[3]Office!$A:$F,6,0)</f>
        <v>1124409966</v>
      </c>
      <c r="G600" s="8">
        <f>VLOOKUP(A600,[3]Office!$A:$I,9,0)</f>
        <v>0</v>
      </c>
      <c r="H600" s="8" t="str">
        <f>VLOOKUP(A600,[3]Office!$A:$D,4,0)</f>
        <v>Distribution</v>
      </c>
      <c r="I600" s="8" t="str">
        <f>VLOOKUP(A600,[3]Office!$A:$E,5,0)</f>
        <v>Reem.Sameh.Fouad@averroes-eg.com</v>
      </c>
      <c r="J600" s="8" t="s">
        <v>16</v>
      </c>
    </row>
    <row r="601" spans="1:10">
      <c r="A601" s="8">
        <f>VLOOKUP(B601,[3]Office!$B:$K,10,0)</f>
        <v>1507</v>
      </c>
      <c r="B601" s="5" t="s">
        <v>552</v>
      </c>
      <c r="C601" s="5" t="s">
        <v>550</v>
      </c>
      <c r="D601" s="8" t="str">
        <f>VLOOKUP(B601,[3]Office!$B:$G,6,0)</f>
        <v>Distribution Specialist</v>
      </c>
      <c r="E601" s="8">
        <f>VLOOKUP(C601,[3]Office!$B:$K,10,0)</f>
        <v>884</v>
      </c>
      <c r="F601" s="8">
        <f>VLOOKUP(A601,[3]Office!$A:$F,6,0)</f>
        <v>1055932040</v>
      </c>
      <c r="G601" s="9">
        <f>VLOOKUP(A601,[3]Office!$A:$I,9,0)</f>
        <v>45550</v>
      </c>
      <c r="H601" s="8" t="str">
        <f>VLOOKUP(A601,[3]Office!$A:$D,4,0)</f>
        <v>Distribution</v>
      </c>
      <c r="I601" s="8" t="str">
        <f>VLOOKUP(A601,[3]Office!$A:$E,5,0)</f>
        <v>Saied.Selim.Mohamed@averroes-eg.com</v>
      </c>
      <c r="J601" s="8" t="s">
        <v>16</v>
      </c>
    </row>
    <row r="602" spans="1:10">
      <c r="A602" s="8">
        <f>VLOOKUP(B602,[3]Office!$B:$K,10,0)</f>
        <v>1798</v>
      </c>
      <c r="B602" s="5" t="s">
        <v>553</v>
      </c>
      <c r="C602" s="5" t="s">
        <v>550</v>
      </c>
      <c r="D602" s="8" t="str">
        <f>VLOOKUP(B602,[3]Office!$B:$G,6,0)</f>
        <v>Distribution Specialist</v>
      </c>
      <c r="E602" s="8">
        <f>VLOOKUP(C602,[3]Office!$B:$K,10,0)</f>
        <v>884</v>
      </c>
      <c r="F602" s="8">
        <f>VLOOKUP(A602,[3]Office!$A:$F,6,0)</f>
        <v>0</v>
      </c>
      <c r="G602" s="9">
        <f>VLOOKUP(A602,[3]Office!$A:$I,9,0)</f>
        <v>45914</v>
      </c>
      <c r="H602" s="8" t="str">
        <f>VLOOKUP(A602,[3]Office!$A:$D,4,0)</f>
        <v>Distribution</v>
      </c>
      <c r="I602" s="8"/>
      <c r="J602" s="8" t="s">
        <v>16</v>
      </c>
    </row>
    <row r="603" spans="1:10">
      <c r="A603" s="8">
        <f>VLOOKUP(B603,[3]Office!$B:$K,10,0)</f>
        <v>1796</v>
      </c>
      <c r="B603" s="5" t="s">
        <v>554</v>
      </c>
      <c r="C603" s="5" t="s">
        <v>552</v>
      </c>
      <c r="D603" s="8" t="str">
        <f>VLOOKUP(B603,[3]Office!$B:$G,6,0)</f>
        <v>Store Specialist</v>
      </c>
      <c r="E603" s="8">
        <f>VLOOKUP(C603,[3]Office!$B:$K,10,0)</f>
        <v>1507</v>
      </c>
      <c r="F603" s="8">
        <f>VLOOKUP(A603,[3]Office!$A:$F,6,0)</f>
        <v>1271336001</v>
      </c>
      <c r="G603" s="9">
        <f>VLOOKUP(A603,[3]Office!$A:$I,9,0)</f>
        <v>45689</v>
      </c>
      <c r="H603" s="8" t="str">
        <f>VLOOKUP(A603,[3]Office!$A:$D,4,0)</f>
        <v>Distribution</v>
      </c>
      <c r="I603" s="8"/>
      <c r="J603" s="8" t="s">
        <v>682</v>
      </c>
    </row>
    <row r="604" spans="1:10">
      <c r="A604" s="8">
        <f>VLOOKUP(B604,[3]Office!$B:$K,10,0)</f>
        <v>1793</v>
      </c>
      <c r="B604" s="5" t="s">
        <v>555</v>
      </c>
      <c r="C604" s="5" t="s">
        <v>552</v>
      </c>
      <c r="D604" s="8" t="str">
        <f>VLOOKUP(B604,[3]Office!$B:$G,6,0)</f>
        <v>Direct Sales</v>
      </c>
      <c r="E604" s="8">
        <f>VLOOKUP(C604,[3]Office!$B:$K,10,0)</f>
        <v>1507</v>
      </c>
      <c r="F604" s="8">
        <f>VLOOKUP(A604,[3]Office!$A:$F,6,0)</f>
        <v>1114430870</v>
      </c>
      <c r="G604" s="9">
        <f>VLOOKUP(A604,[3]Office!$A:$I,9,0)</f>
        <v>45559</v>
      </c>
      <c r="H604" s="8" t="str">
        <f>VLOOKUP(A604,[3]Office!$A:$D,4,0)</f>
        <v>Distribution</v>
      </c>
      <c r="I604" s="8"/>
      <c r="J604" s="8" t="s">
        <v>16</v>
      </c>
    </row>
    <row r="605" spans="1:10">
      <c r="A605" s="8">
        <f>VLOOKUP(B605,[3]Office!$B:$K,10,0)</f>
        <v>744</v>
      </c>
      <c r="B605" s="5" t="s">
        <v>559</v>
      </c>
      <c r="C605" s="5" t="s">
        <v>11</v>
      </c>
      <c r="D605" s="8" t="str">
        <f>VLOOKUP(B605,[3]Office!$B:$G,6,0)</f>
        <v>Office Boy</v>
      </c>
      <c r="E605" s="8">
        <f>VLOOKUP(C605,[3]Office!$B:$K,10,0)</f>
        <v>657</v>
      </c>
      <c r="F605" s="8">
        <f>VLOOKUP(A605,[3]Office!$A:$F,6,0)</f>
        <v>0</v>
      </c>
      <c r="G605" s="8">
        <f>VLOOKUP(A605,[3]Office!$A:$I,9,0)</f>
        <v>0</v>
      </c>
      <c r="H605" s="8" t="str">
        <f>VLOOKUP(A605,[3]Office!$A:$D,4,0)</f>
        <v>Office Boy</v>
      </c>
      <c r="I605" s="8"/>
      <c r="J605" s="8" t="s">
        <v>16</v>
      </c>
    </row>
    <row r="606" spans="1:10">
      <c r="A606" s="8">
        <f>VLOOKUP(B606,[3]Office!$B:$K,10,0)</f>
        <v>745</v>
      </c>
      <c r="B606" s="5" t="s">
        <v>560</v>
      </c>
      <c r="C606" s="5" t="s">
        <v>11</v>
      </c>
      <c r="D606" s="8" t="str">
        <f>VLOOKUP(B606,[3]Office!$B:$G,6,0)</f>
        <v>Office Boy</v>
      </c>
      <c r="E606" s="8">
        <f>VLOOKUP(C606,[3]Office!$B:$K,10,0)</f>
        <v>657</v>
      </c>
      <c r="F606" s="8">
        <f>VLOOKUP(A606,[3]Office!$A:$F,6,0)</f>
        <v>0</v>
      </c>
      <c r="G606" s="8">
        <f>VLOOKUP(A606,[3]Office!$A:$I,9,0)</f>
        <v>0</v>
      </c>
      <c r="H606" s="8" t="str">
        <f>VLOOKUP(A606,[3]Office!$A:$D,4,0)</f>
        <v>Office Boy</v>
      </c>
      <c r="I606" s="8"/>
      <c r="J606" s="8" t="s">
        <v>683</v>
      </c>
    </row>
    <row r="607" spans="1:10">
      <c r="A607" s="8">
        <f>VLOOKUP(B607,[3]Office!$B:$K,10,0)</f>
        <v>669</v>
      </c>
      <c r="B607" s="5" t="s">
        <v>562</v>
      </c>
      <c r="C607" s="5" t="s">
        <v>11</v>
      </c>
      <c r="D607" s="8" t="str">
        <f>VLOOKUP(B607,[3]Office!$B:$G,6,0)</f>
        <v>Office Boy</v>
      </c>
      <c r="E607" s="8">
        <f>VLOOKUP(C607,[3]Office!$B:$K,10,0)</f>
        <v>657</v>
      </c>
      <c r="F607" s="8">
        <f>VLOOKUP(A607,[3]Office!$A:$F,6,0)</f>
        <v>0</v>
      </c>
      <c r="G607" s="8">
        <f>VLOOKUP(A607,[3]Office!$A:$I,9,0)</f>
        <v>0</v>
      </c>
      <c r="H607" s="8" t="str">
        <f>VLOOKUP(A607,[3]Office!$A:$D,4,0)</f>
        <v>Office Boy</v>
      </c>
      <c r="I607" s="8"/>
      <c r="J607" s="8" t="s">
        <v>16</v>
      </c>
    </row>
    <row r="608" spans="1:10">
      <c r="A608" s="8">
        <f>VLOOKUP(B608,[3]Office!$B:$K,10,0)</f>
        <v>671</v>
      </c>
      <c r="B608" s="5" t="s">
        <v>563</v>
      </c>
      <c r="C608" s="5" t="s">
        <v>11</v>
      </c>
      <c r="D608" s="8" t="str">
        <f>VLOOKUP(B608,[3]Office!$B:$G,6,0)</f>
        <v>Office Boy</v>
      </c>
      <c r="E608" s="8">
        <f>VLOOKUP(C608,[3]Office!$B:$K,10,0)</f>
        <v>657</v>
      </c>
      <c r="F608" s="8">
        <f>VLOOKUP(A608,[3]Office!$A:$F,6,0)</f>
        <v>0</v>
      </c>
      <c r="G608" s="8">
        <f>VLOOKUP(A608,[3]Office!$A:$I,9,0)</f>
        <v>0</v>
      </c>
      <c r="H608" s="8" t="str">
        <f>VLOOKUP(A608,[3]Office!$A:$D,4,0)</f>
        <v>Office Boy</v>
      </c>
      <c r="I608" s="8"/>
      <c r="J608" s="8" t="s">
        <v>564</v>
      </c>
    </row>
    <row r="609" spans="1:10">
      <c r="A609" s="8">
        <f>VLOOKUP(B609,[3]Office!$B:$K,10,0)</f>
        <v>1797</v>
      </c>
      <c r="B609" s="5" t="s">
        <v>565</v>
      </c>
      <c r="C609" s="5" t="s">
        <v>11</v>
      </c>
      <c r="D609" s="8" t="str">
        <f>VLOOKUP(B609,[3]Office!$B:$G,6,0)</f>
        <v>Office Boy</v>
      </c>
      <c r="E609" s="8">
        <f>VLOOKUP(C609,[3]Office!$B:$K,10,0)</f>
        <v>657</v>
      </c>
      <c r="F609" s="8">
        <f>VLOOKUP(A609,[3]Office!$A:$F,6,0)</f>
        <v>1123997276</v>
      </c>
      <c r="G609" s="9">
        <f>VLOOKUP(A609,[3]Office!$A:$I,9,0)</f>
        <v>45782</v>
      </c>
      <c r="H609" s="8" t="str">
        <f>VLOOKUP(A609,[3]Office!$A:$D,4,0)</f>
        <v>Office Boy</v>
      </c>
      <c r="I609" s="8"/>
      <c r="J609" s="8" t="s">
        <v>16</v>
      </c>
    </row>
    <row r="610" spans="1:10">
      <c r="A610" s="8">
        <f>VLOOKUP(B610,[3]Office!$B:$K,10,0)</f>
        <v>668</v>
      </c>
      <c r="B610" s="5" t="s">
        <v>566</v>
      </c>
      <c r="C610" s="5" t="s">
        <v>552</v>
      </c>
      <c r="D610" s="8" t="s">
        <v>567</v>
      </c>
      <c r="E610" s="8">
        <f>VLOOKUP(C610,[3]Office!$B:$K,10,0)</f>
        <v>1507</v>
      </c>
      <c r="F610" s="8">
        <f>VLOOKUP(A610,[3]Office!$A:$F,6,0)</f>
        <v>0</v>
      </c>
      <c r="G610" s="8">
        <f>VLOOKUP(A610,[3]Office!$A:$I,9,0)</f>
        <v>0</v>
      </c>
      <c r="H610" s="8" t="str">
        <f>VLOOKUP(A610,[3]Office!$A:$D,4,0)</f>
        <v>Store</v>
      </c>
      <c r="I610" s="8"/>
      <c r="J610" s="8" t="s">
        <v>16</v>
      </c>
    </row>
  </sheetData>
  <autoFilter xmlns:etc="http://www.wps.cn/officeDocument/2017/etCustomData" ref="A1:J566" etc:filterBottomFollowUsedRange="0">
    <extLst/>
  </autoFilter>
  <conditionalFormatting sqref="A1">
    <cfRule type="duplicateValues" dxfId="0" priority="350"/>
    <cfRule type="duplicateValues" dxfId="0" priority="349"/>
  </conditionalFormatting>
  <conditionalFormatting sqref="B1">
    <cfRule type="duplicateValues" dxfId="0" priority="351"/>
    <cfRule type="duplicateValues" dxfId="0" priority="352"/>
    <cfRule type="duplicateValues" dxfId="0" priority="353"/>
  </conditionalFormatting>
  <conditionalFormatting sqref="I1">
    <cfRule type="duplicateValues" dxfId="0" priority="1"/>
  </conditionalFormatting>
  <conditionalFormatting sqref="B14">
    <cfRule type="duplicateValues" dxfId="1" priority="326"/>
  </conditionalFormatting>
  <conditionalFormatting sqref="A16">
    <cfRule type="duplicateValues" dxfId="1" priority="129"/>
  </conditionalFormatting>
  <conditionalFormatting sqref="B16">
    <cfRule type="duplicateValues" dxfId="1" priority="236"/>
  </conditionalFormatting>
  <conditionalFormatting sqref="A17">
    <cfRule type="duplicateValues" dxfId="1" priority="130"/>
  </conditionalFormatting>
  <conditionalFormatting sqref="B17">
    <cfRule type="duplicateValues" dxfId="1" priority="237"/>
  </conditionalFormatting>
  <conditionalFormatting sqref="B22">
    <cfRule type="duplicateValues" dxfId="1" priority="302"/>
  </conditionalFormatting>
  <conditionalFormatting sqref="B28">
    <cfRule type="duplicateValues" dxfId="1" priority="321"/>
  </conditionalFormatting>
  <conditionalFormatting sqref="B29">
    <cfRule type="duplicateValues" dxfId="1" priority="314"/>
  </conditionalFormatting>
  <conditionalFormatting sqref="A45">
    <cfRule type="duplicateValues" dxfId="1" priority="3"/>
    <cfRule type="duplicateValues" dxfId="1" priority="2"/>
  </conditionalFormatting>
  <conditionalFormatting sqref="B45">
    <cfRule type="duplicateValues" dxfId="1" priority="140"/>
  </conditionalFormatting>
  <conditionalFormatting sqref="B47">
    <cfRule type="duplicateValues" dxfId="1" priority="301"/>
  </conditionalFormatting>
  <conditionalFormatting sqref="A49">
    <cfRule type="duplicateValues" dxfId="1" priority="40"/>
    <cfRule type="duplicateValues" dxfId="1" priority="39"/>
  </conditionalFormatting>
  <conditionalFormatting sqref="B49">
    <cfRule type="duplicateValues" dxfId="1" priority="161"/>
  </conditionalFormatting>
  <conditionalFormatting sqref="A57">
    <cfRule type="duplicateValues" dxfId="1" priority="27"/>
    <cfRule type="duplicateValues" dxfId="1" priority="26"/>
  </conditionalFormatting>
  <conditionalFormatting sqref="B57">
    <cfRule type="duplicateValues" dxfId="1" priority="153"/>
  </conditionalFormatting>
  <conditionalFormatting sqref="A59">
    <cfRule type="duplicateValues" dxfId="1" priority="25"/>
    <cfRule type="duplicateValues" dxfId="1" priority="24"/>
  </conditionalFormatting>
  <conditionalFormatting sqref="B59">
    <cfRule type="duplicateValues" dxfId="1" priority="152"/>
  </conditionalFormatting>
  <conditionalFormatting sqref="A62">
    <cfRule type="duplicateValues" dxfId="1" priority="128"/>
  </conditionalFormatting>
  <conditionalFormatting sqref="B62">
    <cfRule type="duplicateValues" dxfId="1" priority="235"/>
  </conditionalFormatting>
  <conditionalFormatting sqref="A66">
    <cfRule type="duplicateValues" dxfId="1" priority="138"/>
  </conditionalFormatting>
  <conditionalFormatting sqref="B67">
    <cfRule type="duplicateValues" dxfId="1" priority="262"/>
  </conditionalFormatting>
  <conditionalFormatting sqref="B71">
    <cfRule type="duplicateValues" dxfId="1" priority="305"/>
  </conditionalFormatting>
  <conditionalFormatting sqref="B75">
    <cfRule type="duplicateValues" dxfId="1" priority="294"/>
  </conditionalFormatting>
  <conditionalFormatting sqref="A76">
    <cfRule type="duplicateValues" dxfId="1" priority="15"/>
    <cfRule type="duplicateValues" dxfId="1" priority="14"/>
  </conditionalFormatting>
  <conditionalFormatting sqref="B76">
    <cfRule type="duplicateValues" dxfId="1" priority="147"/>
  </conditionalFormatting>
  <conditionalFormatting sqref="B78">
    <cfRule type="duplicateValues" dxfId="1" priority="264"/>
  </conditionalFormatting>
  <conditionalFormatting sqref="B84">
    <cfRule type="duplicateValues" dxfId="1" priority="282"/>
  </conditionalFormatting>
  <conditionalFormatting sqref="A89">
    <cfRule type="duplicateValues" dxfId="1" priority="29"/>
    <cfRule type="duplicateValues" dxfId="1" priority="28"/>
  </conditionalFormatting>
  <conditionalFormatting sqref="B89">
    <cfRule type="duplicateValues" dxfId="1" priority="155"/>
  </conditionalFormatting>
  <conditionalFormatting sqref="A90">
    <cfRule type="duplicateValues" dxfId="1" priority="127"/>
  </conditionalFormatting>
  <conditionalFormatting sqref="B90">
    <cfRule type="duplicateValues" dxfId="1" priority="234"/>
  </conditionalFormatting>
  <conditionalFormatting sqref="A91">
    <cfRule type="duplicateValues" dxfId="1" priority="126"/>
  </conditionalFormatting>
  <conditionalFormatting sqref="B91">
    <cfRule type="duplicateValues" dxfId="1" priority="233"/>
  </conditionalFormatting>
  <conditionalFormatting sqref="B93">
    <cfRule type="duplicateValues" dxfId="1" priority="325"/>
  </conditionalFormatting>
  <conditionalFormatting sqref="B94">
    <cfRule type="duplicateValues" dxfId="1" priority="299"/>
  </conditionalFormatting>
  <conditionalFormatting sqref="B108">
    <cfRule type="duplicateValues" dxfId="1" priority="336"/>
  </conditionalFormatting>
  <conditionalFormatting sqref="B110">
    <cfRule type="duplicateValues" dxfId="1" priority="296"/>
  </conditionalFormatting>
  <conditionalFormatting sqref="A111">
    <cfRule type="duplicateValues" dxfId="1" priority="125"/>
  </conditionalFormatting>
  <conditionalFormatting sqref="B111">
    <cfRule type="duplicateValues" dxfId="1" priority="232"/>
  </conditionalFormatting>
  <conditionalFormatting sqref="B113">
    <cfRule type="duplicateValues" dxfId="1" priority="342"/>
  </conditionalFormatting>
  <conditionalFormatting sqref="B114">
    <cfRule type="duplicateValues" dxfId="1" priority="154"/>
  </conditionalFormatting>
  <conditionalFormatting sqref="B120">
    <cfRule type="duplicateValues" dxfId="1" priority="260"/>
  </conditionalFormatting>
  <conditionalFormatting sqref="B122">
    <cfRule type="duplicateValues" dxfId="1" priority="341"/>
  </conditionalFormatting>
  <conditionalFormatting sqref="A126">
    <cfRule type="duplicateValues" dxfId="1" priority="124"/>
  </conditionalFormatting>
  <conditionalFormatting sqref="B126">
    <cfRule type="duplicateValues" dxfId="1" priority="231"/>
  </conditionalFormatting>
  <conditionalFormatting sqref="A127">
    <cfRule type="duplicateValues" dxfId="1" priority="123"/>
  </conditionalFormatting>
  <conditionalFormatting sqref="B127">
    <cfRule type="duplicateValues" dxfId="1" priority="230"/>
  </conditionalFormatting>
  <conditionalFormatting sqref="B136">
    <cfRule type="duplicateValues" dxfId="1" priority="320"/>
  </conditionalFormatting>
  <conditionalFormatting sqref="B142">
    <cfRule type="duplicateValues" dxfId="1" priority="337"/>
  </conditionalFormatting>
  <conditionalFormatting sqref="B143">
    <cfRule type="duplicateValues" dxfId="1" priority="261"/>
  </conditionalFormatting>
  <conditionalFormatting sqref="A153">
    <cfRule type="duplicateValues" dxfId="1" priority="44"/>
    <cfRule type="duplicateValues" dxfId="1" priority="43"/>
  </conditionalFormatting>
  <conditionalFormatting sqref="B153">
    <cfRule type="duplicateValues" dxfId="1" priority="163"/>
  </conditionalFormatting>
  <conditionalFormatting sqref="A154">
    <cfRule type="duplicateValues" dxfId="1" priority="21"/>
    <cfRule type="duplicateValues" dxfId="1" priority="20"/>
  </conditionalFormatting>
  <conditionalFormatting sqref="B154">
    <cfRule type="duplicateValues" dxfId="1" priority="150"/>
  </conditionalFormatting>
  <conditionalFormatting sqref="B157">
    <cfRule type="duplicateValues" dxfId="1" priority="303"/>
  </conditionalFormatting>
  <conditionalFormatting sqref="A161">
    <cfRule type="duplicateValues" dxfId="1" priority="122"/>
  </conditionalFormatting>
  <conditionalFormatting sqref="B161">
    <cfRule type="duplicateValues" dxfId="1" priority="229"/>
  </conditionalFormatting>
  <conditionalFormatting sqref="B162">
    <cfRule type="duplicateValues" dxfId="1" priority="291"/>
  </conditionalFormatting>
  <conditionalFormatting sqref="A167">
    <cfRule type="duplicateValues" dxfId="1" priority="135"/>
  </conditionalFormatting>
  <conditionalFormatting sqref="B167">
    <cfRule type="duplicateValues" dxfId="1" priority="242"/>
  </conditionalFormatting>
  <conditionalFormatting sqref="B171">
    <cfRule type="duplicateValues" dxfId="1" priority="250"/>
  </conditionalFormatting>
  <conditionalFormatting sqref="A172">
    <cfRule type="duplicateValues" dxfId="1" priority="121"/>
  </conditionalFormatting>
  <conditionalFormatting sqref="B172">
    <cfRule type="duplicateValues" dxfId="1" priority="228"/>
  </conditionalFormatting>
  <conditionalFormatting sqref="A175">
    <cfRule type="duplicateValues" dxfId="1" priority="120"/>
  </conditionalFormatting>
  <conditionalFormatting sqref="B175">
    <cfRule type="duplicateValues" dxfId="1" priority="227"/>
  </conditionalFormatting>
  <conditionalFormatting sqref="A176">
    <cfRule type="duplicateValues" dxfId="1" priority="119"/>
  </conditionalFormatting>
  <conditionalFormatting sqref="B176">
    <cfRule type="duplicateValues" dxfId="1" priority="226"/>
  </conditionalFormatting>
  <conditionalFormatting sqref="A177">
    <cfRule type="duplicateValues" dxfId="1" priority="23"/>
    <cfRule type="duplicateValues" dxfId="1" priority="22"/>
  </conditionalFormatting>
  <conditionalFormatting sqref="B177">
    <cfRule type="duplicateValues" dxfId="1" priority="151"/>
  </conditionalFormatting>
  <conditionalFormatting sqref="A182">
    <cfRule type="duplicateValues" dxfId="1" priority="118"/>
  </conditionalFormatting>
  <conditionalFormatting sqref="B182">
    <cfRule type="duplicateValues" dxfId="1" priority="225"/>
  </conditionalFormatting>
  <conditionalFormatting sqref="A183">
    <cfRule type="duplicateValues" dxfId="1" priority="117"/>
  </conditionalFormatting>
  <conditionalFormatting sqref="B183">
    <cfRule type="duplicateValues" dxfId="1" priority="224"/>
  </conditionalFormatting>
  <conditionalFormatting sqref="A184">
    <cfRule type="duplicateValues" dxfId="1" priority="116"/>
  </conditionalFormatting>
  <conditionalFormatting sqref="B184">
    <cfRule type="duplicateValues" dxfId="1" priority="223"/>
  </conditionalFormatting>
  <conditionalFormatting sqref="A193">
    <cfRule type="duplicateValues" dxfId="1" priority="115"/>
  </conditionalFormatting>
  <conditionalFormatting sqref="B193">
    <cfRule type="duplicateValues" dxfId="1" priority="222"/>
  </conditionalFormatting>
  <conditionalFormatting sqref="B196">
    <cfRule type="duplicateValues" dxfId="1" priority="289"/>
  </conditionalFormatting>
  <conditionalFormatting sqref="B198">
    <cfRule type="duplicateValues" dxfId="1" priority="293"/>
  </conditionalFormatting>
  <conditionalFormatting sqref="A199">
    <cfRule type="duplicateValues" dxfId="1" priority="114"/>
  </conditionalFormatting>
  <conditionalFormatting sqref="B199">
    <cfRule type="duplicateValues" dxfId="1" priority="221"/>
  </conditionalFormatting>
  <conditionalFormatting sqref="A203">
    <cfRule type="duplicateValues" dxfId="1" priority="42"/>
    <cfRule type="duplicateValues" dxfId="1" priority="41"/>
  </conditionalFormatting>
  <conditionalFormatting sqref="B203">
    <cfRule type="duplicateValues" dxfId="1" priority="162"/>
  </conditionalFormatting>
  <conditionalFormatting sqref="B212">
    <cfRule type="duplicateValues" dxfId="1" priority="265"/>
  </conditionalFormatting>
  <conditionalFormatting sqref="A213">
    <cfRule type="duplicateValues" dxfId="1" priority="113"/>
  </conditionalFormatting>
  <conditionalFormatting sqref="B213">
    <cfRule type="duplicateValues" dxfId="1" priority="220"/>
  </conditionalFormatting>
  <conditionalFormatting sqref="A214">
    <cfRule type="duplicateValues" dxfId="1" priority="50"/>
    <cfRule type="duplicateValues" dxfId="1" priority="49"/>
  </conditionalFormatting>
  <conditionalFormatting sqref="B214">
    <cfRule type="duplicateValues" dxfId="1" priority="166"/>
  </conditionalFormatting>
  <conditionalFormatting sqref="A217">
    <cfRule type="duplicateValues" dxfId="1" priority="58"/>
    <cfRule type="duplicateValues" dxfId="1" priority="57"/>
  </conditionalFormatting>
  <conditionalFormatting sqref="B217">
    <cfRule type="duplicateValues" dxfId="1" priority="169"/>
  </conditionalFormatting>
  <conditionalFormatting sqref="A218">
    <cfRule type="duplicateValues" dxfId="1" priority="13"/>
    <cfRule type="duplicateValues" dxfId="1" priority="12"/>
  </conditionalFormatting>
  <conditionalFormatting sqref="B218">
    <cfRule type="duplicateValues" dxfId="1" priority="146"/>
  </conditionalFormatting>
  <conditionalFormatting sqref="A219">
    <cfRule type="duplicateValues" dxfId="1" priority="112"/>
  </conditionalFormatting>
  <conditionalFormatting sqref="B219">
    <cfRule type="duplicateValues" dxfId="1" priority="219"/>
  </conditionalFormatting>
  <conditionalFormatting sqref="A220">
    <cfRule type="duplicateValues" dxfId="1" priority="110"/>
  </conditionalFormatting>
  <conditionalFormatting sqref="B220">
    <cfRule type="duplicateValues" dxfId="1" priority="217"/>
  </conditionalFormatting>
  <conditionalFormatting sqref="A221">
    <cfRule type="duplicateValues" dxfId="1" priority="111"/>
  </conditionalFormatting>
  <conditionalFormatting sqref="B221">
    <cfRule type="duplicateValues" dxfId="1" priority="218"/>
  </conditionalFormatting>
  <conditionalFormatting sqref="B222">
    <cfRule type="duplicateValues" dxfId="1" priority="254"/>
  </conditionalFormatting>
  <conditionalFormatting sqref="B224">
    <cfRule type="duplicateValues" dxfId="1" priority="253"/>
  </conditionalFormatting>
  <conditionalFormatting sqref="A225">
    <cfRule type="duplicateValues" dxfId="1" priority="109"/>
  </conditionalFormatting>
  <conditionalFormatting sqref="B225">
    <cfRule type="duplicateValues" dxfId="1" priority="216"/>
  </conditionalFormatting>
  <conditionalFormatting sqref="A226">
    <cfRule type="duplicateValues" dxfId="1" priority="108"/>
    <cfRule type="duplicateValues" dxfId="1" priority="11"/>
  </conditionalFormatting>
  <conditionalFormatting sqref="B226">
    <cfRule type="duplicateValues" dxfId="1" priority="215"/>
  </conditionalFormatting>
  <conditionalFormatting sqref="B229">
    <cfRule type="duplicateValues" dxfId="1" priority="330"/>
  </conditionalFormatting>
  <conditionalFormatting sqref="B231">
    <cfRule type="duplicateValues" dxfId="1" priority="318"/>
  </conditionalFormatting>
  <conditionalFormatting sqref="A234">
    <cfRule type="duplicateValues" dxfId="1" priority="107"/>
    <cfRule type="duplicateValues" dxfId="1" priority="52"/>
    <cfRule type="duplicateValues" dxfId="1" priority="51"/>
  </conditionalFormatting>
  <conditionalFormatting sqref="B234">
    <cfRule type="duplicateValues" dxfId="1" priority="214"/>
  </conditionalFormatting>
  <conditionalFormatting sqref="B236">
    <cfRule type="duplicateValues" dxfId="1" priority="317"/>
  </conditionalFormatting>
  <conditionalFormatting sqref="B237">
    <cfRule type="duplicateValues" dxfId="1" priority="322"/>
  </conditionalFormatting>
  <conditionalFormatting sqref="A242">
    <cfRule type="duplicateValues" dxfId="1" priority="37"/>
    <cfRule type="duplicateValues" dxfId="1" priority="36"/>
  </conditionalFormatting>
  <conditionalFormatting sqref="B242">
    <cfRule type="duplicateValues" dxfId="1" priority="159"/>
  </conditionalFormatting>
  <conditionalFormatting sqref="A243">
    <cfRule type="duplicateValues" dxfId="1" priority="106"/>
    <cfRule type="duplicateValues" dxfId="1" priority="38"/>
  </conditionalFormatting>
  <conditionalFormatting sqref="B243">
    <cfRule type="duplicateValues" dxfId="1" priority="160"/>
  </conditionalFormatting>
  <conditionalFormatting sqref="A244">
    <cfRule type="duplicateValues" dxfId="1" priority="105"/>
  </conditionalFormatting>
  <conditionalFormatting sqref="B244">
    <cfRule type="duplicateValues" dxfId="1" priority="213"/>
  </conditionalFormatting>
  <conditionalFormatting sqref="B247">
    <cfRule type="duplicateValues" dxfId="1" priority="292"/>
  </conditionalFormatting>
  <conditionalFormatting sqref="B248">
    <cfRule type="duplicateValues" dxfId="1" priority="243"/>
  </conditionalFormatting>
  <conditionalFormatting sqref="B249">
    <cfRule type="duplicateValues" dxfId="1" priority="333"/>
  </conditionalFormatting>
  <conditionalFormatting sqref="A253">
    <cfRule type="duplicateValues" dxfId="1" priority="56"/>
    <cfRule type="duplicateValues" dxfId="1" priority="55"/>
  </conditionalFormatting>
  <conditionalFormatting sqref="B253">
    <cfRule type="duplicateValues" dxfId="1" priority="168"/>
  </conditionalFormatting>
  <conditionalFormatting sqref="B254">
    <cfRule type="duplicateValues" dxfId="1" priority="338"/>
  </conditionalFormatting>
  <conditionalFormatting sqref="A259">
    <cfRule type="duplicateValues" dxfId="1" priority="103"/>
  </conditionalFormatting>
  <conditionalFormatting sqref="B259">
    <cfRule type="duplicateValues" dxfId="1" priority="211"/>
  </conditionalFormatting>
  <conditionalFormatting sqref="A260">
    <cfRule type="duplicateValues" dxfId="1" priority="104"/>
  </conditionalFormatting>
  <conditionalFormatting sqref="B260">
    <cfRule type="duplicateValues" dxfId="1" priority="212"/>
  </conditionalFormatting>
  <conditionalFormatting sqref="A261">
    <cfRule type="duplicateValues" dxfId="1" priority="54"/>
    <cfRule type="duplicateValues" dxfId="1" priority="53"/>
  </conditionalFormatting>
  <conditionalFormatting sqref="B261">
    <cfRule type="duplicateValues" dxfId="1" priority="167"/>
  </conditionalFormatting>
  <conditionalFormatting sqref="B263">
    <cfRule type="duplicateValues" dxfId="1" priority="309"/>
  </conditionalFormatting>
  <conditionalFormatting sqref="B265">
    <cfRule type="duplicateValues" dxfId="1" priority="298"/>
  </conditionalFormatting>
  <conditionalFormatting sqref="A267">
    <cfRule type="duplicateValues" dxfId="1" priority="102"/>
  </conditionalFormatting>
  <conditionalFormatting sqref="B267">
    <cfRule type="duplicateValues" dxfId="1" priority="210"/>
  </conditionalFormatting>
  <conditionalFormatting sqref="B269">
    <cfRule type="duplicateValues" dxfId="1" priority="249"/>
  </conditionalFormatting>
  <conditionalFormatting sqref="B272">
    <cfRule type="duplicateValues" dxfId="1" priority="310"/>
  </conditionalFormatting>
  <conditionalFormatting sqref="A275">
    <cfRule type="duplicateValues" dxfId="1" priority="101"/>
  </conditionalFormatting>
  <conditionalFormatting sqref="B275">
    <cfRule type="duplicateValues" dxfId="1" priority="209"/>
  </conditionalFormatting>
  <conditionalFormatting sqref="A281">
    <cfRule type="duplicateValues" dxfId="1" priority="100"/>
  </conditionalFormatting>
  <conditionalFormatting sqref="B281">
    <cfRule type="duplicateValues" dxfId="1" priority="208"/>
  </conditionalFormatting>
  <conditionalFormatting sqref="A282">
    <cfRule type="duplicateValues" dxfId="1" priority="99"/>
  </conditionalFormatting>
  <conditionalFormatting sqref="B282">
    <cfRule type="duplicateValues" dxfId="1" priority="207"/>
  </conditionalFormatting>
  <conditionalFormatting sqref="B283">
    <cfRule type="duplicateValues" dxfId="1" priority="244"/>
  </conditionalFormatting>
  <conditionalFormatting sqref="B284">
    <cfRule type="duplicateValues" dxfId="1" priority="283"/>
  </conditionalFormatting>
  <conditionalFormatting sqref="B286">
    <cfRule type="duplicateValues" dxfId="1" priority="245"/>
  </conditionalFormatting>
  <conditionalFormatting sqref="A288">
    <cfRule type="duplicateValues" dxfId="1" priority="98"/>
  </conditionalFormatting>
  <conditionalFormatting sqref="B288">
    <cfRule type="duplicateValues" dxfId="1" priority="206"/>
  </conditionalFormatting>
  <conditionalFormatting sqref="A289">
    <cfRule type="duplicateValues" dxfId="1" priority="97"/>
  </conditionalFormatting>
  <conditionalFormatting sqref="B289">
    <cfRule type="duplicateValues" dxfId="1" priority="205"/>
  </conditionalFormatting>
  <conditionalFormatting sqref="A298">
    <cfRule type="duplicateValues" dxfId="1" priority="46"/>
    <cfRule type="duplicateValues" dxfId="1" priority="45"/>
  </conditionalFormatting>
  <conditionalFormatting sqref="B298">
    <cfRule type="duplicateValues" dxfId="1" priority="164"/>
  </conditionalFormatting>
  <conditionalFormatting sqref="A299">
    <cfRule type="duplicateValues" dxfId="1" priority="96"/>
  </conditionalFormatting>
  <conditionalFormatting sqref="B299">
    <cfRule type="duplicateValues" dxfId="1" priority="204"/>
  </conditionalFormatting>
  <conditionalFormatting sqref="A300">
    <cfRule type="duplicateValues" dxfId="1" priority="95"/>
  </conditionalFormatting>
  <conditionalFormatting sqref="B300">
    <cfRule type="duplicateValues" dxfId="1" priority="203"/>
  </conditionalFormatting>
  <conditionalFormatting sqref="B301">
    <cfRule type="duplicateValues" dxfId="1" priority="266"/>
  </conditionalFormatting>
  <conditionalFormatting sqref="A305">
    <cfRule type="duplicateValues" dxfId="1" priority="94"/>
  </conditionalFormatting>
  <conditionalFormatting sqref="B305">
    <cfRule type="duplicateValues" dxfId="1" priority="202"/>
  </conditionalFormatting>
  <conditionalFormatting sqref="B306">
    <cfRule type="duplicateValues" dxfId="1" priority="347"/>
  </conditionalFormatting>
  <conditionalFormatting sqref="B309">
    <cfRule type="duplicateValues" dxfId="1" priority="259"/>
  </conditionalFormatting>
  <conditionalFormatting sqref="B310">
    <cfRule type="duplicateValues" dxfId="1" priority="258"/>
  </conditionalFormatting>
  <conditionalFormatting sqref="A315">
    <cfRule type="duplicateValues" dxfId="1" priority="93"/>
  </conditionalFormatting>
  <conditionalFormatting sqref="B315">
    <cfRule type="duplicateValues" dxfId="1" priority="201"/>
  </conditionalFormatting>
  <conditionalFormatting sqref="A316">
    <cfRule type="duplicateValues" dxfId="1" priority="92"/>
  </conditionalFormatting>
  <conditionalFormatting sqref="B316">
    <cfRule type="duplicateValues" dxfId="1" priority="200"/>
  </conditionalFormatting>
  <conditionalFormatting sqref="A317">
    <cfRule type="duplicateValues" dxfId="1" priority="91"/>
  </conditionalFormatting>
  <conditionalFormatting sqref="B317">
    <cfRule type="duplicateValues" dxfId="1" priority="199"/>
  </conditionalFormatting>
  <conditionalFormatting sqref="A318">
    <cfRule type="duplicateValues" dxfId="1" priority="90"/>
  </conditionalFormatting>
  <conditionalFormatting sqref="B318">
    <cfRule type="duplicateValues" dxfId="1" priority="198"/>
  </conditionalFormatting>
  <conditionalFormatting sqref="A321">
    <cfRule type="duplicateValues" dxfId="1" priority="33"/>
    <cfRule type="duplicateValues" dxfId="1" priority="32"/>
  </conditionalFormatting>
  <conditionalFormatting sqref="B321">
    <cfRule type="duplicateValues" dxfId="1" priority="157"/>
  </conditionalFormatting>
  <conditionalFormatting sqref="B322">
    <cfRule type="duplicateValues" dxfId="1" priority="285"/>
  </conditionalFormatting>
  <conditionalFormatting sqref="B325">
    <cfRule type="duplicateValues" dxfId="1" priority="286"/>
  </conditionalFormatting>
  <conditionalFormatting sqref="B328">
    <cfRule type="duplicateValues" dxfId="1" priority="297"/>
  </conditionalFormatting>
  <conditionalFormatting sqref="B329">
    <cfRule type="duplicateValues" dxfId="1" priority="268"/>
  </conditionalFormatting>
  <conditionalFormatting sqref="A332">
    <cfRule type="duplicateValues" dxfId="1" priority="89"/>
  </conditionalFormatting>
  <conditionalFormatting sqref="B332">
    <cfRule type="duplicateValues" dxfId="1" priority="197"/>
  </conditionalFormatting>
  <conditionalFormatting sqref="B339">
    <cfRule type="duplicateValues" dxfId="1" priority="324"/>
  </conditionalFormatting>
  <conditionalFormatting sqref="B343">
    <cfRule type="duplicateValues" dxfId="1" priority="241"/>
  </conditionalFormatting>
  <conditionalFormatting sqref="A344">
    <cfRule type="duplicateValues" dxfId="1" priority="87"/>
  </conditionalFormatting>
  <conditionalFormatting sqref="B344">
    <cfRule type="duplicateValues" dxfId="1" priority="195"/>
  </conditionalFormatting>
  <conditionalFormatting sqref="B345">
    <cfRule type="duplicateValues" dxfId="1" priority="339"/>
  </conditionalFormatting>
  <conditionalFormatting sqref="B346">
    <cfRule type="duplicateValues" dxfId="1" priority="255"/>
  </conditionalFormatting>
  <conditionalFormatting sqref="B347">
    <cfRule type="duplicateValues" dxfId="1" priority="256"/>
  </conditionalFormatting>
  <conditionalFormatting sqref="B348">
    <cfRule type="duplicateValues" dxfId="1" priority="334"/>
  </conditionalFormatting>
  <conditionalFormatting sqref="B349">
    <cfRule type="duplicateValues" dxfId="1" priority="335"/>
  </conditionalFormatting>
  <conditionalFormatting sqref="A350">
    <cfRule type="duplicateValues" dxfId="1" priority="133"/>
  </conditionalFormatting>
  <conditionalFormatting sqref="B350">
    <cfRule type="duplicateValues" dxfId="1" priority="240"/>
  </conditionalFormatting>
  <conditionalFormatting sqref="A356">
    <cfRule type="duplicateValues" dxfId="1" priority="88"/>
  </conditionalFormatting>
  <conditionalFormatting sqref="B356">
    <cfRule type="duplicateValues" dxfId="1" priority="196"/>
  </conditionalFormatting>
  <conditionalFormatting sqref="A357">
    <cfRule type="duplicateValues" dxfId="1" priority="63"/>
  </conditionalFormatting>
  <conditionalFormatting sqref="B357">
    <cfRule type="duplicateValues" dxfId="1" priority="172"/>
  </conditionalFormatting>
  <conditionalFormatting sqref="A363">
    <cfRule type="duplicateValues" dxfId="1" priority="86"/>
  </conditionalFormatting>
  <conditionalFormatting sqref="B363">
    <cfRule type="duplicateValues" dxfId="1" priority="194"/>
  </conditionalFormatting>
  <conditionalFormatting sqref="B366">
    <cfRule type="duplicateValues" dxfId="1" priority="329"/>
  </conditionalFormatting>
  <conditionalFormatting sqref="A370">
    <cfRule type="duplicateValues" dxfId="1" priority="85"/>
  </conditionalFormatting>
  <conditionalFormatting sqref="B370">
    <cfRule type="duplicateValues" dxfId="1" priority="193"/>
  </conditionalFormatting>
  <conditionalFormatting sqref="B371">
    <cfRule type="duplicateValues" dxfId="1" priority="300"/>
  </conditionalFormatting>
  <conditionalFormatting sqref="B374">
    <cfRule type="duplicateValues" dxfId="1" priority="316"/>
  </conditionalFormatting>
  <conditionalFormatting sqref="A376">
    <cfRule type="duplicateValues" dxfId="1" priority="31"/>
    <cfRule type="duplicateValues" dxfId="1" priority="30"/>
  </conditionalFormatting>
  <conditionalFormatting sqref="B376">
    <cfRule type="duplicateValues" dxfId="1" priority="156"/>
  </conditionalFormatting>
  <conditionalFormatting sqref="A377">
    <cfRule type="duplicateValues" dxfId="1" priority="60"/>
    <cfRule type="duplicateValues" dxfId="1" priority="59"/>
  </conditionalFormatting>
  <conditionalFormatting sqref="B377">
    <cfRule type="duplicateValues" dxfId="1" priority="170"/>
  </conditionalFormatting>
  <conditionalFormatting sqref="A382">
    <cfRule type="duplicateValues" dxfId="1" priority="84"/>
  </conditionalFormatting>
  <conditionalFormatting sqref="B382">
    <cfRule type="duplicateValues" dxfId="1" priority="192"/>
  </conditionalFormatting>
  <conditionalFormatting sqref="A383">
    <cfRule type="duplicateValues" dxfId="1" priority="82"/>
  </conditionalFormatting>
  <conditionalFormatting sqref="B383">
    <cfRule type="duplicateValues" dxfId="1" priority="191"/>
  </conditionalFormatting>
  <conditionalFormatting sqref="B385">
    <cfRule type="duplicateValues" dxfId="1" priority="327"/>
  </conditionalFormatting>
  <conditionalFormatting sqref="A391">
    <cfRule type="duplicateValues" dxfId="1" priority="132"/>
  </conditionalFormatting>
  <conditionalFormatting sqref="B391">
    <cfRule type="duplicateValues" dxfId="1" priority="239"/>
  </conditionalFormatting>
  <conditionalFormatting sqref="A392">
    <cfRule type="duplicateValues" dxfId="1" priority="83"/>
  </conditionalFormatting>
  <conditionalFormatting sqref="B392">
    <cfRule type="duplicateValues" dxfId="1" priority="145"/>
  </conditionalFormatting>
  <conditionalFormatting sqref="A393">
    <cfRule type="duplicateValues" dxfId="1" priority="81"/>
  </conditionalFormatting>
  <conditionalFormatting sqref="B393">
    <cfRule type="duplicateValues" dxfId="1" priority="190"/>
  </conditionalFormatting>
  <conditionalFormatting sqref="B400">
    <cfRule type="duplicateValues" dxfId="1" priority="257"/>
  </conditionalFormatting>
  <conditionalFormatting sqref="A401">
    <cfRule type="duplicateValues" dxfId="1" priority="7"/>
    <cfRule type="duplicateValues" dxfId="1" priority="6"/>
  </conditionalFormatting>
  <conditionalFormatting sqref="B401">
    <cfRule type="duplicateValues" dxfId="1" priority="142"/>
  </conditionalFormatting>
  <conditionalFormatting sqref="B403">
    <cfRule type="duplicateValues" dxfId="1" priority="304"/>
  </conditionalFormatting>
  <conditionalFormatting sqref="B404">
    <cfRule type="duplicateValues" dxfId="1" priority="307"/>
  </conditionalFormatting>
  <conditionalFormatting sqref="B405">
    <cfRule type="duplicateValues" dxfId="1" priority="306"/>
  </conditionalFormatting>
  <conditionalFormatting sqref="B407">
    <cfRule type="duplicateValues" dxfId="1" priority="288"/>
  </conditionalFormatting>
  <conditionalFormatting sqref="A408">
    <cfRule type="duplicateValues" dxfId="1" priority="80"/>
  </conditionalFormatting>
  <conditionalFormatting sqref="B408">
    <cfRule type="duplicateValues" dxfId="1" priority="189"/>
  </conditionalFormatting>
  <conditionalFormatting sqref="A414">
    <cfRule type="duplicateValues" dxfId="1" priority="48"/>
    <cfRule type="duplicateValues" dxfId="1" priority="47"/>
  </conditionalFormatting>
  <conditionalFormatting sqref="B414">
    <cfRule type="duplicateValues" dxfId="1" priority="165"/>
  </conditionalFormatting>
  <conditionalFormatting sqref="B419">
    <cfRule type="duplicateValues" dxfId="1" priority="252"/>
  </conditionalFormatting>
  <conditionalFormatting sqref="B426">
    <cfRule type="duplicateValues" dxfId="1" priority="313"/>
  </conditionalFormatting>
  <conditionalFormatting sqref="B428">
    <cfRule type="duplicateValues" dxfId="1" priority="295"/>
  </conditionalFormatting>
  <conditionalFormatting sqref="B431">
    <cfRule type="duplicateValues" dxfId="1" priority="251"/>
  </conditionalFormatting>
  <conditionalFormatting sqref="B434">
    <cfRule type="duplicateValues" dxfId="1" priority="323"/>
  </conditionalFormatting>
  <conditionalFormatting sqref="A439">
    <cfRule type="duplicateValues" dxfId="1" priority="19"/>
    <cfRule type="duplicateValues" dxfId="1" priority="18"/>
  </conditionalFormatting>
  <conditionalFormatting sqref="B439">
    <cfRule type="duplicateValues" dxfId="1" priority="149"/>
  </conditionalFormatting>
  <conditionalFormatting sqref="A440">
    <cfRule type="duplicateValues" dxfId="1" priority="79"/>
  </conditionalFormatting>
  <conditionalFormatting sqref="B440">
    <cfRule type="duplicateValues" dxfId="1" priority="188"/>
  </conditionalFormatting>
  <conditionalFormatting sqref="B443">
    <cfRule type="duplicateValues" dxfId="1" priority="346"/>
  </conditionalFormatting>
  <conditionalFormatting sqref="A446">
    <cfRule type="duplicateValues" dxfId="1" priority="78"/>
  </conditionalFormatting>
  <conditionalFormatting sqref="B446">
    <cfRule type="duplicateValues" dxfId="1" priority="187"/>
  </conditionalFormatting>
  <conditionalFormatting sqref="A447">
    <cfRule type="duplicateValues" dxfId="1" priority="77"/>
  </conditionalFormatting>
  <conditionalFormatting sqref="B447">
    <cfRule type="duplicateValues" dxfId="1" priority="186"/>
  </conditionalFormatting>
  <conditionalFormatting sqref="B448">
    <cfRule type="duplicateValues" dxfId="1" priority="246"/>
  </conditionalFormatting>
  <conditionalFormatting sqref="B449">
    <cfRule type="duplicateValues" dxfId="1" priority="248"/>
  </conditionalFormatting>
  <conditionalFormatting sqref="B450">
    <cfRule type="duplicateValues" dxfId="1" priority="287"/>
  </conditionalFormatting>
  <conditionalFormatting sqref="B452">
    <cfRule type="duplicateValues" dxfId="1" priority="247"/>
  </conditionalFormatting>
  <conditionalFormatting sqref="A457">
    <cfRule type="duplicateValues" dxfId="1" priority="76"/>
  </conditionalFormatting>
  <conditionalFormatting sqref="B457">
    <cfRule type="duplicateValues" dxfId="1" priority="185"/>
  </conditionalFormatting>
  <conditionalFormatting sqref="B460">
    <cfRule type="duplicateValues" dxfId="1" priority="332"/>
  </conditionalFormatting>
  <conditionalFormatting sqref="A461">
    <cfRule type="duplicateValues" dxfId="1" priority="5"/>
    <cfRule type="duplicateValues" dxfId="1" priority="4"/>
  </conditionalFormatting>
  <conditionalFormatting sqref="B461">
    <cfRule type="duplicateValues" dxfId="1" priority="141"/>
  </conditionalFormatting>
  <conditionalFormatting sqref="B462">
    <cfRule type="duplicateValues" dxfId="1" priority="343"/>
  </conditionalFormatting>
  <conditionalFormatting sqref="A472">
    <cfRule type="duplicateValues" dxfId="1" priority="75"/>
  </conditionalFormatting>
  <conditionalFormatting sqref="B472">
    <cfRule type="duplicateValues" dxfId="1" priority="184"/>
  </conditionalFormatting>
  <conditionalFormatting sqref="A476">
    <cfRule type="duplicateValues" dxfId="1" priority="8"/>
  </conditionalFormatting>
  <conditionalFormatting sqref="B476">
    <cfRule type="duplicateValues" dxfId="1" priority="143"/>
  </conditionalFormatting>
  <conditionalFormatting sqref="B481">
    <cfRule type="duplicateValues" dxfId="1" priority="263"/>
  </conditionalFormatting>
  <conditionalFormatting sqref="B482">
    <cfRule type="duplicateValues" dxfId="1" priority="344"/>
  </conditionalFormatting>
  <conditionalFormatting sqref="B483">
    <cfRule type="duplicateValues" dxfId="1" priority="328"/>
  </conditionalFormatting>
  <conditionalFormatting sqref="B484">
    <cfRule type="duplicateValues" dxfId="1" priority="315"/>
  </conditionalFormatting>
  <conditionalFormatting sqref="B486">
    <cfRule type="duplicateValues" dxfId="1" priority="345"/>
  </conditionalFormatting>
  <conditionalFormatting sqref="A491">
    <cfRule type="duplicateValues" dxfId="1" priority="137"/>
  </conditionalFormatting>
  <conditionalFormatting sqref="A492">
    <cfRule type="duplicateValues" dxfId="1" priority="131"/>
  </conditionalFormatting>
  <conditionalFormatting sqref="B492">
    <cfRule type="duplicateValues" dxfId="1" priority="238"/>
  </conditionalFormatting>
  <conditionalFormatting sqref="B493">
    <cfRule type="duplicateValues" dxfId="1" priority="284"/>
  </conditionalFormatting>
  <conditionalFormatting sqref="A496">
    <cfRule type="duplicateValues" dxfId="1" priority="35"/>
    <cfRule type="duplicateValues" dxfId="1" priority="34"/>
  </conditionalFormatting>
  <conditionalFormatting sqref="B496">
    <cfRule type="duplicateValues" dxfId="1" priority="158"/>
  </conditionalFormatting>
  <conditionalFormatting sqref="A497">
    <cfRule type="duplicateValues" dxfId="1" priority="73"/>
  </conditionalFormatting>
  <conditionalFormatting sqref="B497">
    <cfRule type="duplicateValues" dxfId="1" priority="182"/>
  </conditionalFormatting>
  <conditionalFormatting sqref="B498">
    <cfRule type="duplicateValues" dxfId="1" priority="331"/>
  </conditionalFormatting>
  <conditionalFormatting sqref="A501">
    <cfRule type="duplicateValues" dxfId="1" priority="72"/>
  </conditionalFormatting>
  <conditionalFormatting sqref="B501">
    <cfRule type="duplicateValues" dxfId="1" priority="181"/>
  </conditionalFormatting>
  <conditionalFormatting sqref="A502">
    <cfRule type="duplicateValues" dxfId="1" priority="71"/>
  </conditionalFormatting>
  <conditionalFormatting sqref="B502">
    <cfRule type="duplicateValues" dxfId="1" priority="180"/>
  </conditionalFormatting>
  <conditionalFormatting sqref="A507">
    <cfRule type="duplicateValues" dxfId="1" priority="136"/>
  </conditionalFormatting>
  <conditionalFormatting sqref="B508">
    <cfRule type="duplicateValues" dxfId="1" priority="319"/>
  </conditionalFormatting>
  <conditionalFormatting sqref="B512">
    <cfRule type="duplicateValues" dxfId="1" priority="290"/>
  </conditionalFormatting>
  <conditionalFormatting sqref="A513">
    <cfRule type="duplicateValues" dxfId="1" priority="10"/>
    <cfRule type="duplicateValues" dxfId="1" priority="9"/>
  </conditionalFormatting>
  <conditionalFormatting sqref="B513">
    <cfRule type="duplicateValues" dxfId="1" priority="144"/>
  </conditionalFormatting>
  <conditionalFormatting sqref="A515">
    <cfRule type="duplicateValues" dxfId="1" priority="70"/>
  </conditionalFormatting>
  <conditionalFormatting sqref="B515">
    <cfRule type="duplicateValues" dxfId="1" priority="179"/>
  </conditionalFormatting>
  <conditionalFormatting sqref="A516">
    <cfRule type="duplicateValues" dxfId="1" priority="69"/>
  </conditionalFormatting>
  <conditionalFormatting sqref="B516">
    <cfRule type="duplicateValues" dxfId="1" priority="178"/>
  </conditionalFormatting>
  <conditionalFormatting sqref="A517">
    <cfRule type="duplicateValues" dxfId="1" priority="68"/>
  </conditionalFormatting>
  <conditionalFormatting sqref="B517">
    <cfRule type="duplicateValues" dxfId="1" priority="177"/>
  </conditionalFormatting>
  <conditionalFormatting sqref="A519">
    <cfRule type="duplicateValues" dxfId="1" priority="17"/>
    <cfRule type="duplicateValues" dxfId="1" priority="16"/>
  </conditionalFormatting>
  <conditionalFormatting sqref="B519">
    <cfRule type="duplicateValues" dxfId="1" priority="148"/>
  </conditionalFormatting>
  <conditionalFormatting sqref="B521">
    <cfRule type="duplicateValues" dxfId="1" priority="308"/>
  </conditionalFormatting>
  <conditionalFormatting sqref="B527">
    <cfRule type="duplicateValues" dxfId="1" priority="275"/>
  </conditionalFormatting>
  <conditionalFormatting sqref="B529">
    <cfRule type="duplicateValues" dxfId="1" priority="277"/>
  </conditionalFormatting>
  <conditionalFormatting sqref="B531">
    <cfRule type="duplicateValues" dxfId="1" priority="274"/>
  </conditionalFormatting>
  <conditionalFormatting sqref="B532">
    <cfRule type="duplicateValues" dxfId="1" priority="340"/>
  </conditionalFormatting>
  <conditionalFormatting sqref="B533">
    <cfRule type="duplicateValues" dxfId="1" priority="273"/>
  </conditionalFormatting>
  <conditionalFormatting sqref="B534">
    <cfRule type="duplicateValues" dxfId="1" priority="272"/>
  </conditionalFormatting>
  <conditionalFormatting sqref="B535">
    <cfRule type="duplicateValues" dxfId="1" priority="279"/>
  </conditionalFormatting>
  <conditionalFormatting sqref="B536">
    <cfRule type="duplicateValues" dxfId="1" priority="267"/>
  </conditionalFormatting>
  <conditionalFormatting sqref="B538">
    <cfRule type="duplicateValues" dxfId="1" priority="271"/>
  </conditionalFormatting>
  <conditionalFormatting sqref="B540">
    <cfRule type="duplicateValues" dxfId="1" priority="278"/>
  </conditionalFormatting>
  <conditionalFormatting sqref="B541">
    <cfRule type="duplicateValues" dxfId="1" priority="270"/>
  </conditionalFormatting>
  <conditionalFormatting sqref="B542">
    <cfRule type="duplicateValues" dxfId="1" priority="269"/>
  </conditionalFormatting>
  <conditionalFormatting sqref="B544">
    <cfRule type="duplicateValues" dxfId="1" priority="280"/>
  </conditionalFormatting>
  <conditionalFormatting sqref="A549">
    <cfRule type="duplicateValues" dxfId="1" priority="64"/>
  </conditionalFormatting>
  <conditionalFormatting sqref="B549">
    <cfRule type="duplicateValues" dxfId="1" priority="173"/>
  </conditionalFormatting>
  <conditionalFormatting sqref="A550">
    <cfRule type="duplicateValues" dxfId="1" priority="67"/>
  </conditionalFormatting>
  <conditionalFormatting sqref="B550">
    <cfRule type="duplicateValues" dxfId="1" priority="176"/>
  </conditionalFormatting>
  <conditionalFormatting sqref="A551">
    <cfRule type="duplicateValues" dxfId="1" priority="66"/>
  </conditionalFormatting>
  <conditionalFormatting sqref="B551">
    <cfRule type="duplicateValues" dxfId="1" priority="175"/>
  </conditionalFormatting>
  <conditionalFormatting sqref="A555">
    <cfRule type="duplicateValues" dxfId="1" priority="61"/>
  </conditionalFormatting>
  <conditionalFormatting sqref="B555">
    <cfRule type="duplicateValues" dxfId="1" priority="171"/>
  </conditionalFormatting>
  <conditionalFormatting sqref="A563">
    <cfRule type="duplicateValues" dxfId="1" priority="65"/>
  </conditionalFormatting>
  <conditionalFormatting sqref="B563">
    <cfRule type="duplicateValues" dxfId="1" priority="174"/>
  </conditionalFormatting>
  <conditionalFormatting sqref="A343:A344">
    <cfRule type="duplicateValues" dxfId="1" priority="134"/>
  </conditionalFormatting>
  <conditionalFormatting sqref="A487:A488">
    <cfRule type="duplicateValues" dxfId="1" priority="74"/>
  </conditionalFormatting>
  <conditionalFormatting sqref="B487:B488">
    <cfRule type="duplicateValues" dxfId="1" priority="183"/>
  </conditionalFormatting>
  <conditionalFormatting sqref="B524:B526">
    <cfRule type="duplicateValues" dxfId="1" priority="276"/>
  </conditionalFormatting>
  <conditionalFormatting sqref="A2:A15 A18:A23 A24:A37 A38:A39 A40:A44 A63 A50:A56 A58 A60:A61 A46:A48 A67:A69 A64:A65 A70:A75 A77:A82 A83:A84 A92:A97 A85:A88 A98:A110 A112:A125 A128:A137 A138:A146 A155:A157 A147:A152 A158 A159:A160 A162:A165 A168:A171 A173:A174 A166 A178:A181 A185:A192 A194:A196 A197:A198 A200:A202 A215:A216 A222:A223 A204:A212 A224 A227:A231 A232:A233 A235 A245:A252 A236:A241 A254:A258 A262:A266 A268:A274 A276:A280 A322:A331 A283:A287 A290:A297 A301:A304 A306:A314 A319:A320 A345:A349 A351:A355 A333:A342 A358:A362 A364:A369 A371:A375 A384:A388 A378:A381 A389 A394:A400 A390 A402:A407 A409:A413 A415:A424 A441:A442 A425:A438 A448:A456 A473:A475 A458:A460 A477:A486 A462:A471 A443:A445 A489:A490 A493 A508:A512 A498:A500 A503:A506 A494:A495 A514 A518 A520:A523 A524:A536 A537:A540 A541:A543 A544:A545 A546:A548 A552:A553 A554 A556:A557 A564:A566 A558:A562">
    <cfRule type="duplicateValues" dxfId="1" priority="139"/>
  </conditionalFormatting>
  <conditionalFormatting sqref="A2:A23 A24:A37 A38:A39 A50:A56 A58 A60:A63 A46:A48 A40:A44 A64:A69 A77:A82 A70:A75 A83:A84 A90:A97 A85:A88 A98:A110 A111 A112:A126 A127:A137 A138:A146 A155:A157 A147:A152 A158 A159:A165 A166:A174 A178:A184 A175:A176 A185:A196 A197:A198 A215:A216 A204:A213 A199:A202 A219:A223 A224 A225:A231 A232:A235 A243:A252 A236:A241 A254:A260 A262:A282 A299:A320 A322:A332 A283:A297 A333:A369 A370:A375 A378:A388 A389 A390:A400 A415:A424 A402:A413 A440:A442 A425:A438 A477:A488 A462:A475 A443:A460 A489:A493 A497:A512 A494:A495 A520:A523 A514:A518 A524:A536 A537:A540 A541:A543 A544:A545 A546:A548 A549:A551 A552:A553 A554 A556:A557 A558:A566">
    <cfRule type="duplicateValues" dxfId="1" priority="62"/>
  </conditionalFormatting>
  <conditionalFormatting sqref="B15 B23 B2:B13 B18:B21 B30:B33 B35:B37 B24:B27 B38:B39 B63 B48 B40:B44 B50:B56 B58 B60 B46 B68 B64:B65 B73:B74 B82 B83 B95:B97 B85:B88 B92 B109 B98:B107 B115:B119 B123:B125 B121 B112 B137 B128:B135 B138:B141 B144:B146 B147:B152 B155:B156 B158 B163:B165 B159:B160 B173:B174 B168:B170 B166 B178:B181 B194:B195 B185:B192 B197 B200:B202 B215:B216 B223 B204:B211 B230 B227:B228 B232:B233 B235 B245:B246 B250:B252 B238:B241 B255:B258 B262 B273:B274 B264 B266 B270:B271 B268 B276:B280 B307:B308 B319:B320 B330:B331 B326:B327 B323:B324 B285 B302:B304 B311:B314 B287 B290:B297 B351:B355 B340:B342 B367:B369 B358:B362 B333:B338 B364:B365 B375 B372:B373 B386:B388 B384 B378:B381 B389 B394:B399 B390 B409:B413 B406 B402 B420:B424 B415:B418 B435:B438 B427 B429:B430 B432:B433 B441:B442 B425 B444:B445 B451 B485 B477:B480 B463:B471 B453:B456 B458:B459 B473:B475 B489:B490 B499:B500 B509:B511 B494:B495 B503:B506 B522:B523 B514 B518 B520">
    <cfRule type="duplicateValues" dxfId="1" priority="348"/>
  </conditionalFormatting>
  <conditionalFormatting sqref="B69 B72 B70">
    <cfRule type="duplicateValues" dxfId="1" priority="312"/>
  </conditionalFormatting>
  <conditionalFormatting sqref="B77 B79:B80">
    <cfRule type="duplicateValues" dxfId="1" priority="311"/>
  </conditionalFormatting>
  <conditionalFormatting sqref="B528 B530 B537 B539 B543">
    <cfRule type="duplicateValues" dxfId="1" priority="28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2025-10-23T08:12:00Z</dcterms:created>
  <dcterms:modified xsi:type="dcterms:W3CDTF">2026-05-03T13:31:53Z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40E4A69077E74D33A6B750756BC2214E_13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